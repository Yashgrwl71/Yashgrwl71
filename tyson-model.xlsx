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yash/Desktop/Job Search/04_Portfolio/SIF/Final Product/"/>
    </mc:Choice>
  </mc:AlternateContent>
  <xr:revisionPtr revIDLastSave="0" documentId="8_{42C0C9D8-3429-1141-9C18-B60C9A18C757}" xr6:coauthVersionLast="47" xr6:coauthVersionMax="47" xr10:uidLastSave="{00000000-0000-0000-0000-000000000000}"/>
  <bookViews>
    <workbookView xWindow="0" yWindow="600" windowWidth="23260" windowHeight="14860" tabRatio="1000" xr2:uid="{FFA5A243-90F2-439E-BFBA-AFB8585185A8}"/>
  </bookViews>
  <sheets>
    <sheet name="Valuation Summary" sheetId="1" r:id="rId1"/>
    <sheet name="Assumptions" sheetId="2" r:id="rId2"/>
    <sheet name="Discounted Cash Flow" sheetId="7" r:id="rId3"/>
    <sheet name="Comparable Peer" sheetId="8" r:id="rId4"/>
    <sheet name="Internal Rate of Return" sheetId="17" r:id="rId5"/>
    <sheet name="Dividend Discount" sheetId="9" r:id="rId6"/>
    <sheet name="Income Statement" sheetId="3" r:id="rId7"/>
    <sheet name="IS Bear" sheetId="10" r:id="rId8"/>
    <sheet name="IS Bull" sheetId="12" r:id="rId9"/>
    <sheet name="Cash Flows" sheetId="6" r:id="rId10"/>
    <sheet name="CF Bear" sheetId="13" r:id="rId11"/>
    <sheet name="CF Bull" sheetId="16" r:id="rId12"/>
    <sheet name="Balance Sheet" sheetId="5" r:id="rId13"/>
    <sheet name="BS Bear" sheetId="14" r:id="rId14"/>
    <sheet name="BS Bull"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G11" i="1"/>
  <c r="G12" i="1"/>
  <c r="G13" i="1"/>
  <c r="G14" i="1"/>
  <c r="C36" i="6"/>
  <c r="C6" i="5"/>
  <c r="G6" i="5"/>
  <c r="F6" i="5"/>
  <c r="E6" i="5"/>
  <c r="D6" i="5"/>
  <c r="H24" i="2"/>
  <c r="E15" i="1"/>
  <c r="F245" i="2"/>
  <c r="E245" i="2"/>
  <c r="D245" i="2"/>
  <c r="C87" i="2"/>
  <c r="H45" i="2"/>
  <c r="G45" i="2"/>
  <c r="F45" i="2"/>
  <c r="E45" i="2"/>
  <c r="D45" i="2"/>
  <c r="E213" i="2"/>
  <c r="F213" i="2"/>
  <c r="G213" i="2"/>
  <c r="H213" i="2"/>
  <c r="D213" i="2"/>
  <c r="B218" i="2"/>
  <c r="R219" i="2"/>
  <c r="Q219" i="2"/>
  <c r="P219" i="2"/>
  <c r="O219" i="2"/>
  <c r="N219" i="2"/>
  <c r="H219" i="2"/>
  <c r="G219" i="2"/>
  <c r="F219" i="2"/>
  <c r="E219" i="2"/>
  <c r="D219" i="2"/>
  <c r="B219" i="2"/>
  <c r="E39" i="7"/>
  <c r="E21" i="7"/>
  <c r="E3" i="7"/>
  <c r="B39" i="7"/>
  <c r="B21" i="7"/>
  <c r="B3" i="7"/>
  <c r="B169" i="2"/>
  <c r="C10" i="1"/>
  <c r="B57" i="12"/>
  <c r="G51" i="12"/>
  <c r="F51" i="12"/>
  <c r="E51" i="12"/>
  <c r="D51" i="12"/>
  <c r="C51" i="12"/>
  <c r="B51" i="12"/>
  <c r="G47" i="12"/>
  <c r="F47" i="12"/>
  <c r="E47" i="12"/>
  <c r="D47" i="12"/>
  <c r="C47" i="12"/>
  <c r="B47" i="12"/>
  <c r="G44" i="12"/>
  <c r="F44" i="12"/>
  <c r="E44" i="12"/>
  <c r="D44" i="12"/>
  <c r="C44" i="12"/>
  <c r="B44" i="12"/>
  <c r="B49" i="12" s="1"/>
  <c r="B43" i="12"/>
  <c r="B57" i="10"/>
  <c r="G51" i="10"/>
  <c r="F51" i="10"/>
  <c r="E51" i="10"/>
  <c r="D51" i="10"/>
  <c r="C51" i="10"/>
  <c r="B51" i="10"/>
  <c r="G47" i="10"/>
  <c r="F47" i="10"/>
  <c r="E47" i="10"/>
  <c r="D47" i="10"/>
  <c r="C47" i="10"/>
  <c r="B47" i="10"/>
  <c r="G44" i="10"/>
  <c r="F44" i="10"/>
  <c r="E44" i="10"/>
  <c r="D44" i="10"/>
  <c r="C44" i="10"/>
  <c r="B44" i="10"/>
  <c r="B49" i="10" s="1"/>
  <c r="B43" i="10"/>
  <c r="H169" i="2"/>
  <c r="G169" i="2"/>
  <c r="F169" i="2"/>
  <c r="E169" i="2"/>
  <c r="D169" i="2"/>
  <c r="R32" i="3"/>
  <c r="S32" i="3"/>
  <c r="T32" i="3"/>
  <c r="U32" i="3"/>
  <c r="V32" i="3"/>
  <c r="W32" i="3"/>
  <c r="X32" i="3"/>
  <c r="Y32" i="3"/>
  <c r="Z32" i="3"/>
  <c r="AA32" i="3"/>
  <c r="AB32" i="3"/>
  <c r="AC32" i="3"/>
  <c r="AD32" i="3"/>
  <c r="AE32" i="3"/>
  <c r="AF32" i="3"/>
  <c r="AG32" i="3"/>
  <c r="AH32" i="3"/>
  <c r="AI32" i="3"/>
  <c r="AJ32" i="3"/>
  <c r="AK32" i="3"/>
  <c r="AL32" i="3"/>
  <c r="AM32" i="3"/>
  <c r="AN32" i="3"/>
  <c r="AO32" i="3"/>
  <c r="AP32" i="3"/>
  <c r="AQ32" i="3"/>
  <c r="AR32" i="3"/>
  <c r="AS32" i="3"/>
  <c r="AT32" i="3"/>
  <c r="AU32" i="3"/>
  <c r="AV32" i="3"/>
  <c r="AW32" i="3"/>
  <c r="AX32" i="3"/>
  <c r="AY32" i="3"/>
  <c r="AZ32" i="3"/>
  <c r="BA32" i="3"/>
  <c r="BB32" i="3"/>
  <c r="BC32" i="3"/>
  <c r="BD32" i="3"/>
  <c r="BE32" i="3"/>
  <c r="BF32" i="3"/>
  <c r="BG32" i="3"/>
  <c r="BH32" i="3"/>
  <c r="BI32" i="3"/>
  <c r="BJ32" i="3"/>
  <c r="BK32" i="3"/>
  <c r="BL32" i="3"/>
  <c r="BM32" i="3"/>
  <c r="BN32" i="3"/>
  <c r="BO32" i="3"/>
  <c r="BP32" i="3"/>
  <c r="BQ32" i="3"/>
  <c r="BR32" i="3"/>
  <c r="BS32" i="3"/>
  <c r="BT32" i="3"/>
  <c r="BU32" i="3"/>
  <c r="BV32" i="3"/>
  <c r="BW32" i="3"/>
  <c r="BX32" i="3"/>
  <c r="BY32" i="3"/>
  <c r="BZ32" i="3"/>
  <c r="CA32" i="3"/>
  <c r="CB32" i="3"/>
  <c r="CC32" i="3"/>
  <c r="CD32" i="3"/>
  <c r="CE32" i="3"/>
  <c r="CF32" i="3"/>
  <c r="CG32" i="3"/>
  <c r="CH32" i="3"/>
  <c r="CI32" i="3"/>
  <c r="CJ32" i="3"/>
  <c r="CK32" i="3"/>
  <c r="CL32" i="3"/>
  <c r="CM32" i="3"/>
  <c r="CN32" i="3"/>
  <c r="CO32" i="3"/>
  <c r="CP32" i="3"/>
  <c r="CQ32" i="3"/>
  <c r="CR32" i="3"/>
  <c r="CS32" i="3"/>
  <c r="CT32" i="3"/>
  <c r="CU32" i="3"/>
  <c r="CV32" i="3"/>
  <c r="CW32" i="3"/>
  <c r="CX32" i="3"/>
  <c r="CY32" i="3"/>
  <c r="CZ32" i="3"/>
  <c r="DA32" i="3"/>
  <c r="DB32" i="3"/>
  <c r="DC32" i="3"/>
  <c r="DD32" i="3"/>
  <c r="DE32" i="3"/>
  <c r="DF32" i="3"/>
  <c r="DG32" i="3"/>
  <c r="DH32" i="3"/>
  <c r="DI32" i="3"/>
  <c r="DJ32" i="3"/>
  <c r="DK32" i="3"/>
  <c r="DL32" i="3"/>
  <c r="DM32" i="3"/>
  <c r="DN32" i="3"/>
  <c r="DO32" i="3"/>
  <c r="DP32" i="3"/>
  <c r="DQ32" i="3"/>
  <c r="DR32" i="3"/>
  <c r="DS32" i="3"/>
  <c r="DT32" i="3"/>
  <c r="DU32" i="3"/>
  <c r="DV32" i="3"/>
  <c r="DW32" i="3"/>
  <c r="DX32" i="3"/>
  <c r="DY32" i="3"/>
  <c r="DZ32" i="3"/>
  <c r="EA32" i="3"/>
  <c r="EB32" i="3"/>
  <c r="EC32" i="3"/>
  <c r="ED32" i="3"/>
  <c r="EE32" i="3"/>
  <c r="EF32" i="3"/>
  <c r="EG32" i="3"/>
  <c r="EH32" i="3"/>
  <c r="EI32" i="3"/>
  <c r="EJ32" i="3"/>
  <c r="EK32" i="3"/>
  <c r="EL32" i="3"/>
  <c r="EM32" i="3"/>
  <c r="EN32" i="3"/>
  <c r="EO32" i="3"/>
  <c r="EP32" i="3"/>
  <c r="EQ32" i="3"/>
  <c r="ER32" i="3"/>
  <c r="ES32" i="3"/>
  <c r="ET32" i="3"/>
  <c r="EU32" i="3"/>
  <c r="EV32" i="3"/>
  <c r="EW32" i="3"/>
  <c r="EX32" i="3"/>
  <c r="EY32" i="3"/>
  <c r="EZ32" i="3"/>
  <c r="FA32" i="3"/>
  <c r="FB32" i="3"/>
  <c r="FC32" i="3"/>
  <c r="FD32" i="3"/>
  <c r="FE32" i="3"/>
  <c r="FF32" i="3"/>
  <c r="FG32" i="3"/>
  <c r="FH32" i="3"/>
  <c r="FI32" i="3"/>
  <c r="FJ32" i="3"/>
  <c r="FK32" i="3"/>
  <c r="FL32" i="3"/>
  <c r="FM32" i="3"/>
  <c r="FN32" i="3"/>
  <c r="FO32" i="3"/>
  <c r="FP32" i="3"/>
  <c r="FQ32" i="3"/>
  <c r="FR32" i="3"/>
  <c r="FS32" i="3"/>
  <c r="FT32" i="3"/>
  <c r="FU32" i="3"/>
  <c r="FV32" i="3"/>
  <c r="FW32" i="3"/>
  <c r="FX32" i="3"/>
  <c r="FY32" i="3"/>
  <c r="FZ32" i="3"/>
  <c r="GA32" i="3"/>
  <c r="GB32" i="3"/>
  <c r="GC32" i="3"/>
  <c r="GD32" i="3"/>
  <c r="GE32" i="3"/>
  <c r="GF32" i="3"/>
  <c r="GG32" i="3"/>
  <c r="GH32" i="3"/>
  <c r="GI32" i="3"/>
  <c r="GJ32" i="3"/>
  <c r="GK32" i="3"/>
  <c r="GL32" i="3"/>
  <c r="GM32" i="3"/>
  <c r="GN32" i="3"/>
  <c r="GO32" i="3"/>
  <c r="GP32" i="3"/>
  <c r="GQ32" i="3"/>
  <c r="GR32" i="3"/>
  <c r="GS32" i="3"/>
  <c r="GT32" i="3"/>
  <c r="GU32" i="3"/>
  <c r="GV32" i="3"/>
  <c r="GW32" i="3"/>
  <c r="GX32" i="3"/>
  <c r="GY32" i="3"/>
  <c r="GZ32" i="3"/>
  <c r="HA32" i="3"/>
  <c r="HB32" i="3"/>
  <c r="HC32" i="3"/>
  <c r="HD32" i="3"/>
  <c r="HE32" i="3"/>
  <c r="HF32" i="3"/>
  <c r="HG32" i="3"/>
  <c r="HH32" i="3"/>
  <c r="HI32" i="3"/>
  <c r="HJ32" i="3"/>
  <c r="HK32" i="3"/>
  <c r="HL32" i="3"/>
  <c r="HM32" i="3"/>
  <c r="HN32" i="3"/>
  <c r="HO32" i="3"/>
  <c r="HP32" i="3"/>
  <c r="HQ32" i="3"/>
  <c r="HR32" i="3"/>
  <c r="HS32" i="3"/>
  <c r="HT32" i="3"/>
  <c r="HU32" i="3"/>
  <c r="HV32" i="3"/>
  <c r="HW32" i="3"/>
  <c r="HX32" i="3"/>
  <c r="HY32" i="3"/>
  <c r="HZ32" i="3"/>
  <c r="IA32" i="3"/>
  <c r="IB32" i="3"/>
  <c r="IC32" i="3"/>
  <c r="ID32" i="3"/>
  <c r="IE32" i="3"/>
  <c r="IF32" i="3"/>
  <c r="IG32" i="3"/>
  <c r="IH32" i="3"/>
  <c r="II32" i="3"/>
  <c r="IJ32" i="3"/>
  <c r="IK32" i="3"/>
  <c r="IL32" i="3"/>
  <c r="IM32" i="3"/>
  <c r="IN32" i="3"/>
  <c r="IO32" i="3"/>
  <c r="IP32" i="3"/>
  <c r="IQ32" i="3"/>
  <c r="IR32" i="3"/>
  <c r="IS32" i="3"/>
  <c r="IT32" i="3"/>
  <c r="IU32" i="3"/>
  <c r="IV32" i="3"/>
  <c r="IW32" i="3"/>
  <c r="IX32" i="3"/>
  <c r="IY32" i="3"/>
  <c r="IZ32" i="3"/>
  <c r="JA32" i="3"/>
  <c r="JB32" i="3"/>
  <c r="JC32" i="3"/>
  <c r="JD32" i="3"/>
  <c r="JE32" i="3"/>
  <c r="JF32" i="3"/>
  <c r="JG32" i="3"/>
  <c r="JH32" i="3"/>
  <c r="JI32" i="3"/>
  <c r="JJ32" i="3"/>
  <c r="JK32" i="3"/>
  <c r="JL32" i="3"/>
  <c r="JM32" i="3"/>
  <c r="JN32" i="3"/>
  <c r="JO32" i="3"/>
  <c r="JP32" i="3"/>
  <c r="JQ32" i="3"/>
  <c r="JR32" i="3"/>
  <c r="JS32" i="3"/>
  <c r="JT32" i="3"/>
  <c r="JU32" i="3"/>
  <c r="JV32" i="3"/>
  <c r="JW32" i="3"/>
  <c r="JX32" i="3"/>
  <c r="JY32" i="3"/>
  <c r="JZ32" i="3"/>
  <c r="KA32" i="3"/>
  <c r="KB32" i="3"/>
  <c r="KC32" i="3"/>
  <c r="KD32" i="3"/>
  <c r="KE32" i="3"/>
  <c r="KF32" i="3"/>
  <c r="KG32" i="3"/>
  <c r="KH32" i="3"/>
  <c r="KI32" i="3"/>
  <c r="KJ32" i="3"/>
  <c r="KK32" i="3"/>
  <c r="KL32" i="3"/>
  <c r="KM32" i="3"/>
  <c r="KN32" i="3"/>
  <c r="KO32" i="3"/>
  <c r="KP32" i="3"/>
  <c r="KQ32" i="3"/>
  <c r="KR32" i="3"/>
  <c r="KS32" i="3"/>
  <c r="KT32" i="3"/>
  <c r="KU32" i="3"/>
  <c r="KV32" i="3"/>
  <c r="KW32" i="3"/>
  <c r="KX32" i="3"/>
  <c r="KY32" i="3"/>
  <c r="KZ32" i="3"/>
  <c r="LA32" i="3"/>
  <c r="LB32" i="3"/>
  <c r="LC32" i="3"/>
  <c r="LD32" i="3"/>
  <c r="LE32" i="3"/>
  <c r="LF32" i="3"/>
  <c r="LG32" i="3"/>
  <c r="LH32" i="3"/>
  <c r="LI32" i="3"/>
  <c r="LJ32" i="3"/>
  <c r="LK32" i="3"/>
  <c r="LL32" i="3"/>
  <c r="LM32" i="3"/>
  <c r="LN32" i="3"/>
  <c r="LO32" i="3"/>
  <c r="LP32" i="3"/>
  <c r="LQ32" i="3"/>
  <c r="LR32" i="3"/>
  <c r="LS32" i="3"/>
  <c r="LT32" i="3"/>
  <c r="LU32" i="3"/>
  <c r="LV32" i="3"/>
  <c r="LW32" i="3"/>
  <c r="LX32" i="3"/>
  <c r="LY32" i="3"/>
  <c r="LZ32" i="3"/>
  <c r="MA32" i="3"/>
  <c r="MB32" i="3"/>
  <c r="MC32" i="3"/>
  <c r="MD32" i="3"/>
  <c r="ME32" i="3"/>
  <c r="MF32" i="3"/>
  <c r="MG32" i="3"/>
  <c r="MH32" i="3"/>
  <c r="MI32" i="3"/>
  <c r="MJ32" i="3"/>
  <c r="MK32" i="3"/>
  <c r="ML32" i="3"/>
  <c r="MM32" i="3"/>
  <c r="MN32" i="3"/>
  <c r="MO32" i="3"/>
  <c r="MP32" i="3"/>
  <c r="MQ32" i="3"/>
  <c r="MR32" i="3"/>
  <c r="MS32" i="3"/>
  <c r="MT32" i="3"/>
  <c r="MU32" i="3"/>
  <c r="MV32" i="3"/>
  <c r="MW32" i="3"/>
  <c r="MX32" i="3"/>
  <c r="MY32" i="3"/>
  <c r="MZ32" i="3"/>
  <c r="NA32" i="3"/>
  <c r="NB32" i="3"/>
  <c r="NC32" i="3"/>
  <c r="ND32" i="3"/>
  <c r="NE32" i="3"/>
  <c r="NF32" i="3"/>
  <c r="NG32" i="3"/>
  <c r="NH32" i="3"/>
  <c r="NI32" i="3"/>
  <c r="NJ32" i="3"/>
  <c r="NK32" i="3"/>
  <c r="NL32" i="3"/>
  <c r="NM32" i="3"/>
  <c r="NN32" i="3"/>
  <c r="NO32" i="3"/>
  <c r="NP32" i="3"/>
  <c r="NQ32" i="3"/>
  <c r="NR32" i="3"/>
  <c r="NS32" i="3"/>
  <c r="NT32" i="3"/>
  <c r="NU32" i="3"/>
  <c r="NV32" i="3"/>
  <c r="NW32" i="3"/>
  <c r="NX32" i="3"/>
  <c r="NY32" i="3"/>
  <c r="NZ32" i="3"/>
  <c r="OA32" i="3"/>
  <c r="OB32" i="3"/>
  <c r="OC32" i="3"/>
  <c r="OD32" i="3"/>
  <c r="OE32" i="3"/>
  <c r="OF32" i="3"/>
  <c r="OG32" i="3"/>
  <c r="OH32" i="3"/>
  <c r="OI32" i="3"/>
  <c r="OJ32" i="3"/>
  <c r="OK32" i="3"/>
  <c r="OL32" i="3"/>
  <c r="OM32" i="3"/>
  <c r="ON32" i="3"/>
  <c r="OO32" i="3"/>
  <c r="OP32" i="3"/>
  <c r="OQ32" i="3"/>
  <c r="OR32" i="3"/>
  <c r="OS32" i="3"/>
  <c r="OT32" i="3"/>
  <c r="OU32" i="3"/>
  <c r="OV32" i="3"/>
  <c r="OW32" i="3"/>
  <c r="OX32" i="3"/>
  <c r="OY32" i="3"/>
  <c r="OZ32" i="3"/>
  <c r="PA32" i="3"/>
  <c r="PB32" i="3"/>
  <c r="PC32" i="3"/>
  <c r="PD32" i="3"/>
  <c r="PE32" i="3"/>
  <c r="PF32" i="3"/>
  <c r="PG32" i="3"/>
  <c r="PH32" i="3"/>
  <c r="PI32" i="3"/>
  <c r="PJ32" i="3"/>
  <c r="PK32" i="3"/>
  <c r="PL32" i="3"/>
  <c r="PM32" i="3"/>
  <c r="PN32" i="3"/>
  <c r="PO32" i="3"/>
  <c r="PP32" i="3"/>
  <c r="PQ32" i="3"/>
  <c r="PR32" i="3"/>
  <c r="PS32" i="3"/>
  <c r="PT32" i="3"/>
  <c r="PU32" i="3"/>
  <c r="PV32" i="3"/>
  <c r="PW32" i="3"/>
  <c r="PX32" i="3"/>
  <c r="PY32" i="3"/>
  <c r="PZ32" i="3"/>
  <c r="QA32" i="3"/>
  <c r="QB32" i="3"/>
  <c r="QC32" i="3"/>
  <c r="QD32" i="3"/>
  <c r="QE32" i="3"/>
  <c r="QF32" i="3"/>
  <c r="QG32" i="3"/>
  <c r="QH32" i="3"/>
  <c r="QI32" i="3"/>
  <c r="QJ32" i="3"/>
  <c r="QK32" i="3"/>
  <c r="QL32" i="3"/>
  <c r="QM32" i="3"/>
  <c r="QN32" i="3"/>
  <c r="QO32" i="3"/>
  <c r="QP32" i="3"/>
  <c r="QQ32" i="3"/>
  <c r="QR32" i="3"/>
  <c r="QS32" i="3"/>
  <c r="QT32" i="3"/>
  <c r="QU32" i="3"/>
  <c r="QV32" i="3"/>
  <c r="QW32" i="3"/>
  <c r="QX32" i="3"/>
  <c r="QY32" i="3"/>
  <c r="QZ32" i="3"/>
  <c r="RA32" i="3"/>
  <c r="RB32" i="3"/>
  <c r="RC32" i="3"/>
  <c r="RD32" i="3"/>
  <c r="RE32" i="3"/>
  <c r="RF32" i="3"/>
  <c r="RG32" i="3"/>
  <c r="RH32" i="3"/>
  <c r="RI32" i="3"/>
  <c r="RJ32" i="3"/>
  <c r="RK32" i="3"/>
  <c r="RL32" i="3"/>
  <c r="RM32" i="3"/>
  <c r="RN32" i="3"/>
  <c r="RO32" i="3"/>
  <c r="RP32" i="3"/>
  <c r="RQ32" i="3"/>
  <c r="RR32" i="3"/>
  <c r="RS32" i="3"/>
  <c r="RT32" i="3"/>
  <c r="RU32" i="3"/>
  <c r="RV32" i="3"/>
  <c r="RW32" i="3"/>
  <c r="RX32" i="3"/>
  <c r="RY32" i="3"/>
  <c r="RZ32" i="3"/>
  <c r="SA32" i="3"/>
  <c r="SB32" i="3"/>
  <c r="SC32" i="3"/>
  <c r="SD32" i="3"/>
  <c r="SE32" i="3"/>
  <c r="SF32" i="3"/>
  <c r="SG32" i="3"/>
  <c r="SH32" i="3"/>
  <c r="SI32" i="3"/>
  <c r="SJ32" i="3"/>
  <c r="SK32" i="3"/>
  <c r="SL32" i="3"/>
  <c r="SM32" i="3"/>
  <c r="SN32" i="3"/>
  <c r="SO32" i="3"/>
  <c r="SP32" i="3"/>
  <c r="SQ32" i="3"/>
  <c r="SR32" i="3"/>
  <c r="SS32" i="3"/>
  <c r="ST32" i="3"/>
  <c r="SU32" i="3"/>
  <c r="SV32" i="3"/>
  <c r="SW32" i="3"/>
  <c r="SX32" i="3"/>
  <c r="SY32" i="3"/>
  <c r="SZ32" i="3"/>
  <c r="TA32" i="3"/>
  <c r="TB32" i="3"/>
  <c r="TC32" i="3"/>
  <c r="TD32" i="3"/>
  <c r="TE32" i="3"/>
  <c r="TF32" i="3"/>
  <c r="TG32" i="3"/>
  <c r="TH32" i="3"/>
  <c r="TI32" i="3"/>
  <c r="TJ32" i="3"/>
  <c r="TK32" i="3"/>
  <c r="TL32" i="3"/>
  <c r="TM32" i="3"/>
  <c r="TN32" i="3"/>
  <c r="TO32" i="3"/>
  <c r="TP32" i="3"/>
  <c r="TQ32" i="3"/>
  <c r="TR32" i="3"/>
  <c r="TS32" i="3"/>
  <c r="TT32" i="3"/>
  <c r="TU32" i="3"/>
  <c r="TV32" i="3"/>
  <c r="TW32" i="3"/>
  <c r="TX32" i="3"/>
  <c r="TY32" i="3"/>
  <c r="TZ32" i="3"/>
  <c r="UA32" i="3"/>
  <c r="UB32" i="3"/>
  <c r="UC32" i="3"/>
  <c r="UD32" i="3"/>
  <c r="UE32" i="3"/>
  <c r="UF32" i="3"/>
  <c r="UG32" i="3"/>
  <c r="UH32" i="3"/>
  <c r="UI32" i="3"/>
  <c r="UJ32" i="3"/>
  <c r="UK32" i="3"/>
  <c r="UL32" i="3"/>
  <c r="UM32" i="3"/>
  <c r="UN32" i="3"/>
  <c r="UO32" i="3"/>
  <c r="UP32" i="3"/>
  <c r="UQ32" i="3"/>
  <c r="UR32" i="3"/>
  <c r="US32" i="3"/>
  <c r="UT32" i="3"/>
  <c r="UU32" i="3"/>
  <c r="UV32" i="3"/>
  <c r="UW32" i="3"/>
  <c r="UX32" i="3"/>
  <c r="UY32" i="3"/>
  <c r="UZ32" i="3"/>
  <c r="VA32" i="3"/>
  <c r="VB32" i="3"/>
  <c r="VC32" i="3"/>
  <c r="VD32" i="3"/>
  <c r="VE32" i="3"/>
  <c r="VF32" i="3"/>
  <c r="VG32" i="3"/>
  <c r="VH32" i="3"/>
  <c r="VI32" i="3"/>
  <c r="VJ32" i="3"/>
  <c r="VK32" i="3"/>
  <c r="VL32" i="3"/>
  <c r="VM32" i="3"/>
  <c r="VN32" i="3"/>
  <c r="VO32" i="3"/>
  <c r="VP32" i="3"/>
  <c r="VQ32" i="3"/>
  <c r="VR32" i="3"/>
  <c r="VS32" i="3"/>
  <c r="VT32" i="3"/>
  <c r="VU32" i="3"/>
  <c r="VV32" i="3"/>
  <c r="VW32" i="3"/>
  <c r="VX32" i="3"/>
  <c r="VY32" i="3"/>
  <c r="VZ32" i="3"/>
  <c r="WA32" i="3"/>
  <c r="WB32" i="3"/>
  <c r="WC32" i="3"/>
  <c r="WD32" i="3"/>
  <c r="WE32" i="3"/>
  <c r="WF32" i="3"/>
  <c r="WG32" i="3"/>
  <c r="WH32" i="3"/>
  <c r="WI32" i="3"/>
  <c r="WJ32" i="3"/>
  <c r="WK32" i="3"/>
  <c r="WL32" i="3"/>
  <c r="WM32" i="3"/>
  <c r="WN32" i="3"/>
  <c r="WO32" i="3"/>
  <c r="WP32" i="3"/>
  <c r="WQ32" i="3"/>
  <c r="WR32" i="3"/>
  <c r="WS32" i="3"/>
  <c r="WT32" i="3"/>
  <c r="WU32" i="3"/>
  <c r="WV32" i="3"/>
  <c r="WW32" i="3"/>
  <c r="WX32" i="3"/>
  <c r="WY32" i="3"/>
  <c r="WZ32" i="3"/>
  <c r="XA32" i="3"/>
  <c r="XB32" i="3"/>
  <c r="XC32" i="3"/>
  <c r="XD32" i="3"/>
  <c r="XE32" i="3"/>
  <c r="XF32" i="3"/>
  <c r="XG32" i="3"/>
  <c r="XH32" i="3"/>
  <c r="XI32" i="3"/>
  <c r="XJ32" i="3"/>
  <c r="XK32" i="3"/>
  <c r="XL32" i="3"/>
  <c r="XM32" i="3"/>
  <c r="XN32" i="3"/>
  <c r="XO32" i="3"/>
  <c r="XP32" i="3"/>
  <c r="XQ32" i="3"/>
  <c r="XR32" i="3"/>
  <c r="XS32" i="3"/>
  <c r="XT32" i="3"/>
  <c r="XU32" i="3"/>
  <c r="XV32" i="3"/>
  <c r="XW32" i="3"/>
  <c r="XX32" i="3"/>
  <c r="XY32" i="3"/>
  <c r="XZ32" i="3"/>
  <c r="YA32" i="3"/>
  <c r="YB32" i="3"/>
  <c r="YC32" i="3"/>
  <c r="YD32" i="3"/>
  <c r="YE32" i="3"/>
  <c r="YF32" i="3"/>
  <c r="YG32" i="3"/>
  <c r="YH32" i="3"/>
  <c r="YI32" i="3"/>
  <c r="YJ32" i="3"/>
  <c r="YK32" i="3"/>
  <c r="YL32" i="3"/>
  <c r="YM32" i="3"/>
  <c r="YN32" i="3"/>
  <c r="YO32" i="3"/>
  <c r="YP32" i="3"/>
  <c r="YQ32" i="3"/>
  <c r="YR32" i="3"/>
  <c r="YS32" i="3"/>
  <c r="YT32" i="3"/>
  <c r="YU32" i="3"/>
  <c r="YV32" i="3"/>
  <c r="YW32" i="3"/>
  <c r="YX32" i="3"/>
  <c r="YY32" i="3"/>
  <c r="YZ32" i="3"/>
  <c r="ZA32" i="3"/>
  <c r="ZB32" i="3"/>
  <c r="ZC32" i="3"/>
  <c r="ZD32" i="3"/>
  <c r="ZE32" i="3"/>
  <c r="ZF32" i="3"/>
  <c r="ZG32" i="3"/>
  <c r="ZH32" i="3"/>
  <c r="ZI32" i="3"/>
  <c r="ZJ32" i="3"/>
  <c r="ZK32" i="3"/>
  <c r="ZL32" i="3"/>
  <c r="ZM32" i="3"/>
  <c r="ZN32" i="3"/>
  <c r="ZO32" i="3"/>
  <c r="ZP32" i="3"/>
  <c r="ZQ32" i="3"/>
  <c r="ZR32" i="3"/>
  <c r="ZS32" i="3"/>
  <c r="ZT32" i="3"/>
  <c r="ZU32" i="3"/>
  <c r="ZV32" i="3"/>
  <c r="ZW32" i="3"/>
  <c r="ZX32" i="3"/>
  <c r="ZY32" i="3"/>
  <c r="ZZ32" i="3"/>
  <c r="AAA32" i="3"/>
  <c r="AAB32" i="3"/>
  <c r="AAC32" i="3"/>
  <c r="AAD32" i="3"/>
  <c r="AAE32" i="3"/>
  <c r="AAF32" i="3"/>
  <c r="AAG32" i="3"/>
  <c r="AAH32" i="3"/>
  <c r="AAI32" i="3"/>
  <c r="AAJ32" i="3"/>
  <c r="AAK32" i="3"/>
  <c r="AAL32" i="3"/>
  <c r="AAM32" i="3"/>
  <c r="AAN32" i="3"/>
  <c r="AAO32" i="3"/>
  <c r="AAP32" i="3"/>
  <c r="AAQ32" i="3"/>
  <c r="AAR32" i="3"/>
  <c r="AAS32" i="3"/>
  <c r="AAT32" i="3"/>
  <c r="AAU32" i="3"/>
  <c r="AAV32" i="3"/>
  <c r="AAW32" i="3"/>
  <c r="AAX32" i="3"/>
  <c r="AAY32" i="3"/>
  <c r="AAZ32" i="3"/>
  <c r="ABA32" i="3"/>
  <c r="ABB32" i="3"/>
  <c r="ABC32" i="3"/>
  <c r="ABD32" i="3"/>
  <c r="ABE32" i="3"/>
  <c r="ABF32" i="3"/>
  <c r="ABG32" i="3"/>
  <c r="ABH32" i="3"/>
  <c r="ABI32" i="3"/>
  <c r="ABJ32" i="3"/>
  <c r="ABK32" i="3"/>
  <c r="ABL32" i="3"/>
  <c r="ABM32" i="3"/>
  <c r="ABN32" i="3"/>
  <c r="ABO32" i="3"/>
  <c r="ABP32" i="3"/>
  <c r="ABQ32" i="3"/>
  <c r="ABR32" i="3"/>
  <c r="ABS32" i="3"/>
  <c r="ABT32" i="3"/>
  <c r="ABU32" i="3"/>
  <c r="ABV32" i="3"/>
  <c r="ABW32" i="3"/>
  <c r="ABX32" i="3"/>
  <c r="ABY32" i="3"/>
  <c r="ABZ32" i="3"/>
  <c r="ACA32" i="3"/>
  <c r="ACB32" i="3"/>
  <c r="ACC32" i="3"/>
  <c r="ACD32" i="3"/>
  <c r="ACE32" i="3"/>
  <c r="ACF32" i="3"/>
  <c r="ACG32" i="3"/>
  <c r="ACH32" i="3"/>
  <c r="ACI32" i="3"/>
  <c r="ACJ32" i="3"/>
  <c r="ACK32" i="3"/>
  <c r="ACL32" i="3"/>
  <c r="ACM32" i="3"/>
  <c r="ACN32" i="3"/>
  <c r="ACO32" i="3"/>
  <c r="ACP32" i="3"/>
  <c r="ACQ32" i="3"/>
  <c r="ACR32" i="3"/>
  <c r="ACS32" i="3"/>
  <c r="ACT32" i="3"/>
  <c r="ACU32" i="3"/>
  <c r="ACV32" i="3"/>
  <c r="ACW32" i="3"/>
  <c r="ACX32" i="3"/>
  <c r="ACY32" i="3"/>
  <c r="ACZ32" i="3"/>
  <c r="ADA32" i="3"/>
  <c r="ADB32" i="3"/>
  <c r="ADC32" i="3"/>
  <c r="ADD32" i="3"/>
  <c r="ADE32" i="3"/>
  <c r="ADF32" i="3"/>
  <c r="ADG32" i="3"/>
  <c r="ADH32" i="3"/>
  <c r="ADI32" i="3"/>
  <c r="ADJ32" i="3"/>
  <c r="ADK32" i="3"/>
  <c r="ADL32" i="3"/>
  <c r="ADM32" i="3"/>
  <c r="ADN32" i="3"/>
  <c r="ADO32" i="3"/>
  <c r="ADP32" i="3"/>
  <c r="ADQ32" i="3"/>
  <c r="ADR32" i="3"/>
  <c r="ADS32" i="3"/>
  <c r="ADT32" i="3"/>
  <c r="ADU32" i="3"/>
  <c r="ADV32" i="3"/>
  <c r="ADW32" i="3"/>
  <c r="ADX32" i="3"/>
  <c r="ADY32" i="3"/>
  <c r="ADZ32" i="3"/>
  <c r="AEA32" i="3"/>
  <c r="AEB32" i="3"/>
  <c r="AEC32" i="3"/>
  <c r="AED32" i="3"/>
  <c r="AEE32" i="3"/>
  <c r="AEF32" i="3"/>
  <c r="AEG32" i="3"/>
  <c r="AEH32" i="3"/>
  <c r="AEI32" i="3"/>
  <c r="AEJ32" i="3"/>
  <c r="AEK32" i="3"/>
  <c r="AEL32" i="3"/>
  <c r="AEM32" i="3"/>
  <c r="AEN32" i="3"/>
  <c r="AEO32" i="3"/>
  <c r="AEP32" i="3"/>
  <c r="AEQ32" i="3"/>
  <c r="AER32" i="3"/>
  <c r="AES32" i="3"/>
  <c r="AET32" i="3"/>
  <c r="AEU32" i="3"/>
  <c r="AEV32" i="3"/>
  <c r="AEW32" i="3"/>
  <c r="AEX32" i="3"/>
  <c r="AEY32" i="3"/>
  <c r="AEZ32" i="3"/>
  <c r="AFA32" i="3"/>
  <c r="AFB32" i="3"/>
  <c r="AFC32" i="3"/>
  <c r="AFD32" i="3"/>
  <c r="AFE32" i="3"/>
  <c r="AFF32" i="3"/>
  <c r="AFG32" i="3"/>
  <c r="AFH32" i="3"/>
  <c r="AFI32" i="3"/>
  <c r="AFJ32" i="3"/>
  <c r="AFK32" i="3"/>
  <c r="AFL32" i="3"/>
  <c r="AFM32" i="3"/>
  <c r="AFN32" i="3"/>
  <c r="AFO32" i="3"/>
  <c r="AFP32" i="3"/>
  <c r="AFQ32" i="3"/>
  <c r="AFR32" i="3"/>
  <c r="AFS32" i="3"/>
  <c r="AFT32" i="3"/>
  <c r="AFU32" i="3"/>
  <c r="AFV32" i="3"/>
  <c r="AFW32" i="3"/>
  <c r="AFX32" i="3"/>
  <c r="AFY32" i="3"/>
  <c r="AFZ32" i="3"/>
  <c r="AGA32" i="3"/>
  <c r="AGB32" i="3"/>
  <c r="AGC32" i="3"/>
  <c r="AGD32" i="3"/>
  <c r="AGE32" i="3"/>
  <c r="AGF32" i="3"/>
  <c r="AGG32" i="3"/>
  <c r="AGH32" i="3"/>
  <c r="AGI32" i="3"/>
  <c r="AGJ32" i="3"/>
  <c r="AGK32" i="3"/>
  <c r="AGL32" i="3"/>
  <c r="AGM32" i="3"/>
  <c r="AGN32" i="3"/>
  <c r="AGO32" i="3"/>
  <c r="AGP32" i="3"/>
  <c r="AGQ32" i="3"/>
  <c r="AGR32" i="3"/>
  <c r="AGS32" i="3"/>
  <c r="AGT32" i="3"/>
  <c r="AGU32" i="3"/>
  <c r="AGV32" i="3"/>
  <c r="AGW32" i="3"/>
  <c r="AGX32" i="3"/>
  <c r="AGY32" i="3"/>
  <c r="AGZ32" i="3"/>
  <c r="AHA32" i="3"/>
  <c r="AHB32" i="3"/>
  <c r="AHC32" i="3"/>
  <c r="AHD32" i="3"/>
  <c r="AHE32" i="3"/>
  <c r="AHF32" i="3"/>
  <c r="AHG32" i="3"/>
  <c r="AHH32" i="3"/>
  <c r="AHI32" i="3"/>
  <c r="AHJ32" i="3"/>
  <c r="AHK32" i="3"/>
  <c r="AHL32" i="3"/>
  <c r="AHM32" i="3"/>
  <c r="AHN32" i="3"/>
  <c r="AHO32" i="3"/>
  <c r="AHP32" i="3"/>
  <c r="AHQ32" i="3"/>
  <c r="AHR32" i="3"/>
  <c r="AHS32" i="3"/>
  <c r="AHT32" i="3"/>
  <c r="AHU32" i="3"/>
  <c r="AHV32" i="3"/>
  <c r="AHW32" i="3"/>
  <c r="AHX32" i="3"/>
  <c r="AHY32" i="3"/>
  <c r="AHZ32" i="3"/>
  <c r="AIA32" i="3"/>
  <c r="AIB32" i="3"/>
  <c r="AIC32" i="3"/>
  <c r="AID32" i="3"/>
  <c r="AIE32" i="3"/>
  <c r="AIF32" i="3"/>
  <c r="AIG32" i="3"/>
  <c r="AIH32" i="3"/>
  <c r="AII32" i="3"/>
  <c r="AIJ32" i="3"/>
  <c r="AIK32" i="3"/>
  <c r="AIL32" i="3"/>
  <c r="AIM32" i="3"/>
  <c r="AIN32" i="3"/>
  <c r="AIO32" i="3"/>
  <c r="AIP32" i="3"/>
  <c r="AIQ32" i="3"/>
  <c r="AIR32" i="3"/>
  <c r="AIS32" i="3"/>
  <c r="AIT32" i="3"/>
  <c r="AIU32" i="3"/>
  <c r="AIV32" i="3"/>
  <c r="AIW32" i="3"/>
  <c r="AIX32" i="3"/>
  <c r="AIY32" i="3"/>
  <c r="AIZ32" i="3"/>
  <c r="AJA32" i="3"/>
  <c r="AJB32" i="3"/>
  <c r="AJC32" i="3"/>
  <c r="AJD32" i="3"/>
  <c r="AJE32" i="3"/>
  <c r="AJF32" i="3"/>
  <c r="AJG32" i="3"/>
  <c r="AJH32" i="3"/>
  <c r="AJI32" i="3"/>
  <c r="AJJ32" i="3"/>
  <c r="AJK32" i="3"/>
  <c r="AJL32" i="3"/>
  <c r="AJM32" i="3"/>
  <c r="AJN32" i="3"/>
  <c r="AJO32" i="3"/>
  <c r="AJP32" i="3"/>
  <c r="AJQ32" i="3"/>
  <c r="AJR32" i="3"/>
  <c r="AJS32" i="3"/>
  <c r="AJT32" i="3"/>
  <c r="AJU32" i="3"/>
  <c r="AJV32" i="3"/>
  <c r="AJW32" i="3"/>
  <c r="AJX32" i="3"/>
  <c r="AJY32" i="3"/>
  <c r="AJZ32" i="3"/>
  <c r="AKA32" i="3"/>
  <c r="AKB32" i="3"/>
  <c r="AKC32" i="3"/>
  <c r="AKD32" i="3"/>
  <c r="AKE32" i="3"/>
  <c r="AKF32" i="3"/>
  <c r="AKG32" i="3"/>
  <c r="AKH32" i="3"/>
  <c r="AKI32" i="3"/>
  <c r="AKJ32" i="3"/>
  <c r="AKK32" i="3"/>
  <c r="AKL32" i="3"/>
  <c r="AKM32" i="3"/>
  <c r="AKN32" i="3"/>
  <c r="AKO32" i="3"/>
  <c r="AKP32" i="3"/>
  <c r="AKQ32" i="3"/>
  <c r="AKR32" i="3"/>
  <c r="AKS32" i="3"/>
  <c r="AKT32" i="3"/>
  <c r="AKU32" i="3"/>
  <c r="AKV32" i="3"/>
  <c r="AKW32" i="3"/>
  <c r="AKX32" i="3"/>
  <c r="AKY32" i="3"/>
  <c r="AKZ32" i="3"/>
  <c r="ALA32" i="3"/>
  <c r="ALB32" i="3"/>
  <c r="ALC32" i="3"/>
  <c r="ALD32" i="3"/>
  <c r="ALE32" i="3"/>
  <c r="ALF32" i="3"/>
  <c r="ALG32" i="3"/>
  <c r="ALH32" i="3"/>
  <c r="ALI32" i="3"/>
  <c r="ALJ32" i="3"/>
  <c r="ALK32" i="3"/>
  <c r="ALL32" i="3"/>
  <c r="ALM32" i="3"/>
  <c r="ALN32" i="3"/>
  <c r="ALO32" i="3"/>
  <c r="ALP32" i="3"/>
  <c r="ALQ32" i="3"/>
  <c r="ALR32" i="3"/>
  <c r="ALS32" i="3"/>
  <c r="ALT32" i="3"/>
  <c r="ALU32" i="3"/>
  <c r="ALV32" i="3"/>
  <c r="ALW32" i="3"/>
  <c r="ALX32" i="3"/>
  <c r="ALY32" i="3"/>
  <c r="ALZ32" i="3"/>
  <c r="AMA32" i="3"/>
  <c r="AMB32" i="3"/>
  <c r="AMC32" i="3"/>
  <c r="AMD32" i="3"/>
  <c r="AME32" i="3"/>
  <c r="AMF32" i="3"/>
  <c r="AMG32" i="3"/>
  <c r="AMH32" i="3"/>
  <c r="AMI32" i="3"/>
  <c r="AMJ32" i="3"/>
  <c r="AMK32" i="3"/>
  <c r="AML32" i="3"/>
  <c r="AMM32" i="3"/>
  <c r="AMN32" i="3"/>
  <c r="AMO32" i="3"/>
  <c r="AMP32" i="3"/>
  <c r="AMQ32" i="3"/>
  <c r="AMR32" i="3"/>
  <c r="AMS32" i="3"/>
  <c r="AMT32" i="3"/>
  <c r="AMU32" i="3"/>
  <c r="AMV32" i="3"/>
  <c r="AMW32" i="3"/>
  <c r="AMX32" i="3"/>
  <c r="AMY32" i="3"/>
  <c r="AMZ32" i="3"/>
  <c r="ANA32" i="3"/>
  <c r="ANB32" i="3"/>
  <c r="ANC32" i="3"/>
  <c r="AND32" i="3"/>
  <c r="ANE32" i="3"/>
  <c r="ANF32" i="3"/>
  <c r="ANG32" i="3"/>
  <c r="ANH32" i="3"/>
  <c r="ANI32" i="3"/>
  <c r="ANJ32" i="3"/>
  <c r="ANK32" i="3"/>
  <c r="ANL32" i="3"/>
  <c r="ANM32" i="3"/>
  <c r="ANN32" i="3"/>
  <c r="ANO32" i="3"/>
  <c r="ANP32" i="3"/>
  <c r="ANQ32" i="3"/>
  <c r="ANR32" i="3"/>
  <c r="ANS32" i="3"/>
  <c r="ANT32" i="3"/>
  <c r="ANU32" i="3"/>
  <c r="ANV32" i="3"/>
  <c r="ANW32" i="3"/>
  <c r="ANX32" i="3"/>
  <c r="ANY32" i="3"/>
  <c r="ANZ32" i="3"/>
  <c r="AOA32" i="3"/>
  <c r="AOB32" i="3"/>
  <c r="AOC32" i="3"/>
  <c r="AOD32" i="3"/>
  <c r="AOE32" i="3"/>
  <c r="AOF32" i="3"/>
  <c r="AOG32" i="3"/>
  <c r="AOH32" i="3"/>
  <c r="AOI32" i="3"/>
  <c r="AOJ32" i="3"/>
  <c r="AOK32" i="3"/>
  <c r="AOL32" i="3"/>
  <c r="AOM32" i="3"/>
  <c r="AON32" i="3"/>
  <c r="AOO32" i="3"/>
  <c r="AOP32" i="3"/>
  <c r="AOQ32" i="3"/>
  <c r="AOR32" i="3"/>
  <c r="AOS32" i="3"/>
  <c r="AOT32" i="3"/>
  <c r="AOU32" i="3"/>
  <c r="AOV32" i="3"/>
  <c r="AOW32" i="3"/>
  <c r="AOX32" i="3"/>
  <c r="AOY32" i="3"/>
  <c r="AOZ32" i="3"/>
  <c r="APA32" i="3"/>
  <c r="APB32" i="3"/>
  <c r="APC32" i="3"/>
  <c r="APD32" i="3"/>
  <c r="APE32" i="3"/>
  <c r="APF32" i="3"/>
  <c r="APG32" i="3"/>
  <c r="APH32" i="3"/>
  <c r="API32" i="3"/>
  <c r="APJ32" i="3"/>
  <c r="APK32" i="3"/>
  <c r="APL32" i="3"/>
  <c r="APM32" i="3"/>
  <c r="APN32" i="3"/>
  <c r="APO32" i="3"/>
  <c r="APP32" i="3"/>
  <c r="APQ32" i="3"/>
  <c r="APR32" i="3"/>
  <c r="APS32" i="3"/>
  <c r="APT32" i="3"/>
  <c r="APU32" i="3"/>
  <c r="APV32" i="3"/>
  <c r="APW32" i="3"/>
  <c r="APX32" i="3"/>
  <c r="APY32" i="3"/>
  <c r="APZ32" i="3"/>
  <c r="AQA32" i="3"/>
  <c r="AQB32" i="3"/>
  <c r="AQC32" i="3"/>
  <c r="AQD32" i="3"/>
  <c r="AQE32" i="3"/>
  <c r="AQF32" i="3"/>
  <c r="AQG32" i="3"/>
  <c r="AQH32" i="3"/>
  <c r="AQI32" i="3"/>
  <c r="AQJ32" i="3"/>
  <c r="AQK32" i="3"/>
  <c r="AQL32" i="3"/>
  <c r="AQM32" i="3"/>
  <c r="AQN32" i="3"/>
  <c r="AQO32" i="3"/>
  <c r="AQP32" i="3"/>
  <c r="AQQ32" i="3"/>
  <c r="AQR32" i="3"/>
  <c r="AQS32" i="3"/>
  <c r="AQT32" i="3"/>
  <c r="AQU32" i="3"/>
  <c r="AQV32" i="3"/>
  <c r="AQW32" i="3"/>
  <c r="AQX32" i="3"/>
  <c r="AQY32" i="3"/>
  <c r="AQZ32" i="3"/>
  <c r="ARA32" i="3"/>
  <c r="ARB32" i="3"/>
  <c r="ARC32" i="3"/>
  <c r="ARD32" i="3"/>
  <c r="ARE32" i="3"/>
  <c r="ARF32" i="3"/>
  <c r="ARG32" i="3"/>
  <c r="ARH32" i="3"/>
  <c r="ARI32" i="3"/>
  <c r="ARJ32" i="3"/>
  <c r="ARK32" i="3"/>
  <c r="ARL32" i="3"/>
  <c r="ARM32" i="3"/>
  <c r="ARN32" i="3"/>
  <c r="ARO32" i="3"/>
  <c r="ARP32" i="3"/>
  <c r="ARQ32" i="3"/>
  <c r="ARR32" i="3"/>
  <c r="ARS32" i="3"/>
  <c r="ART32" i="3"/>
  <c r="ARU32" i="3"/>
  <c r="ARV32" i="3"/>
  <c r="ARW32" i="3"/>
  <c r="ARX32" i="3"/>
  <c r="ARY32" i="3"/>
  <c r="ARZ32" i="3"/>
  <c r="ASA32" i="3"/>
  <c r="ASB32" i="3"/>
  <c r="ASC32" i="3"/>
  <c r="ASD32" i="3"/>
  <c r="ASE32" i="3"/>
  <c r="ASF32" i="3"/>
  <c r="ASG32" i="3"/>
  <c r="ASH32" i="3"/>
  <c r="ASI32" i="3"/>
  <c r="ASJ32" i="3"/>
  <c r="ASK32" i="3"/>
  <c r="ASL32" i="3"/>
  <c r="ASM32" i="3"/>
  <c r="ASN32" i="3"/>
  <c r="ASO32" i="3"/>
  <c r="ASP32" i="3"/>
  <c r="ASQ32" i="3"/>
  <c r="ASR32" i="3"/>
  <c r="ASS32" i="3"/>
  <c r="AST32" i="3"/>
  <c r="ASU32" i="3"/>
  <c r="ASV32" i="3"/>
  <c r="ASW32" i="3"/>
  <c r="ASX32" i="3"/>
  <c r="ASY32" i="3"/>
  <c r="ASZ32" i="3"/>
  <c r="ATA32" i="3"/>
  <c r="ATB32" i="3"/>
  <c r="ATC32" i="3"/>
  <c r="ATD32" i="3"/>
  <c r="ATE32" i="3"/>
  <c r="ATF32" i="3"/>
  <c r="ATG32" i="3"/>
  <c r="ATH32" i="3"/>
  <c r="ATI32" i="3"/>
  <c r="ATJ32" i="3"/>
  <c r="ATK32" i="3"/>
  <c r="ATL32" i="3"/>
  <c r="ATM32" i="3"/>
  <c r="ATN32" i="3"/>
  <c r="ATO32" i="3"/>
  <c r="ATP32" i="3"/>
  <c r="ATQ32" i="3"/>
  <c r="ATR32" i="3"/>
  <c r="ATS32" i="3"/>
  <c r="ATT32" i="3"/>
  <c r="ATU32" i="3"/>
  <c r="ATV32" i="3"/>
  <c r="ATW32" i="3"/>
  <c r="ATX32" i="3"/>
  <c r="ATY32" i="3"/>
  <c r="ATZ32" i="3"/>
  <c r="AUA32" i="3"/>
  <c r="AUB32" i="3"/>
  <c r="AUC32" i="3"/>
  <c r="AUD32" i="3"/>
  <c r="AUE32" i="3"/>
  <c r="AUF32" i="3"/>
  <c r="AUG32" i="3"/>
  <c r="AUH32" i="3"/>
  <c r="AUI32" i="3"/>
  <c r="AUJ32" i="3"/>
  <c r="AUK32" i="3"/>
  <c r="AUL32" i="3"/>
  <c r="AUM32" i="3"/>
  <c r="AUN32" i="3"/>
  <c r="AUO32" i="3"/>
  <c r="AUP32" i="3"/>
  <c r="AUQ32" i="3"/>
  <c r="AUR32" i="3"/>
  <c r="AUS32" i="3"/>
  <c r="AUT32" i="3"/>
  <c r="AUU32" i="3"/>
  <c r="AUV32" i="3"/>
  <c r="AUW32" i="3"/>
  <c r="AUX32" i="3"/>
  <c r="AUY32" i="3"/>
  <c r="AUZ32" i="3"/>
  <c r="AVA32" i="3"/>
  <c r="AVB32" i="3"/>
  <c r="AVC32" i="3"/>
  <c r="AVD32" i="3"/>
  <c r="AVE32" i="3"/>
  <c r="AVF32" i="3"/>
  <c r="AVG32" i="3"/>
  <c r="AVH32" i="3"/>
  <c r="AVI32" i="3"/>
  <c r="AVJ32" i="3"/>
  <c r="AVK32" i="3"/>
  <c r="AVL32" i="3"/>
  <c r="AVM32" i="3"/>
  <c r="AVN32" i="3"/>
  <c r="AVO32" i="3"/>
  <c r="AVP32" i="3"/>
  <c r="AVQ32" i="3"/>
  <c r="AVR32" i="3"/>
  <c r="AVS32" i="3"/>
  <c r="AVT32" i="3"/>
  <c r="AVU32" i="3"/>
  <c r="AVV32" i="3"/>
  <c r="AVW32" i="3"/>
  <c r="AVX32" i="3"/>
  <c r="AVY32" i="3"/>
  <c r="AVZ32" i="3"/>
  <c r="AWA32" i="3"/>
  <c r="AWB32" i="3"/>
  <c r="AWC32" i="3"/>
  <c r="AWD32" i="3"/>
  <c r="AWE32" i="3"/>
  <c r="AWF32" i="3"/>
  <c r="AWG32" i="3"/>
  <c r="AWH32" i="3"/>
  <c r="AWI32" i="3"/>
  <c r="AWJ32" i="3"/>
  <c r="AWK32" i="3"/>
  <c r="AWL32" i="3"/>
  <c r="AWM32" i="3"/>
  <c r="AWN32" i="3"/>
  <c r="AWO32" i="3"/>
  <c r="AWP32" i="3"/>
  <c r="AWQ32" i="3"/>
  <c r="AWR32" i="3"/>
  <c r="AWS32" i="3"/>
  <c r="AWT32" i="3"/>
  <c r="AWU32" i="3"/>
  <c r="AWV32" i="3"/>
  <c r="AWW32" i="3"/>
  <c r="AWX32" i="3"/>
  <c r="AWY32" i="3"/>
  <c r="AWZ32" i="3"/>
  <c r="AXA32" i="3"/>
  <c r="AXB32" i="3"/>
  <c r="AXC32" i="3"/>
  <c r="AXD32" i="3"/>
  <c r="AXE32" i="3"/>
  <c r="AXF32" i="3"/>
  <c r="AXG32" i="3"/>
  <c r="AXH32" i="3"/>
  <c r="AXI32" i="3"/>
  <c r="AXJ32" i="3"/>
  <c r="AXK32" i="3"/>
  <c r="AXL32" i="3"/>
  <c r="AXM32" i="3"/>
  <c r="AXN32" i="3"/>
  <c r="AXO32" i="3"/>
  <c r="AXP32" i="3"/>
  <c r="AXQ32" i="3"/>
  <c r="AXR32" i="3"/>
  <c r="AXS32" i="3"/>
  <c r="AXT32" i="3"/>
  <c r="AXU32" i="3"/>
  <c r="AXV32" i="3"/>
  <c r="AXW32" i="3"/>
  <c r="AXX32" i="3"/>
  <c r="AXY32" i="3"/>
  <c r="AXZ32" i="3"/>
  <c r="AYA32" i="3"/>
  <c r="AYB32" i="3"/>
  <c r="AYC32" i="3"/>
  <c r="AYD32" i="3"/>
  <c r="AYE32" i="3"/>
  <c r="AYF32" i="3"/>
  <c r="AYG32" i="3"/>
  <c r="AYH32" i="3"/>
  <c r="AYI32" i="3"/>
  <c r="AYJ32" i="3"/>
  <c r="AYK32" i="3"/>
  <c r="AYL32" i="3"/>
  <c r="AYM32" i="3"/>
  <c r="AYN32" i="3"/>
  <c r="AYO32" i="3"/>
  <c r="AYP32" i="3"/>
  <c r="AYQ32" i="3"/>
  <c r="AYR32" i="3"/>
  <c r="AYS32" i="3"/>
  <c r="AYT32" i="3"/>
  <c r="AYU32" i="3"/>
  <c r="AYV32" i="3"/>
  <c r="AYW32" i="3"/>
  <c r="AYX32" i="3"/>
  <c r="AYY32" i="3"/>
  <c r="AYZ32" i="3"/>
  <c r="AZA32" i="3"/>
  <c r="AZB32" i="3"/>
  <c r="AZC32" i="3"/>
  <c r="AZD32" i="3"/>
  <c r="AZE32" i="3"/>
  <c r="AZF32" i="3"/>
  <c r="AZG32" i="3"/>
  <c r="AZH32" i="3"/>
  <c r="AZI32" i="3"/>
  <c r="AZJ32" i="3"/>
  <c r="AZK32" i="3"/>
  <c r="AZL32" i="3"/>
  <c r="AZM32" i="3"/>
  <c r="AZN32" i="3"/>
  <c r="AZO32" i="3"/>
  <c r="AZP32" i="3"/>
  <c r="AZQ32" i="3"/>
  <c r="AZR32" i="3"/>
  <c r="AZS32" i="3"/>
  <c r="AZT32" i="3"/>
  <c r="AZU32" i="3"/>
  <c r="AZV32" i="3"/>
  <c r="AZW32" i="3"/>
  <c r="AZX32" i="3"/>
  <c r="AZY32" i="3"/>
  <c r="AZZ32" i="3"/>
  <c r="BAA32" i="3"/>
  <c r="BAB32" i="3"/>
  <c r="BAC32" i="3"/>
  <c r="BAD32" i="3"/>
  <c r="BAE32" i="3"/>
  <c r="BAF32" i="3"/>
  <c r="BAG32" i="3"/>
  <c r="BAH32" i="3"/>
  <c r="BAI32" i="3"/>
  <c r="BAJ32" i="3"/>
  <c r="BAK32" i="3"/>
  <c r="BAL32" i="3"/>
  <c r="BAM32" i="3"/>
  <c r="BAN32" i="3"/>
  <c r="BAO32" i="3"/>
  <c r="BAP32" i="3"/>
  <c r="BAQ32" i="3"/>
  <c r="BAR32" i="3"/>
  <c r="BAS32" i="3"/>
  <c r="BAT32" i="3"/>
  <c r="BAU32" i="3"/>
  <c r="BAV32" i="3"/>
  <c r="BAW32" i="3"/>
  <c r="BAX32" i="3"/>
  <c r="BAY32" i="3"/>
  <c r="BAZ32" i="3"/>
  <c r="BBA32" i="3"/>
  <c r="BBB32" i="3"/>
  <c r="BBC32" i="3"/>
  <c r="BBD32" i="3"/>
  <c r="BBE32" i="3"/>
  <c r="BBF32" i="3"/>
  <c r="BBG32" i="3"/>
  <c r="BBH32" i="3"/>
  <c r="BBI32" i="3"/>
  <c r="BBJ32" i="3"/>
  <c r="BBK32" i="3"/>
  <c r="BBL32" i="3"/>
  <c r="BBM32" i="3"/>
  <c r="BBN32" i="3"/>
  <c r="BBO32" i="3"/>
  <c r="BBP32" i="3"/>
  <c r="BBQ32" i="3"/>
  <c r="BBR32" i="3"/>
  <c r="BBS32" i="3"/>
  <c r="BBT32" i="3"/>
  <c r="BBU32" i="3"/>
  <c r="BBV32" i="3"/>
  <c r="BBW32" i="3"/>
  <c r="BBX32" i="3"/>
  <c r="BBY32" i="3"/>
  <c r="BBZ32" i="3"/>
  <c r="BCA32" i="3"/>
  <c r="BCB32" i="3"/>
  <c r="BCC32" i="3"/>
  <c r="BCD32" i="3"/>
  <c r="BCE32" i="3"/>
  <c r="BCF32" i="3"/>
  <c r="BCG32" i="3"/>
  <c r="BCH32" i="3"/>
  <c r="BCI32" i="3"/>
  <c r="BCJ32" i="3"/>
  <c r="BCK32" i="3"/>
  <c r="BCL32" i="3"/>
  <c r="BCM32" i="3"/>
  <c r="BCN32" i="3"/>
  <c r="BCO32" i="3"/>
  <c r="BCP32" i="3"/>
  <c r="BCQ32" i="3"/>
  <c r="BCR32" i="3"/>
  <c r="BCS32" i="3"/>
  <c r="BCT32" i="3"/>
  <c r="BCU32" i="3"/>
  <c r="BCV32" i="3"/>
  <c r="BCW32" i="3"/>
  <c r="BCX32" i="3"/>
  <c r="BCY32" i="3"/>
  <c r="BCZ32" i="3"/>
  <c r="BDA32" i="3"/>
  <c r="BDB32" i="3"/>
  <c r="BDC32" i="3"/>
  <c r="BDD32" i="3"/>
  <c r="BDE32" i="3"/>
  <c r="BDF32" i="3"/>
  <c r="BDG32" i="3"/>
  <c r="BDH32" i="3"/>
  <c r="BDI32" i="3"/>
  <c r="BDJ32" i="3"/>
  <c r="BDK32" i="3"/>
  <c r="BDL32" i="3"/>
  <c r="BDM32" i="3"/>
  <c r="BDN32" i="3"/>
  <c r="BDO32" i="3"/>
  <c r="BDP32" i="3"/>
  <c r="BDQ32" i="3"/>
  <c r="BDR32" i="3"/>
  <c r="BDS32" i="3"/>
  <c r="BDT32" i="3"/>
  <c r="BDU32" i="3"/>
  <c r="BDV32" i="3"/>
  <c r="BDW32" i="3"/>
  <c r="BDX32" i="3"/>
  <c r="BDY32" i="3"/>
  <c r="BDZ32" i="3"/>
  <c r="BEA32" i="3"/>
  <c r="BEB32" i="3"/>
  <c r="BEC32" i="3"/>
  <c r="BED32" i="3"/>
  <c r="BEE32" i="3"/>
  <c r="BEF32" i="3"/>
  <c r="BEG32" i="3"/>
  <c r="BEH32" i="3"/>
  <c r="BEI32" i="3"/>
  <c r="BEJ32" i="3"/>
  <c r="BEK32" i="3"/>
  <c r="BEL32" i="3"/>
  <c r="BEM32" i="3"/>
  <c r="BEN32" i="3"/>
  <c r="BEO32" i="3"/>
  <c r="BEP32" i="3"/>
  <c r="BEQ32" i="3"/>
  <c r="BER32" i="3"/>
  <c r="BES32" i="3"/>
  <c r="BET32" i="3"/>
  <c r="BEU32" i="3"/>
  <c r="BEV32" i="3"/>
  <c r="BEW32" i="3"/>
  <c r="BEX32" i="3"/>
  <c r="BEY32" i="3"/>
  <c r="BEZ32" i="3"/>
  <c r="BFA32" i="3"/>
  <c r="BFB32" i="3"/>
  <c r="BFC32" i="3"/>
  <c r="BFD32" i="3"/>
  <c r="BFE32" i="3"/>
  <c r="BFF32" i="3"/>
  <c r="BFG32" i="3"/>
  <c r="BFH32" i="3"/>
  <c r="BFI32" i="3"/>
  <c r="BFJ32" i="3"/>
  <c r="BFK32" i="3"/>
  <c r="BFL32" i="3"/>
  <c r="BFM32" i="3"/>
  <c r="BFN32" i="3"/>
  <c r="BFO32" i="3"/>
  <c r="BFP32" i="3"/>
  <c r="BFQ32" i="3"/>
  <c r="BFR32" i="3"/>
  <c r="BFS32" i="3"/>
  <c r="BFT32" i="3"/>
  <c r="BFU32" i="3"/>
  <c r="BFV32" i="3"/>
  <c r="BFW32" i="3"/>
  <c r="BFX32" i="3"/>
  <c r="BFY32" i="3"/>
  <c r="BFZ32" i="3"/>
  <c r="BGA32" i="3"/>
  <c r="BGB32" i="3"/>
  <c r="BGC32" i="3"/>
  <c r="BGD32" i="3"/>
  <c r="BGE32" i="3"/>
  <c r="BGF32" i="3"/>
  <c r="BGG32" i="3"/>
  <c r="BGH32" i="3"/>
  <c r="BGI32" i="3"/>
  <c r="BGJ32" i="3"/>
  <c r="BGK32" i="3"/>
  <c r="BGL32" i="3"/>
  <c r="BGM32" i="3"/>
  <c r="BGN32" i="3"/>
  <c r="BGO32" i="3"/>
  <c r="BGP32" i="3"/>
  <c r="BGQ32" i="3"/>
  <c r="BGR32" i="3"/>
  <c r="BGS32" i="3"/>
  <c r="BGT32" i="3"/>
  <c r="BGU32" i="3"/>
  <c r="BGV32" i="3"/>
  <c r="BGW32" i="3"/>
  <c r="BGX32" i="3"/>
  <c r="BGY32" i="3"/>
  <c r="BGZ32" i="3"/>
  <c r="BHA32" i="3"/>
  <c r="BHB32" i="3"/>
  <c r="BHC32" i="3"/>
  <c r="BHD32" i="3"/>
  <c r="BHE32" i="3"/>
  <c r="BHF32" i="3"/>
  <c r="BHG32" i="3"/>
  <c r="BHH32" i="3"/>
  <c r="BHI32" i="3"/>
  <c r="BHJ32" i="3"/>
  <c r="BHK32" i="3"/>
  <c r="BHL32" i="3"/>
  <c r="BHM32" i="3"/>
  <c r="BHN32" i="3"/>
  <c r="BHO32" i="3"/>
  <c r="BHP32" i="3"/>
  <c r="BHQ32" i="3"/>
  <c r="BHR32" i="3"/>
  <c r="BHS32" i="3"/>
  <c r="BHT32" i="3"/>
  <c r="BHU32" i="3"/>
  <c r="BHV32" i="3"/>
  <c r="BHW32" i="3"/>
  <c r="BHX32" i="3"/>
  <c r="BHY32" i="3"/>
  <c r="BHZ32" i="3"/>
  <c r="BIA32" i="3"/>
  <c r="BIB32" i="3"/>
  <c r="BIC32" i="3"/>
  <c r="BID32" i="3"/>
  <c r="BIE32" i="3"/>
  <c r="BIF32" i="3"/>
  <c r="BIG32" i="3"/>
  <c r="BIH32" i="3"/>
  <c r="BII32" i="3"/>
  <c r="BIJ32" i="3"/>
  <c r="BIK32" i="3"/>
  <c r="BIL32" i="3"/>
  <c r="BIM32" i="3"/>
  <c r="BIN32" i="3"/>
  <c r="BIO32" i="3"/>
  <c r="BIP32" i="3"/>
  <c r="BIQ32" i="3"/>
  <c r="BIR32" i="3"/>
  <c r="BIS32" i="3"/>
  <c r="BIT32" i="3"/>
  <c r="BIU32" i="3"/>
  <c r="BIV32" i="3"/>
  <c r="BIW32" i="3"/>
  <c r="BIX32" i="3"/>
  <c r="BIY32" i="3"/>
  <c r="BIZ32" i="3"/>
  <c r="BJA32" i="3"/>
  <c r="BJB32" i="3"/>
  <c r="BJC32" i="3"/>
  <c r="BJD32" i="3"/>
  <c r="BJE32" i="3"/>
  <c r="BJF32" i="3"/>
  <c r="BJG32" i="3"/>
  <c r="BJH32" i="3"/>
  <c r="BJI32" i="3"/>
  <c r="BJJ32" i="3"/>
  <c r="BJK32" i="3"/>
  <c r="BJL32" i="3"/>
  <c r="BJM32" i="3"/>
  <c r="BJN32" i="3"/>
  <c r="BJO32" i="3"/>
  <c r="BJP32" i="3"/>
  <c r="BJQ32" i="3"/>
  <c r="BJR32" i="3"/>
  <c r="BJS32" i="3"/>
  <c r="BJT32" i="3"/>
  <c r="BJU32" i="3"/>
  <c r="BJV32" i="3"/>
  <c r="BJW32" i="3"/>
  <c r="BJX32" i="3"/>
  <c r="BJY32" i="3"/>
  <c r="BJZ32" i="3"/>
  <c r="BKA32" i="3"/>
  <c r="BKB32" i="3"/>
  <c r="BKC32" i="3"/>
  <c r="BKD32" i="3"/>
  <c r="BKE32" i="3"/>
  <c r="BKF32" i="3"/>
  <c r="BKG32" i="3"/>
  <c r="BKH32" i="3"/>
  <c r="BKI32" i="3"/>
  <c r="BKJ32" i="3"/>
  <c r="BKK32" i="3"/>
  <c r="BKL32" i="3"/>
  <c r="BKM32" i="3"/>
  <c r="BKN32" i="3"/>
  <c r="BKO32" i="3"/>
  <c r="BKP32" i="3"/>
  <c r="BKQ32" i="3"/>
  <c r="BKR32" i="3"/>
  <c r="BKS32" i="3"/>
  <c r="BKT32" i="3"/>
  <c r="BKU32" i="3"/>
  <c r="BKV32" i="3"/>
  <c r="BKW32" i="3"/>
  <c r="BKX32" i="3"/>
  <c r="BKY32" i="3"/>
  <c r="BKZ32" i="3"/>
  <c r="BLA32" i="3"/>
  <c r="BLB32" i="3"/>
  <c r="BLC32" i="3"/>
  <c r="BLD32" i="3"/>
  <c r="BLE32" i="3"/>
  <c r="BLF32" i="3"/>
  <c r="BLG32" i="3"/>
  <c r="BLH32" i="3"/>
  <c r="BLI32" i="3"/>
  <c r="BLJ32" i="3"/>
  <c r="BLK32" i="3"/>
  <c r="BLL32" i="3"/>
  <c r="BLM32" i="3"/>
  <c r="BLN32" i="3"/>
  <c r="BLO32" i="3"/>
  <c r="BLP32" i="3"/>
  <c r="BLQ32" i="3"/>
  <c r="BLR32" i="3"/>
  <c r="BLS32" i="3"/>
  <c r="BLT32" i="3"/>
  <c r="BLU32" i="3"/>
  <c r="BLV32" i="3"/>
  <c r="BLW32" i="3"/>
  <c r="BLX32" i="3"/>
  <c r="BLY32" i="3"/>
  <c r="BLZ32" i="3"/>
  <c r="BMA32" i="3"/>
  <c r="BMB32" i="3"/>
  <c r="BMC32" i="3"/>
  <c r="BMD32" i="3"/>
  <c r="BME32" i="3"/>
  <c r="BMF32" i="3"/>
  <c r="BMG32" i="3"/>
  <c r="BMH32" i="3"/>
  <c r="BMI32" i="3"/>
  <c r="BMJ32" i="3"/>
  <c r="BMK32" i="3"/>
  <c r="BML32" i="3"/>
  <c r="BMM32" i="3"/>
  <c r="BMN32" i="3"/>
  <c r="BMO32" i="3"/>
  <c r="BMP32" i="3"/>
  <c r="BMQ32" i="3"/>
  <c r="BMR32" i="3"/>
  <c r="BMS32" i="3"/>
  <c r="BMT32" i="3"/>
  <c r="BMU32" i="3"/>
  <c r="BMV32" i="3"/>
  <c r="BMW32" i="3"/>
  <c r="BMX32" i="3"/>
  <c r="BMY32" i="3"/>
  <c r="BMZ32" i="3"/>
  <c r="BNA32" i="3"/>
  <c r="BNB32" i="3"/>
  <c r="BNC32" i="3"/>
  <c r="BND32" i="3"/>
  <c r="BNE32" i="3"/>
  <c r="BNF32" i="3"/>
  <c r="BNG32" i="3"/>
  <c r="BNH32" i="3"/>
  <c r="BNI32" i="3"/>
  <c r="BNJ32" i="3"/>
  <c r="BNK32" i="3"/>
  <c r="BNL32" i="3"/>
  <c r="BNM32" i="3"/>
  <c r="BNN32" i="3"/>
  <c r="BNO32" i="3"/>
  <c r="BNP32" i="3"/>
  <c r="BNQ32" i="3"/>
  <c r="BNR32" i="3"/>
  <c r="BNS32" i="3"/>
  <c r="BNT32" i="3"/>
  <c r="BNU32" i="3"/>
  <c r="BNV32" i="3"/>
  <c r="BNW32" i="3"/>
  <c r="BNX32" i="3"/>
  <c r="BNY32" i="3"/>
  <c r="BNZ32" i="3"/>
  <c r="BOA32" i="3"/>
  <c r="BOB32" i="3"/>
  <c r="BOC32" i="3"/>
  <c r="BOD32" i="3"/>
  <c r="BOE32" i="3"/>
  <c r="BOF32" i="3"/>
  <c r="BOG32" i="3"/>
  <c r="BOH32" i="3"/>
  <c r="BOI32" i="3"/>
  <c r="BOJ32" i="3"/>
  <c r="BOK32" i="3"/>
  <c r="BOL32" i="3"/>
  <c r="BOM32" i="3"/>
  <c r="BON32" i="3"/>
  <c r="BOO32" i="3"/>
  <c r="BOP32" i="3"/>
  <c r="BOQ32" i="3"/>
  <c r="BOR32" i="3"/>
  <c r="BOS32" i="3"/>
  <c r="BOT32" i="3"/>
  <c r="BOU32" i="3"/>
  <c r="BOV32" i="3"/>
  <c r="BOW32" i="3"/>
  <c r="BOX32" i="3"/>
  <c r="BOY32" i="3"/>
  <c r="BOZ32" i="3"/>
  <c r="BPA32" i="3"/>
  <c r="BPB32" i="3"/>
  <c r="BPC32" i="3"/>
  <c r="BPD32" i="3"/>
  <c r="BPE32" i="3"/>
  <c r="BPF32" i="3"/>
  <c r="BPG32" i="3"/>
  <c r="BPH32" i="3"/>
  <c r="BPI32" i="3"/>
  <c r="BPJ32" i="3"/>
  <c r="BPK32" i="3"/>
  <c r="BPL32" i="3"/>
  <c r="BPM32" i="3"/>
  <c r="BPN32" i="3"/>
  <c r="BPO32" i="3"/>
  <c r="BPP32" i="3"/>
  <c r="BPQ32" i="3"/>
  <c r="BPR32" i="3"/>
  <c r="BPS32" i="3"/>
  <c r="BPT32" i="3"/>
  <c r="BPU32" i="3"/>
  <c r="BPV32" i="3"/>
  <c r="BPW32" i="3"/>
  <c r="BPX32" i="3"/>
  <c r="BPY32" i="3"/>
  <c r="BPZ32" i="3"/>
  <c r="BQA32" i="3"/>
  <c r="BQB32" i="3"/>
  <c r="BQC32" i="3"/>
  <c r="BQD32" i="3"/>
  <c r="BQE32" i="3"/>
  <c r="BQF32" i="3"/>
  <c r="BQG32" i="3"/>
  <c r="BQH32" i="3"/>
  <c r="BQI32" i="3"/>
  <c r="BQJ32" i="3"/>
  <c r="BQK32" i="3"/>
  <c r="BQL32" i="3"/>
  <c r="BQM32" i="3"/>
  <c r="BQN32" i="3"/>
  <c r="BQO32" i="3"/>
  <c r="BQP32" i="3"/>
  <c r="BQQ32" i="3"/>
  <c r="BQR32" i="3"/>
  <c r="BQS32" i="3"/>
  <c r="BQT32" i="3"/>
  <c r="BQU32" i="3"/>
  <c r="BQV32" i="3"/>
  <c r="BQW32" i="3"/>
  <c r="BQX32" i="3"/>
  <c r="BQY32" i="3"/>
  <c r="BQZ32" i="3"/>
  <c r="BRA32" i="3"/>
  <c r="BRB32" i="3"/>
  <c r="BRC32" i="3"/>
  <c r="BRD32" i="3"/>
  <c r="BRE32" i="3"/>
  <c r="BRF32" i="3"/>
  <c r="BRG32" i="3"/>
  <c r="BRH32" i="3"/>
  <c r="BRI32" i="3"/>
  <c r="BRJ32" i="3"/>
  <c r="BRK32" i="3"/>
  <c r="BRL32" i="3"/>
  <c r="BRM32" i="3"/>
  <c r="BRN32" i="3"/>
  <c r="BRO32" i="3"/>
  <c r="BRP32" i="3"/>
  <c r="BRQ32" i="3"/>
  <c r="BRR32" i="3"/>
  <c r="BRS32" i="3"/>
  <c r="BRT32" i="3"/>
  <c r="BRU32" i="3"/>
  <c r="BRV32" i="3"/>
  <c r="BRW32" i="3"/>
  <c r="BRX32" i="3"/>
  <c r="BRY32" i="3"/>
  <c r="BRZ32" i="3"/>
  <c r="BSA32" i="3"/>
  <c r="BSB32" i="3"/>
  <c r="BSC32" i="3"/>
  <c r="BSD32" i="3"/>
  <c r="BSE32" i="3"/>
  <c r="BSF32" i="3"/>
  <c r="BSG32" i="3"/>
  <c r="BSH32" i="3"/>
  <c r="BSI32" i="3"/>
  <c r="BSJ32" i="3"/>
  <c r="BSK32" i="3"/>
  <c r="BSL32" i="3"/>
  <c r="BSM32" i="3"/>
  <c r="BSN32" i="3"/>
  <c r="BSO32" i="3"/>
  <c r="BSP32" i="3"/>
  <c r="BSQ32" i="3"/>
  <c r="BSR32" i="3"/>
  <c r="BSS32" i="3"/>
  <c r="BST32" i="3"/>
  <c r="BSU32" i="3"/>
  <c r="BSV32" i="3"/>
  <c r="BSW32" i="3"/>
  <c r="BSX32" i="3"/>
  <c r="BSY32" i="3"/>
  <c r="BSZ32" i="3"/>
  <c r="BTA32" i="3"/>
  <c r="BTB32" i="3"/>
  <c r="BTC32" i="3"/>
  <c r="BTD32" i="3"/>
  <c r="BTE32" i="3"/>
  <c r="BTF32" i="3"/>
  <c r="BTG32" i="3"/>
  <c r="BTH32" i="3"/>
  <c r="BTI32" i="3"/>
  <c r="BTJ32" i="3"/>
  <c r="BTK32" i="3"/>
  <c r="BTL32" i="3"/>
  <c r="BTM32" i="3"/>
  <c r="BTN32" i="3"/>
  <c r="BTO32" i="3"/>
  <c r="BTP32" i="3"/>
  <c r="BTQ32" i="3"/>
  <c r="BTR32" i="3"/>
  <c r="BTS32" i="3"/>
  <c r="BTT32" i="3"/>
  <c r="BTU32" i="3"/>
  <c r="BTV32" i="3"/>
  <c r="BTW32" i="3"/>
  <c r="BTX32" i="3"/>
  <c r="BTY32" i="3"/>
  <c r="BTZ32" i="3"/>
  <c r="BUA32" i="3"/>
  <c r="BUB32" i="3"/>
  <c r="BUC32" i="3"/>
  <c r="BUD32" i="3"/>
  <c r="BUE32" i="3"/>
  <c r="BUF32" i="3"/>
  <c r="BUG32" i="3"/>
  <c r="BUH32" i="3"/>
  <c r="BUI32" i="3"/>
  <c r="BUJ32" i="3"/>
  <c r="BUK32" i="3"/>
  <c r="BUL32" i="3"/>
  <c r="BUM32" i="3"/>
  <c r="BUN32" i="3"/>
  <c r="BUO32" i="3"/>
  <c r="BUP32" i="3"/>
  <c r="BUQ32" i="3"/>
  <c r="BUR32" i="3"/>
  <c r="BUS32" i="3"/>
  <c r="BUT32" i="3"/>
  <c r="BUU32" i="3"/>
  <c r="BUV32" i="3"/>
  <c r="BUW32" i="3"/>
  <c r="BUX32" i="3"/>
  <c r="BUY32" i="3"/>
  <c r="BUZ32" i="3"/>
  <c r="BVA32" i="3"/>
  <c r="BVB32" i="3"/>
  <c r="BVC32" i="3"/>
  <c r="BVD32" i="3"/>
  <c r="BVE32" i="3"/>
  <c r="BVF32" i="3"/>
  <c r="BVG32" i="3"/>
  <c r="BVH32" i="3"/>
  <c r="BVI32" i="3"/>
  <c r="BVJ32" i="3"/>
  <c r="BVK32" i="3"/>
  <c r="BVL32" i="3"/>
  <c r="BVM32" i="3"/>
  <c r="BVN32" i="3"/>
  <c r="BVO32" i="3"/>
  <c r="BVP32" i="3"/>
  <c r="BVQ32" i="3"/>
  <c r="BVR32" i="3"/>
  <c r="BVS32" i="3"/>
  <c r="BVT32" i="3"/>
  <c r="BVU32" i="3"/>
  <c r="BVV32" i="3"/>
  <c r="BVW32" i="3"/>
  <c r="BVX32" i="3"/>
  <c r="BVY32" i="3"/>
  <c r="BVZ32" i="3"/>
  <c r="BWA32" i="3"/>
  <c r="BWB32" i="3"/>
  <c r="BWC32" i="3"/>
  <c r="BWD32" i="3"/>
  <c r="BWE32" i="3"/>
  <c r="BWF32" i="3"/>
  <c r="BWG32" i="3"/>
  <c r="BWH32" i="3"/>
  <c r="BWI32" i="3"/>
  <c r="BWJ32" i="3"/>
  <c r="BWK32" i="3"/>
  <c r="BWL32" i="3"/>
  <c r="BWM32" i="3"/>
  <c r="BWN32" i="3"/>
  <c r="BWO32" i="3"/>
  <c r="BWP32" i="3"/>
  <c r="BWQ32" i="3"/>
  <c r="BWR32" i="3"/>
  <c r="BWS32" i="3"/>
  <c r="BWT32" i="3"/>
  <c r="BWU32" i="3"/>
  <c r="BWV32" i="3"/>
  <c r="BWW32" i="3"/>
  <c r="BWX32" i="3"/>
  <c r="BWY32" i="3"/>
  <c r="BWZ32" i="3"/>
  <c r="BXA32" i="3"/>
  <c r="BXB32" i="3"/>
  <c r="BXC32" i="3"/>
  <c r="BXD32" i="3"/>
  <c r="BXE32" i="3"/>
  <c r="BXF32" i="3"/>
  <c r="BXG32" i="3"/>
  <c r="BXH32" i="3"/>
  <c r="BXI32" i="3"/>
  <c r="BXJ32" i="3"/>
  <c r="BXK32" i="3"/>
  <c r="BXL32" i="3"/>
  <c r="BXM32" i="3"/>
  <c r="BXN32" i="3"/>
  <c r="BXO32" i="3"/>
  <c r="BXP32" i="3"/>
  <c r="BXQ32" i="3"/>
  <c r="BXR32" i="3"/>
  <c r="BXS32" i="3"/>
  <c r="BXT32" i="3"/>
  <c r="BXU32" i="3"/>
  <c r="BXV32" i="3"/>
  <c r="BXW32" i="3"/>
  <c r="BXX32" i="3"/>
  <c r="BXY32" i="3"/>
  <c r="BXZ32" i="3"/>
  <c r="BYA32" i="3"/>
  <c r="BYB32" i="3"/>
  <c r="BYC32" i="3"/>
  <c r="BYD32" i="3"/>
  <c r="BYE32" i="3"/>
  <c r="BYF32" i="3"/>
  <c r="BYG32" i="3"/>
  <c r="BYH32" i="3"/>
  <c r="BYI32" i="3"/>
  <c r="BYJ32" i="3"/>
  <c r="BYK32" i="3"/>
  <c r="BYL32" i="3"/>
  <c r="BYM32" i="3"/>
  <c r="BYN32" i="3"/>
  <c r="BYO32" i="3"/>
  <c r="BYP32" i="3"/>
  <c r="BYQ32" i="3"/>
  <c r="BYR32" i="3"/>
  <c r="BYS32" i="3"/>
  <c r="BYT32" i="3"/>
  <c r="BYU32" i="3"/>
  <c r="BYV32" i="3"/>
  <c r="BYW32" i="3"/>
  <c r="BYX32" i="3"/>
  <c r="BYY32" i="3"/>
  <c r="BYZ32" i="3"/>
  <c r="BZA32" i="3"/>
  <c r="BZB32" i="3"/>
  <c r="BZC32" i="3"/>
  <c r="BZD32" i="3"/>
  <c r="BZE32" i="3"/>
  <c r="BZF32" i="3"/>
  <c r="BZG32" i="3"/>
  <c r="BZH32" i="3"/>
  <c r="BZI32" i="3"/>
  <c r="BZJ32" i="3"/>
  <c r="BZK32" i="3"/>
  <c r="BZL32" i="3"/>
  <c r="BZM32" i="3"/>
  <c r="BZN32" i="3"/>
  <c r="BZO32" i="3"/>
  <c r="BZP32" i="3"/>
  <c r="BZQ32" i="3"/>
  <c r="BZR32" i="3"/>
  <c r="BZS32" i="3"/>
  <c r="BZT32" i="3"/>
  <c r="BZU32" i="3"/>
  <c r="BZV32" i="3"/>
  <c r="BZW32" i="3"/>
  <c r="BZX32" i="3"/>
  <c r="BZY32" i="3"/>
  <c r="BZZ32" i="3"/>
  <c r="CAA32" i="3"/>
  <c r="CAB32" i="3"/>
  <c r="CAC32" i="3"/>
  <c r="CAD32" i="3"/>
  <c r="CAE32" i="3"/>
  <c r="CAF32" i="3"/>
  <c r="CAG32" i="3"/>
  <c r="CAH32" i="3"/>
  <c r="CAI32" i="3"/>
  <c r="CAJ32" i="3"/>
  <c r="CAK32" i="3"/>
  <c r="CAL32" i="3"/>
  <c r="CAM32" i="3"/>
  <c r="CAN32" i="3"/>
  <c r="CAO32" i="3"/>
  <c r="CAP32" i="3"/>
  <c r="CAQ32" i="3"/>
  <c r="CAR32" i="3"/>
  <c r="CAS32" i="3"/>
  <c r="CAT32" i="3"/>
  <c r="CAU32" i="3"/>
  <c r="CAV32" i="3"/>
  <c r="CAW32" i="3"/>
  <c r="CAX32" i="3"/>
  <c r="CAY32" i="3"/>
  <c r="CAZ32" i="3"/>
  <c r="CBA32" i="3"/>
  <c r="CBB32" i="3"/>
  <c r="CBC32" i="3"/>
  <c r="CBD32" i="3"/>
  <c r="CBE32" i="3"/>
  <c r="CBF32" i="3"/>
  <c r="CBG32" i="3"/>
  <c r="CBH32" i="3"/>
  <c r="CBI32" i="3"/>
  <c r="CBJ32" i="3"/>
  <c r="CBK32" i="3"/>
  <c r="CBL32" i="3"/>
  <c r="CBM32" i="3"/>
  <c r="CBN32" i="3"/>
  <c r="CBO32" i="3"/>
  <c r="CBP32" i="3"/>
  <c r="CBQ32" i="3"/>
  <c r="CBR32" i="3"/>
  <c r="CBS32" i="3"/>
  <c r="CBT32" i="3"/>
  <c r="CBU32" i="3"/>
  <c r="CBV32" i="3"/>
  <c r="CBW32" i="3"/>
  <c r="CBX32" i="3"/>
  <c r="CBY32" i="3"/>
  <c r="CBZ32" i="3"/>
  <c r="CCA32" i="3"/>
  <c r="CCB32" i="3"/>
  <c r="CCC32" i="3"/>
  <c r="CCD32" i="3"/>
  <c r="CCE32" i="3"/>
  <c r="CCF32" i="3"/>
  <c r="CCG32" i="3"/>
  <c r="CCH32" i="3"/>
  <c r="CCI32" i="3"/>
  <c r="CCJ32" i="3"/>
  <c r="CCK32" i="3"/>
  <c r="CCL32" i="3"/>
  <c r="CCM32" i="3"/>
  <c r="CCN32" i="3"/>
  <c r="CCO32" i="3"/>
  <c r="CCP32" i="3"/>
  <c r="CCQ32" i="3"/>
  <c r="CCR32" i="3"/>
  <c r="CCS32" i="3"/>
  <c r="CCT32" i="3"/>
  <c r="CCU32" i="3"/>
  <c r="CCV32" i="3"/>
  <c r="CCW32" i="3"/>
  <c r="CCX32" i="3"/>
  <c r="CCY32" i="3"/>
  <c r="CCZ32" i="3"/>
  <c r="CDA32" i="3"/>
  <c r="CDB32" i="3"/>
  <c r="CDC32" i="3"/>
  <c r="CDD32" i="3"/>
  <c r="CDE32" i="3"/>
  <c r="CDF32" i="3"/>
  <c r="CDG32" i="3"/>
  <c r="CDH32" i="3"/>
  <c r="CDI32" i="3"/>
  <c r="CDJ32" i="3"/>
  <c r="CDK32" i="3"/>
  <c r="CDL32" i="3"/>
  <c r="CDM32" i="3"/>
  <c r="CDN32" i="3"/>
  <c r="CDO32" i="3"/>
  <c r="CDP32" i="3"/>
  <c r="CDQ32" i="3"/>
  <c r="CDR32" i="3"/>
  <c r="CDS32" i="3"/>
  <c r="CDT32" i="3"/>
  <c r="CDU32" i="3"/>
  <c r="CDV32" i="3"/>
  <c r="CDW32" i="3"/>
  <c r="CDX32" i="3"/>
  <c r="CDY32" i="3"/>
  <c r="CDZ32" i="3"/>
  <c r="CEA32" i="3"/>
  <c r="CEB32" i="3"/>
  <c r="CEC32" i="3"/>
  <c r="CED32" i="3"/>
  <c r="CEE32" i="3"/>
  <c r="CEF32" i="3"/>
  <c r="CEG32" i="3"/>
  <c r="CEH32" i="3"/>
  <c r="CEI32" i="3"/>
  <c r="CEJ32" i="3"/>
  <c r="CEK32" i="3"/>
  <c r="CEL32" i="3"/>
  <c r="CEM32" i="3"/>
  <c r="CEN32" i="3"/>
  <c r="CEO32" i="3"/>
  <c r="CEP32" i="3"/>
  <c r="CEQ32" i="3"/>
  <c r="CER32" i="3"/>
  <c r="CES32" i="3"/>
  <c r="CET32" i="3"/>
  <c r="CEU32" i="3"/>
  <c r="CEV32" i="3"/>
  <c r="CEW32" i="3"/>
  <c r="CEX32" i="3"/>
  <c r="CEY32" i="3"/>
  <c r="CEZ32" i="3"/>
  <c r="CFA32" i="3"/>
  <c r="CFB32" i="3"/>
  <c r="CFC32" i="3"/>
  <c r="CFD32" i="3"/>
  <c r="CFE32" i="3"/>
  <c r="CFF32" i="3"/>
  <c r="CFG32" i="3"/>
  <c r="CFH32" i="3"/>
  <c r="CFI32" i="3"/>
  <c r="CFJ32" i="3"/>
  <c r="CFK32" i="3"/>
  <c r="CFL32" i="3"/>
  <c r="CFM32" i="3"/>
  <c r="CFN32" i="3"/>
  <c r="CFO32" i="3"/>
  <c r="CFP32" i="3"/>
  <c r="CFQ32" i="3"/>
  <c r="CFR32" i="3"/>
  <c r="CFS32" i="3"/>
  <c r="CFT32" i="3"/>
  <c r="CFU32" i="3"/>
  <c r="CFV32" i="3"/>
  <c r="CFW32" i="3"/>
  <c r="CFX32" i="3"/>
  <c r="CFY32" i="3"/>
  <c r="CFZ32" i="3"/>
  <c r="CGA32" i="3"/>
  <c r="CGB32" i="3"/>
  <c r="CGC32" i="3"/>
  <c r="CGD32" i="3"/>
  <c r="CGE32" i="3"/>
  <c r="CGF32" i="3"/>
  <c r="CGG32" i="3"/>
  <c r="CGH32" i="3"/>
  <c r="CGI32" i="3"/>
  <c r="CGJ32" i="3"/>
  <c r="CGK32" i="3"/>
  <c r="CGL32" i="3"/>
  <c r="CGM32" i="3"/>
  <c r="CGN32" i="3"/>
  <c r="CGO32" i="3"/>
  <c r="CGP32" i="3"/>
  <c r="CGQ32" i="3"/>
  <c r="CGR32" i="3"/>
  <c r="CGS32" i="3"/>
  <c r="CGT32" i="3"/>
  <c r="CGU32" i="3"/>
  <c r="CGV32" i="3"/>
  <c r="CGW32" i="3"/>
  <c r="CGX32" i="3"/>
  <c r="CGY32" i="3"/>
  <c r="CGZ32" i="3"/>
  <c r="CHA32" i="3"/>
  <c r="CHB32" i="3"/>
  <c r="CHC32" i="3"/>
  <c r="CHD32" i="3"/>
  <c r="CHE32" i="3"/>
  <c r="CHF32" i="3"/>
  <c r="CHG32" i="3"/>
  <c r="CHH32" i="3"/>
  <c r="CHI32" i="3"/>
  <c r="CHJ32" i="3"/>
  <c r="CHK32" i="3"/>
  <c r="CHL32" i="3"/>
  <c r="CHM32" i="3"/>
  <c r="CHN32" i="3"/>
  <c r="CHO32" i="3"/>
  <c r="CHP32" i="3"/>
  <c r="CHQ32" i="3"/>
  <c r="CHR32" i="3"/>
  <c r="CHS32" i="3"/>
  <c r="CHT32" i="3"/>
  <c r="CHU32" i="3"/>
  <c r="CHV32" i="3"/>
  <c r="CHW32" i="3"/>
  <c r="CHX32" i="3"/>
  <c r="CHY32" i="3"/>
  <c r="CHZ32" i="3"/>
  <c r="CIA32" i="3"/>
  <c r="CIB32" i="3"/>
  <c r="CIC32" i="3"/>
  <c r="CID32" i="3"/>
  <c r="CIE32" i="3"/>
  <c r="CIF32" i="3"/>
  <c r="CIG32" i="3"/>
  <c r="CIH32" i="3"/>
  <c r="CII32" i="3"/>
  <c r="CIJ32" i="3"/>
  <c r="CIK32" i="3"/>
  <c r="CIL32" i="3"/>
  <c r="CIM32" i="3"/>
  <c r="CIN32" i="3"/>
  <c r="CIO32" i="3"/>
  <c r="CIP32" i="3"/>
  <c r="CIQ32" i="3"/>
  <c r="CIR32" i="3"/>
  <c r="CIS32" i="3"/>
  <c r="CIT32" i="3"/>
  <c r="CIU32" i="3"/>
  <c r="CIV32" i="3"/>
  <c r="CIW32" i="3"/>
  <c r="CIX32" i="3"/>
  <c r="CIY32" i="3"/>
  <c r="CIZ32" i="3"/>
  <c r="CJA32" i="3"/>
  <c r="CJB32" i="3"/>
  <c r="CJC32" i="3"/>
  <c r="CJD32" i="3"/>
  <c r="CJE32" i="3"/>
  <c r="CJF32" i="3"/>
  <c r="CJG32" i="3"/>
  <c r="CJH32" i="3"/>
  <c r="CJI32" i="3"/>
  <c r="CJJ32" i="3"/>
  <c r="CJK32" i="3"/>
  <c r="CJL32" i="3"/>
  <c r="CJM32" i="3"/>
  <c r="CJN32" i="3"/>
  <c r="CJO32" i="3"/>
  <c r="CJP32" i="3"/>
  <c r="CJQ32" i="3"/>
  <c r="CJR32" i="3"/>
  <c r="CJS32" i="3"/>
  <c r="CJT32" i="3"/>
  <c r="CJU32" i="3"/>
  <c r="CJV32" i="3"/>
  <c r="CJW32" i="3"/>
  <c r="CJX32" i="3"/>
  <c r="CJY32" i="3"/>
  <c r="CJZ32" i="3"/>
  <c r="CKA32" i="3"/>
  <c r="CKB32" i="3"/>
  <c r="CKC32" i="3"/>
  <c r="CKD32" i="3"/>
  <c r="CKE32" i="3"/>
  <c r="CKF32" i="3"/>
  <c r="CKG32" i="3"/>
  <c r="CKH32" i="3"/>
  <c r="CKI32" i="3"/>
  <c r="CKJ32" i="3"/>
  <c r="CKK32" i="3"/>
  <c r="CKL32" i="3"/>
  <c r="CKM32" i="3"/>
  <c r="CKN32" i="3"/>
  <c r="CKO32" i="3"/>
  <c r="CKP32" i="3"/>
  <c r="CKQ32" i="3"/>
  <c r="CKR32" i="3"/>
  <c r="CKS32" i="3"/>
  <c r="CKT32" i="3"/>
  <c r="CKU32" i="3"/>
  <c r="CKV32" i="3"/>
  <c r="CKW32" i="3"/>
  <c r="CKX32" i="3"/>
  <c r="CKY32" i="3"/>
  <c r="CKZ32" i="3"/>
  <c r="CLA32" i="3"/>
  <c r="CLB32" i="3"/>
  <c r="CLC32" i="3"/>
  <c r="CLD32" i="3"/>
  <c r="CLE32" i="3"/>
  <c r="CLF32" i="3"/>
  <c r="CLG32" i="3"/>
  <c r="CLH32" i="3"/>
  <c r="CLI32" i="3"/>
  <c r="CLJ32" i="3"/>
  <c r="CLK32" i="3"/>
  <c r="CLL32" i="3"/>
  <c r="CLM32" i="3"/>
  <c r="CLN32" i="3"/>
  <c r="CLO32" i="3"/>
  <c r="CLP32" i="3"/>
  <c r="CLQ32" i="3"/>
  <c r="CLR32" i="3"/>
  <c r="CLS32" i="3"/>
  <c r="CLT32" i="3"/>
  <c r="CLU32" i="3"/>
  <c r="CLV32" i="3"/>
  <c r="CLW32" i="3"/>
  <c r="CLX32" i="3"/>
  <c r="CLY32" i="3"/>
  <c r="CLZ32" i="3"/>
  <c r="CMA32" i="3"/>
  <c r="CMB32" i="3"/>
  <c r="CMC32" i="3"/>
  <c r="CMD32" i="3"/>
  <c r="CME32" i="3"/>
  <c r="CMF32" i="3"/>
  <c r="CMG32" i="3"/>
  <c r="CMH32" i="3"/>
  <c r="CMI32" i="3"/>
  <c r="CMJ32" i="3"/>
  <c r="CMK32" i="3"/>
  <c r="CML32" i="3"/>
  <c r="CMM32" i="3"/>
  <c r="CMN32" i="3"/>
  <c r="CMO32" i="3"/>
  <c r="CMP32" i="3"/>
  <c r="CMQ32" i="3"/>
  <c r="CMR32" i="3"/>
  <c r="CMS32" i="3"/>
  <c r="CMT32" i="3"/>
  <c r="CMU32" i="3"/>
  <c r="CMV32" i="3"/>
  <c r="CMW32" i="3"/>
  <c r="CMX32" i="3"/>
  <c r="CMY32" i="3"/>
  <c r="CMZ32" i="3"/>
  <c r="CNA32" i="3"/>
  <c r="CNB32" i="3"/>
  <c r="CNC32" i="3"/>
  <c r="CND32" i="3"/>
  <c r="CNE32" i="3"/>
  <c r="CNF32" i="3"/>
  <c r="CNG32" i="3"/>
  <c r="CNH32" i="3"/>
  <c r="CNI32" i="3"/>
  <c r="CNJ32" i="3"/>
  <c r="CNK32" i="3"/>
  <c r="CNL32" i="3"/>
  <c r="CNM32" i="3"/>
  <c r="CNN32" i="3"/>
  <c r="CNO32" i="3"/>
  <c r="CNP32" i="3"/>
  <c r="CNQ32" i="3"/>
  <c r="CNR32" i="3"/>
  <c r="CNS32" i="3"/>
  <c r="CNT32" i="3"/>
  <c r="CNU32" i="3"/>
  <c r="CNV32" i="3"/>
  <c r="CNW32" i="3"/>
  <c r="CNX32" i="3"/>
  <c r="CNY32" i="3"/>
  <c r="CNZ32" i="3"/>
  <c r="COA32" i="3"/>
  <c r="COB32" i="3"/>
  <c r="COC32" i="3"/>
  <c r="COD32" i="3"/>
  <c r="COE32" i="3"/>
  <c r="COF32" i="3"/>
  <c r="COG32" i="3"/>
  <c r="COH32" i="3"/>
  <c r="COI32" i="3"/>
  <c r="COJ32" i="3"/>
  <c r="COK32" i="3"/>
  <c r="COL32" i="3"/>
  <c r="COM32" i="3"/>
  <c r="CON32" i="3"/>
  <c r="COO32" i="3"/>
  <c r="COP32" i="3"/>
  <c r="COQ32" i="3"/>
  <c r="COR32" i="3"/>
  <c r="COS32" i="3"/>
  <c r="COT32" i="3"/>
  <c r="COU32" i="3"/>
  <c r="COV32" i="3"/>
  <c r="COW32" i="3"/>
  <c r="COX32" i="3"/>
  <c r="COY32" i="3"/>
  <c r="COZ32" i="3"/>
  <c r="CPA32" i="3"/>
  <c r="CPB32" i="3"/>
  <c r="CPC32" i="3"/>
  <c r="CPD32" i="3"/>
  <c r="CPE32" i="3"/>
  <c r="CPF32" i="3"/>
  <c r="CPG32" i="3"/>
  <c r="CPH32" i="3"/>
  <c r="CPI32" i="3"/>
  <c r="CPJ32" i="3"/>
  <c r="CPK32" i="3"/>
  <c r="CPL32" i="3"/>
  <c r="CPM32" i="3"/>
  <c r="CPN32" i="3"/>
  <c r="CPO32" i="3"/>
  <c r="CPP32" i="3"/>
  <c r="CPQ32" i="3"/>
  <c r="CPR32" i="3"/>
  <c r="CPS32" i="3"/>
  <c r="CPT32" i="3"/>
  <c r="CPU32" i="3"/>
  <c r="CPV32" i="3"/>
  <c r="CPW32" i="3"/>
  <c r="CPX32" i="3"/>
  <c r="CPY32" i="3"/>
  <c r="CPZ32" i="3"/>
  <c r="CQA32" i="3"/>
  <c r="CQB32" i="3"/>
  <c r="CQC32" i="3"/>
  <c r="CQD32" i="3"/>
  <c r="CQE32" i="3"/>
  <c r="CQF32" i="3"/>
  <c r="CQG32" i="3"/>
  <c r="CQH32" i="3"/>
  <c r="CQI32" i="3"/>
  <c r="CQJ32" i="3"/>
  <c r="CQK32" i="3"/>
  <c r="CQL32" i="3"/>
  <c r="CQM32" i="3"/>
  <c r="CQN32" i="3"/>
  <c r="CQO32" i="3"/>
  <c r="CQP32" i="3"/>
  <c r="CQQ32" i="3"/>
  <c r="CQR32" i="3"/>
  <c r="CQS32" i="3"/>
  <c r="CQT32" i="3"/>
  <c r="CQU32" i="3"/>
  <c r="CQV32" i="3"/>
  <c r="CQW32" i="3"/>
  <c r="CQX32" i="3"/>
  <c r="CQY32" i="3"/>
  <c r="CQZ32" i="3"/>
  <c r="CRA32" i="3"/>
  <c r="CRB32" i="3"/>
  <c r="CRC32" i="3"/>
  <c r="CRD32" i="3"/>
  <c r="CRE32" i="3"/>
  <c r="CRF32" i="3"/>
  <c r="CRG32" i="3"/>
  <c r="CRH32" i="3"/>
  <c r="CRI32" i="3"/>
  <c r="CRJ32" i="3"/>
  <c r="CRK32" i="3"/>
  <c r="CRL32" i="3"/>
  <c r="CRM32" i="3"/>
  <c r="CRN32" i="3"/>
  <c r="CRO32" i="3"/>
  <c r="CRP32" i="3"/>
  <c r="CRQ32" i="3"/>
  <c r="CRR32" i="3"/>
  <c r="CRS32" i="3"/>
  <c r="CRT32" i="3"/>
  <c r="CRU32" i="3"/>
  <c r="CRV32" i="3"/>
  <c r="CRW32" i="3"/>
  <c r="CRX32" i="3"/>
  <c r="CRY32" i="3"/>
  <c r="CRZ32" i="3"/>
  <c r="CSA32" i="3"/>
  <c r="CSB32" i="3"/>
  <c r="CSC32" i="3"/>
  <c r="CSD32" i="3"/>
  <c r="CSE32" i="3"/>
  <c r="CSF32" i="3"/>
  <c r="CSG32" i="3"/>
  <c r="CSH32" i="3"/>
  <c r="CSI32" i="3"/>
  <c r="CSJ32" i="3"/>
  <c r="CSK32" i="3"/>
  <c r="CSL32" i="3"/>
  <c r="CSM32" i="3"/>
  <c r="CSN32" i="3"/>
  <c r="CSO32" i="3"/>
  <c r="CSP32" i="3"/>
  <c r="CSQ32" i="3"/>
  <c r="CSR32" i="3"/>
  <c r="CSS32" i="3"/>
  <c r="CST32" i="3"/>
  <c r="CSU32" i="3"/>
  <c r="CSV32" i="3"/>
  <c r="CSW32" i="3"/>
  <c r="CSX32" i="3"/>
  <c r="CSY32" i="3"/>
  <c r="CSZ32" i="3"/>
  <c r="CTA32" i="3"/>
  <c r="CTB32" i="3"/>
  <c r="CTC32" i="3"/>
  <c r="CTD32" i="3"/>
  <c r="CTE32" i="3"/>
  <c r="CTF32" i="3"/>
  <c r="CTG32" i="3"/>
  <c r="CTH32" i="3"/>
  <c r="CTI32" i="3"/>
  <c r="CTJ32" i="3"/>
  <c r="CTK32" i="3"/>
  <c r="CTL32" i="3"/>
  <c r="CTM32" i="3"/>
  <c r="CTN32" i="3"/>
  <c r="CTO32" i="3"/>
  <c r="CTP32" i="3"/>
  <c r="CTQ32" i="3"/>
  <c r="CTR32" i="3"/>
  <c r="CTS32" i="3"/>
  <c r="CTT32" i="3"/>
  <c r="CTU32" i="3"/>
  <c r="CTV32" i="3"/>
  <c r="CTW32" i="3"/>
  <c r="CTX32" i="3"/>
  <c r="CTY32" i="3"/>
  <c r="CTZ32" i="3"/>
  <c r="CUA32" i="3"/>
  <c r="CUB32" i="3"/>
  <c r="CUC32" i="3"/>
  <c r="CUD32" i="3"/>
  <c r="CUE32" i="3"/>
  <c r="CUF32" i="3"/>
  <c r="CUG32" i="3"/>
  <c r="CUH32" i="3"/>
  <c r="CUI32" i="3"/>
  <c r="CUJ32" i="3"/>
  <c r="CUK32" i="3"/>
  <c r="CUL32" i="3"/>
  <c r="CUM32" i="3"/>
  <c r="CUN32" i="3"/>
  <c r="CUO32" i="3"/>
  <c r="CUP32" i="3"/>
  <c r="CUQ32" i="3"/>
  <c r="CUR32" i="3"/>
  <c r="CUS32" i="3"/>
  <c r="CUT32" i="3"/>
  <c r="CUU32" i="3"/>
  <c r="CUV32" i="3"/>
  <c r="CUW32" i="3"/>
  <c r="CUX32" i="3"/>
  <c r="CUY32" i="3"/>
  <c r="CUZ32" i="3"/>
  <c r="CVA32" i="3"/>
  <c r="CVB32" i="3"/>
  <c r="CVC32" i="3"/>
  <c r="CVD32" i="3"/>
  <c r="CVE32" i="3"/>
  <c r="CVF32" i="3"/>
  <c r="CVG32" i="3"/>
  <c r="CVH32" i="3"/>
  <c r="CVI32" i="3"/>
  <c r="CVJ32" i="3"/>
  <c r="CVK32" i="3"/>
  <c r="CVL32" i="3"/>
  <c r="CVM32" i="3"/>
  <c r="CVN32" i="3"/>
  <c r="CVO32" i="3"/>
  <c r="CVP32" i="3"/>
  <c r="CVQ32" i="3"/>
  <c r="CVR32" i="3"/>
  <c r="CVS32" i="3"/>
  <c r="CVT32" i="3"/>
  <c r="CVU32" i="3"/>
  <c r="CVV32" i="3"/>
  <c r="CVW32" i="3"/>
  <c r="CVX32" i="3"/>
  <c r="CVY32" i="3"/>
  <c r="CVZ32" i="3"/>
  <c r="CWA32" i="3"/>
  <c r="CWB32" i="3"/>
  <c r="CWC32" i="3"/>
  <c r="CWD32" i="3"/>
  <c r="CWE32" i="3"/>
  <c r="CWF32" i="3"/>
  <c r="CWG32" i="3"/>
  <c r="CWH32" i="3"/>
  <c r="CWI32" i="3"/>
  <c r="CWJ32" i="3"/>
  <c r="CWK32" i="3"/>
  <c r="CWL32" i="3"/>
  <c r="CWM32" i="3"/>
  <c r="CWN32" i="3"/>
  <c r="CWO32" i="3"/>
  <c r="CWP32" i="3"/>
  <c r="CWQ32" i="3"/>
  <c r="CWR32" i="3"/>
  <c r="CWS32" i="3"/>
  <c r="CWT32" i="3"/>
  <c r="CWU32" i="3"/>
  <c r="CWV32" i="3"/>
  <c r="CWW32" i="3"/>
  <c r="CWX32" i="3"/>
  <c r="CWY32" i="3"/>
  <c r="CWZ32" i="3"/>
  <c r="CXA32" i="3"/>
  <c r="CXB32" i="3"/>
  <c r="CXC32" i="3"/>
  <c r="CXD32" i="3"/>
  <c r="CXE32" i="3"/>
  <c r="CXF32" i="3"/>
  <c r="CXG32" i="3"/>
  <c r="CXH32" i="3"/>
  <c r="CXI32" i="3"/>
  <c r="CXJ32" i="3"/>
  <c r="CXK32" i="3"/>
  <c r="CXL32" i="3"/>
  <c r="CXM32" i="3"/>
  <c r="CXN32" i="3"/>
  <c r="CXO32" i="3"/>
  <c r="CXP32" i="3"/>
  <c r="CXQ32" i="3"/>
  <c r="CXR32" i="3"/>
  <c r="CXS32" i="3"/>
  <c r="CXT32" i="3"/>
  <c r="CXU32" i="3"/>
  <c r="CXV32" i="3"/>
  <c r="CXW32" i="3"/>
  <c r="CXX32" i="3"/>
  <c r="CXY32" i="3"/>
  <c r="CXZ32" i="3"/>
  <c r="CYA32" i="3"/>
  <c r="CYB32" i="3"/>
  <c r="CYC32" i="3"/>
  <c r="CYD32" i="3"/>
  <c r="CYE32" i="3"/>
  <c r="CYF32" i="3"/>
  <c r="CYG32" i="3"/>
  <c r="CYH32" i="3"/>
  <c r="CYI32" i="3"/>
  <c r="CYJ32" i="3"/>
  <c r="CYK32" i="3"/>
  <c r="CYL32" i="3"/>
  <c r="CYM32" i="3"/>
  <c r="CYN32" i="3"/>
  <c r="CYO32" i="3"/>
  <c r="CYP32" i="3"/>
  <c r="CYQ32" i="3"/>
  <c r="CYR32" i="3"/>
  <c r="CYS32" i="3"/>
  <c r="CYT32" i="3"/>
  <c r="CYU32" i="3"/>
  <c r="CYV32" i="3"/>
  <c r="CYW32" i="3"/>
  <c r="CYX32" i="3"/>
  <c r="CYY32" i="3"/>
  <c r="CYZ32" i="3"/>
  <c r="CZA32" i="3"/>
  <c r="CZB32" i="3"/>
  <c r="CZC32" i="3"/>
  <c r="CZD32" i="3"/>
  <c r="CZE32" i="3"/>
  <c r="CZF32" i="3"/>
  <c r="CZG32" i="3"/>
  <c r="CZH32" i="3"/>
  <c r="CZI32" i="3"/>
  <c r="CZJ32" i="3"/>
  <c r="CZK32" i="3"/>
  <c r="CZL32" i="3"/>
  <c r="CZM32" i="3"/>
  <c r="CZN32" i="3"/>
  <c r="CZO32" i="3"/>
  <c r="CZP32" i="3"/>
  <c r="CZQ32" i="3"/>
  <c r="CZR32" i="3"/>
  <c r="CZS32" i="3"/>
  <c r="CZT32" i="3"/>
  <c r="CZU32" i="3"/>
  <c r="CZV32" i="3"/>
  <c r="CZW32" i="3"/>
  <c r="CZX32" i="3"/>
  <c r="CZY32" i="3"/>
  <c r="CZZ32" i="3"/>
  <c r="DAA32" i="3"/>
  <c r="DAB32" i="3"/>
  <c r="DAC32" i="3"/>
  <c r="DAD32" i="3"/>
  <c r="DAE32" i="3"/>
  <c r="DAF32" i="3"/>
  <c r="DAG32" i="3"/>
  <c r="DAH32" i="3"/>
  <c r="DAI32" i="3"/>
  <c r="DAJ32" i="3"/>
  <c r="DAK32" i="3"/>
  <c r="DAL32" i="3"/>
  <c r="DAM32" i="3"/>
  <c r="DAN32" i="3"/>
  <c r="DAO32" i="3"/>
  <c r="DAP32" i="3"/>
  <c r="DAQ32" i="3"/>
  <c r="DAR32" i="3"/>
  <c r="DAS32" i="3"/>
  <c r="DAT32" i="3"/>
  <c r="DAU32" i="3"/>
  <c r="DAV32" i="3"/>
  <c r="DAW32" i="3"/>
  <c r="DAX32" i="3"/>
  <c r="DAY32" i="3"/>
  <c r="DAZ32" i="3"/>
  <c r="DBA32" i="3"/>
  <c r="DBB32" i="3"/>
  <c r="DBC32" i="3"/>
  <c r="DBD32" i="3"/>
  <c r="DBE32" i="3"/>
  <c r="DBF32" i="3"/>
  <c r="DBG32" i="3"/>
  <c r="DBH32" i="3"/>
  <c r="DBI32" i="3"/>
  <c r="DBJ32" i="3"/>
  <c r="DBK32" i="3"/>
  <c r="DBL32" i="3"/>
  <c r="DBM32" i="3"/>
  <c r="DBN32" i="3"/>
  <c r="DBO32" i="3"/>
  <c r="DBP32" i="3"/>
  <c r="DBQ32" i="3"/>
  <c r="DBR32" i="3"/>
  <c r="DBS32" i="3"/>
  <c r="DBT32" i="3"/>
  <c r="DBU32" i="3"/>
  <c r="DBV32" i="3"/>
  <c r="DBW32" i="3"/>
  <c r="DBX32" i="3"/>
  <c r="DBY32" i="3"/>
  <c r="DBZ32" i="3"/>
  <c r="DCA32" i="3"/>
  <c r="DCB32" i="3"/>
  <c r="DCC32" i="3"/>
  <c r="DCD32" i="3"/>
  <c r="DCE32" i="3"/>
  <c r="DCF32" i="3"/>
  <c r="DCG32" i="3"/>
  <c r="DCH32" i="3"/>
  <c r="DCI32" i="3"/>
  <c r="DCJ32" i="3"/>
  <c r="DCK32" i="3"/>
  <c r="DCL32" i="3"/>
  <c r="DCM32" i="3"/>
  <c r="DCN32" i="3"/>
  <c r="DCO32" i="3"/>
  <c r="DCP32" i="3"/>
  <c r="DCQ32" i="3"/>
  <c r="DCR32" i="3"/>
  <c r="DCS32" i="3"/>
  <c r="DCT32" i="3"/>
  <c r="DCU32" i="3"/>
  <c r="DCV32" i="3"/>
  <c r="DCW32" i="3"/>
  <c r="DCX32" i="3"/>
  <c r="DCY32" i="3"/>
  <c r="DCZ32" i="3"/>
  <c r="DDA32" i="3"/>
  <c r="DDB32" i="3"/>
  <c r="DDC32" i="3"/>
  <c r="DDD32" i="3"/>
  <c r="DDE32" i="3"/>
  <c r="DDF32" i="3"/>
  <c r="DDG32" i="3"/>
  <c r="DDH32" i="3"/>
  <c r="DDI32" i="3"/>
  <c r="DDJ32" i="3"/>
  <c r="DDK32" i="3"/>
  <c r="DDL32" i="3"/>
  <c r="DDM32" i="3"/>
  <c r="DDN32" i="3"/>
  <c r="DDO32" i="3"/>
  <c r="DDP32" i="3"/>
  <c r="DDQ32" i="3"/>
  <c r="DDR32" i="3"/>
  <c r="DDS32" i="3"/>
  <c r="DDT32" i="3"/>
  <c r="DDU32" i="3"/>
  <c r="DDV32" i="3"/>
  <c r="DDW32" i="3"/>
  <c r="DDX32" i="3"/>
  <c r="DDY32" i="3"/>
  <c r="DDZ32" i="3"/>
  <c r="DEA32" i="3"/>
  <c r="DEB32" i="3"/>
  <c r="DEC32" i="3"/>
  <c r="DED32" i="3"/>
  <c r="DEE32" i="3"/>
  <c r="DEF32" i="3"/>
  <c r="DEG32" i="3"/>
  <c r="DEH32" i="3"/>
  <c r="DEI32" i="3"/>
  <c r="DEJ32" i="3"/>
  <c r="DEK32" i="3"/>
  <c r="DEL32" i="3"/>
  <c r="DEM32" i="3"/>
  <c r="DEN32" i="3"/>
  <c r="DEO32" i="3"/>
  <c r="DEP32" i="3"/>
  <c r="DEQ32" i="3"/>
  <c r="DER32" i="3"/>
  <c r="DES32" i="3"/>
  <c r="DET32" i="3"/>
  <c r="DEU32" i="3"/>
  <c r="DEV32" i="3"/>
  <c r="DEW32" i="3"/>
  <c r="DEX32" i="3"/>
  <c r="DEY32" i="3"/>
  <c r="DEZ32" i="3"/>
  <c r="DFA32" i="3"/>
  <c r="DFB32" i="3"/>
  <c r="DFC32" i="3"/>
  <c r="DFD32" i="3"/>
  <c r="DFE32" i="3"/>
  <c r="DFF32" i="3"/>
  <c r="DFG32" i="3"/>
  <c r="DFH32" i="3"/>
  <c r="DFI32" i="3"/>
  <c r="DFJ32" i="3"/>
  <c r="DFK32" i="3"/>
  <c r="DFL32" i="3"/>
  <c r="DFM32" i="3"/>
  <c r="DFN32" i="3"/>
  <c r="DFO32" i="3"/>
  <c r="DFP32" i="3"/>
  <c r="DFQ32" i="3"/>
  <c r="DFR32" i="3"/>
  <c r="DFS32" i="3"/>
  <c r="DFT32" i="3"/>
  <c r="DFU32" i="3"/>
  <c r="DFV32" i="3"/>
  <c r="DFW32" i="3"/>
  <c r="DFX32" i="3"/>
  <c r="DFY32" i="3"/>
  <c r="DFZ32" i="3"/>
  <c r="DGA32" i="3"/>
  <c r="DGB32" i="3"/>
  <c r="DGC32" i="3"/>
  <c r="DGD32" i="3"/>
  <c r="DGE32" i="3"/>
  <c r="DGF32" i="3"/>
  <c r="DGG32" i="3"/>
  <c r="DGH32" i="3"/>
  <c r="DGI32" i="3"/>
  <c r="DGJ32" i="3"/>
  <c r="DGK32" i="3"/>
  <c r="DGL32" i="3"/>
  <c r="DGM32" i="3"/>
  <c r="DGN32" i="3"/>
  <c r="DGO32" i="3"/>
  <c r="DGP32" i="3"/>
  <c r="DGQ32" i="3"/>
  <c r="DGR32" i="3"/>
  <c r="DGS32" i="3"/>
  <c r="DGT32" i="3"/>
  <c r="DGU32" i="3"/>
  <c r="DGV32" i="3"/>
  <c r="DGW32" i="3"/>
  <c r="DGX32" i="3"/>
  <c r="DGY32" i="3"/>
  <c r="DGZ32" i="3"/>
  <c r="DHA32" i="3"/>
  <c r="DHB32" i="3"/>
  <c r="DHC32" i="3"/>
  <c r="DHD32" i="3"/>
  <c r="DHE32" i="3"/>
  <c r="DHF32" i="3"/>
  <c r="DHG32" i="3"/>
  <c r="DHH32" i="3"/>
  <c r="DHI32" i="3"/>
  <c r="DHJ32" i="3"/>
  <c r="DHK32" i="3"/>
  <c r="DHL32" i="3"/>
  <c r="DHM32" i="3"/>
  <c r="DHN32" i="3"/>
  <c r="DHO32" i="3"/>
  <c r="DHP32" i="3"/>
  <c r="DHQ32" i="3"/>
  <c r="DHR32" i="3"/>
  <c r="DHS32" i="3"/>
  <c r="DHT32" i="3"/>
  <c r="DHU32" i="3"/>
  <c r="DHV32" i="3"/>
  <c r="DHW32" i="3"/>
  <c r="DHX32" i="3"/>
  <c r="DHY32" i="3"/>
  <c r="DHZ32" i="3"/>
  <c r="DIA32" i="3"/>
  <c r="DIB32" i="3"/>
  <c r="DIC32" i="3"/>
  <c r="DID32" i="3"/>
  <c r="DIE32" i="3"/>
  <c r="DIF32" i="3"/>
  <c r="DIG32" i="3"/>
  <c r="DIH32" i="3"/>
  <c r="DII32" i="3"/>
  <c r="DIJ32" i="3"/>
  <c r="DIK32" i="3"/>
  <c r="DIL32" i="3"/>
  <c r="DIM32" i="3"/>
  <c r="DIN32" i="3"/>
  <c r="DIO32" i="3"/>
  <c r="DIP32" i="3"/>
  <c r="DIQ32" i="3"/>
  <c r="DIR32" i="3"/>
  <c r="DIS32" i="3"/>
  <c r="DIT32" i="3"/>
  <c r="DIU32" i="3"/>
  <c r="DIV32" i="3"/>
  <c r="DIW32" i="3"/>
  <c r="DIX32" i="3"/>
  <c r="DIY32" i="3"/>
  <c r="DIZ32" i="3"/>
  <c r="DJA32" i="3"/>
  <c r="DJB32" i="3"/>
  <c r="DJC32" i="3"/>
  <c r="DJD32" i="3"/>
  <c r="DJE32" i="3"/>
  <c r="DJF32" i="3"/>
  <c r="DJG32" i="3"/>
  <c r="DJH32" i="3"/>
  <c r="DJI32" i="3"/>
  <c r="DJJ32" i="3"/>
  <c r="DJK32" i="3"/>
  <c r="DJL32" i="3"/>
  <c r="DJM32" i="3"/>
  <c r="DJN32" i="3"/>
  <c r="DJO32" i="3"/>
  <c r="DJP32" i="3"/>
  <c r="DJQ32" i="3"/>
  <c r="DJR32" i="3"/>
  <c r="DJS32" i="3"/>
  <c r="DJT32" i="3"/>
  <c r="DJU32" i="3"/>
  <c r="DJV32" i="3"/>
  <c r="DJW32" i="3"/>
  <c r="DJX32" i="3"/>
  <c r="DJY32" i="3"/>
  <c r="DJZ32" i="3"/>
  <c r="DKA32" i="3"/>
  <c r="DKB32" i="3"/>
  <c r="DKC32" i="3"/>
  <c r="DKD32" i="3"/>
  <c r="DKE32" i="3"/>
  <c r="DKF32" i="3"/>
  <c r="DKG32" i="3"/>
  <c r="DKH32" i="3"/>
  <c r="DKI32" i="3"/>
  <c r="DKJ32" i="3"/>
  <c r="DKK32" i="3"/>
  <c r="DKL32" i="3"/>
  <c r="DKM32" i="3"/>
  <c r="DKN32" i="3"/>
  <c r="DKO32" i="3"/>
  <c r="DKP32" i="3"/>
  <c r="DKQ32" i="3"/>
  <c r="DKR32" i="3"/>
  <c r="DKS32" i="3"/>
  <c r="DKT32" i="3"/>
  <c r="DKU32" i="3"/>
  <c r="DKV32" i="3"/>
  <c r="DKW32" i="3"/>
  <c r="DKX32" i="3"/>
  <c r="DKY32" i="3"/>
  <c r="DKZ32" i="3"/>
  <c r="DLA32" i="3"/>
  <c r="DLB32" i="3"/>
  <c r="DLC32" i="3"/>
  <c r="DLD32" i="3"/>
  <c r="DLE32" i="3"/>
  <c r="DLF32" i="3"/>
  <c r="DLG32" i="3"/>
  <c r="DLH32" i="3"/>
  <c r="DLI32" i="3"/>
  <c r="DLJ32" i="3"/>
  <c r="DLK32" i="3"/>
  <c r="DLL32" i="3"/>
  <c r="DLM32" i="3"/>
  <c r="DLN32" i="3"/>
  <c r="DLO32" i="3"/>
  <c r="DLP32" i="3"/>
  <c r="DLQ32" i="3"/>
  <c r="DLR32" i="3"/>
  <c r="DLS32" i="3"/>
  <c r="DLT32" i="3"/>
  <c r="DLU32" i="3"/>
  <c r="DLV32" i="3"/>
  <c r="DLW32" i="3"/>
  <c r="DLX32" i="3"/>
  <c r="DLY32" i="3"/>
  <c r="DLZ32" i="3"/>
  <c r="DMA32" i="3"/>
  <c r="DMB32" i="3"/>
  <c r="DMC32" i="3"/>
  <c r="DMD32" i="3"/>
  <c r="DME32" i="3"/>
  <c r="DMF32" i="3"/>
  <c r="DMG32" i="3"/>
  <c r="DMH32" i="3"/>
  <c r="DMI32" i="3"/>
  <c r="DMJ32" i="3"/>
  <c r="DMK32" i="3"/>
  <c r="DML32" i="3"/>
  <c r="DMM32" i="3"/>
  <c r="DMN32" i="3"/>
  <c r="DMO32" i="3"/>
  <c r="DMP32" i="3"/>
  <c r="DMQ32" i="3"/>
  <c r="DMR32" i="3"/>
  <c r="DMS32" i="3"/>
  <c r="DMT32" i="3"/>
  <c r="DMU32" i="3"/>
  <c r="DMV32" i="3"/>
  <c r="DMW32" i="3"/>
  <c r="DMX32" i="3"/>
  <c r="DMY32" i="3"/>
  <c r="DMZ32" i="3"/>
  <c r="DNA32" i="3"/>
  <c r="DNB32" i="3"/>
  <c r="DNC32" i="3"/>
  <c r="DND32" i="3"/>
  <c r="DNE32" i="3"/>
  <c r="DNF32" i="3"/>
  <c r="DNG32" i="3"/>
  <c r="DNH32" i="3"/>
  <c r="DNI32" i="3"/>
  <c r="DNJ32" i="3"/>
  <c r="DNK32" i="3"/>
  <c r="DNL32" i="3"/>
  <c r="DNM32" i="3"/>
  <c r="DNN32" i="3"/>
  <c r="DNO32" i="3"/>
  <c r="DNP32" i="3"/>
  <c r="DNQ32" i="3"/>
  <c r="DNR32" i="3"/>
  <c r="DNS32" i="3"/>
  <c r="DNT32" i="3"/>
  <c r="DNU32" i="3"/>
  <c r="DNV32" i="3"/>
  <c r="DNW32" i="3"/>
  <c r="DNX32" i="3"/>
  <c r="DNY32" i="3"/>
  <c r="DNZ32" i="3"/>
  <c r="DOA32" i="3"/>
  <c r="DOB32" i="3"/>
  <c r="DOC32" i="3"/>
  <c r="DOD32" i="3"/>
  <c r="DOE32" i="3"/>
  <c r="DOF32" i="3"/>
  <c r="DOG32" i="3"/>
  <c r="DOH32" i="3"/>
  <c r="DOI32" i="3"/>
  <c r="DOJ32" i="3"/>
  <c r="DOK32" i="3"/>
  <c r="DOL32" i="3"/>
  <c r="DOM32" i="3"/>
  <c r="DON32" i="3"/>
  <c r="DOO32" i="3"/>
  <c r="DOP32" i="3"/>
  <c r="DOQ32" i="3"/>
  <c r="DOR32" i="3"/>
  <c r="DOS32" i="3"/>
  <c r="DOT32" i="3"/>
  <c r="DOU32" i="3"/>
  <c r="DOV32" i="3"/>
  <c r="DOW32" i="3"/>
  <c r="DOX32" i="3"/>
  <c r="DOY32" i="3"/>
  <c r="DOZ32" i="3"/>
  <c r="DPA32" i="3"/>
  <c r="DPB32" i="3"/>
  <c r="DPC32" i="3"/>
  <c r="DPD32" i="3"/>
  <c r="DPE32" i="3"/>
  <c r="DPF32" i="3"/>
  <c r="DPG32" i="3"/>
  <c r="DPH32" i="3"/>
  <c r="DPI32" i="3"/>
  <c r="DPJ32" i="3"/>
  <c r="DPK32" i="3"/>
  <c r="DPL32" i="3"/>
  <c r="DPM32" i="3"/>
  <c r="DPN32" i="3"/>
  <c r="DPO32" i="3"/>
  <c r="DPP32" i="3"/>
  <c r="DPQ32" i="3"/>
  <c r="DPR32" i="3"/>
  <c r="DPS32" i="3"/>
  <c r="DPT32" i="3"/>
  <c r="DPU32" i="3"/>
  <c r="DPV32" i="3"/>
  <c r="DPW32" i="3"/>
  <c r="DPX32" i="3"/>
  <c r="DPY32" i="3"/>
  <c r="DPZ32" i="3"/>
  <c r="DQA32" i="3"/>
  <c r="DQB32" i="3"/>
  <c r="DQC32" i="3"/>
  <c r="DQD32" i="3"/>
  <c r="DQE32" i="3"/>
  <c r="DQF32" i="3"/>
  <c r="DQG32" i="3"/>
  <c r="DQH32" i="3"/>
  <c r="DQI32" i="3"/>
  <c r="DQJ32" i="3"/>
  <c r="DQK32" i="3"/>
  <c r="DQL32" i="3"/>
  <c r="DQM32" i="3"/>
  <c r="DQN32" i="3"/>
  <c r="DQO32" i="3"/>
  <c r="DQP32" i="3"/>
  <c r="DQQ32" i="3"/>
  <c r="DQR32" i="3"/>
  <c r="DQS32" i="3"/>
  <c r="DQT32" i="3"/>
  <c r="DQU32" i="3"/>
  <c r="DQV32" i="3"/>
  <c r="DQW32" i="3"/>
  <c r="DQX32" i="3"/>
  <c r="DQY32" i="3"/>
  <c r="DQZ32" i="3"/>
  <c r="DRA32" i="3"/>
  <c r="DRB32" i="3"/>
  <c r="DRC32" i="3"/>
  <c r="DRD32" i="3"/>
  <c r="DRE32" i="3"/>
  <c r="DRF32" i="3"/>
  <c r="DRG32" i="3"/>
  <c r="DRH32" i="3"/>
  <c r="DRI32" i="3"/>
  <c r="DRJ32" i="3"/>
  <c r="DRK32" i="3"/>
  <c r="DRL32" i="3"/>
  <c r="DRM32" i="3"/>
  <c r="DRN32" i="3"/>
  <c r="DRO32" i="3"/>
  <c r="DRP32" i="3"/>
  <c r="DRQ32" i="3"/>
  <c r="DRR32" i="3"/>
  <c r="DRS32" i="3"/>
  <c r="DRT32" i="3"/>
  <c r="DRU32" i="3"/>
  <c r="DRV32" i="3"/>
  <c r="DRW32" i="3"/>
  <c r="DRX32" i="3"/>
  <c r="DRY32" i="3"/>
  <c r="DRZ32" i="3"/>
  <c r="DSA32" i="3"/>
  <c r="DSB32" i="3"/>
  <c r="DSC32" i="3"/>
  <c r="DSD32" i="3"/>
  <c r="DSE32" i="3"/>
  <c r="DSF32" i="3"/>
  <c r="DSG32" i="3"/>
  <c r="DSH32" i="3"/>
  <c r="DSI32" i="3"/>
  <c r="DSJ32" i="3"/>
  <c r="DSK32" i="3"/>
  <c r="DSL32" i="3"/>
  <c r="DSM32" i="3"/>
  <c r="DSN32" i="3"/>
  <c r="DSO32" i="3"/>
  <c r="DSP32" i="3"/>
  <c r="DSQ32" i="3"/>
  <c r="DSR32" i="3"/>
  <c r="DSS32" i="3"/>
  <c r="DST32" i="3"/>
  <c r="DSU32" i="3"/>
  <c r="DSV32" i="3"/>
  <c r="DSW32" i="3"/>
  <c r="DSX32" i="3"/>
  <c r="DSY32" i="3"/>
  <c r="DSZ32" i="3"/>
  <c r="DTA32" i="3"/>
  <c r="DTB32" i="3"/>
  <c r="DTC32" i="3"/>
  <c r="DTD32" i="3"/>
  <c r="DTE32" i="3"/>
  <c r="DTF32" i="3"/>
  <c r="DTG32" i="3"/>
  <c r="DTH32" i="3"/>
  <c r="DTI32" i="3"/>
  <c r="DTJ32" i="3"/>
  <c r="DTK32" i="3"/>
  <c r="DTL32" i="3"/>
  <c r="DTM32" i="3"/>
  <c r="DTN32" i="3"/>
  <c r="DTO32" i="3"/>
  <c r="DTP32" i="3"/>
  <c r="DTQ32" i="3"/>
  <c r="DTR32" i="3"/>
  <c r="DTS32" i="3"/>
  <c r="DTT32" i="3"/>
  <c r="DTU32" i="3"/>
  <c r="DTV32" i="3"/>
  <c r="DTW32" i="3"/>
  <c r="DTX32" i="3"/>
  <c r="DTY32" i="3"/>
  <c r="DTZ32" i="3"/>
  <c r="DUA32" i="3"/>
  <c r="DUB32" i="3"/>
  <c r="DUC32" i="3"/>
  <c r="DUD32" i="3"/>
  <c r="DUE32" i="3"/>
  <c r="DUF32" i="3"/>
  <c r="DUG32" i="3"/>
  <c r="DUH32" i="3"/>
  <c r="DUI32" i="3"/>
  <c r="DUJ32" i="3"/>
  <c r="DUK32" i="3"/>
  <c r="DUL32" i="3"/>
  <c r="DUM32" i="3"/>
  <c r="DUN32" i="3"/>
  <c r="DUO32" i="3"/>
  <c r="DUP32" i="3"/>
  <c r="DUQ32" i="3"/>
  <c r="DUR32" i="3"/>
  <c r="DUS32" i="3"/>
  <c r="DUT32" i="3"/>
  <c r="DUU32" i="3"/>
  <c r="DUV32" i="3"/>
  <c r="DUW32" i="3"/>
  <c r="DUX32" i="3"/>
  <c r="DUY32" i="3"/>
  <c r="DUZ32" i="3"/>
  <c r="DVA32" i="3"/>
  <c r="DVB32" i="3"/>
  <c r="DVC32" i="3"/>
  <c r="DVD32" i="3"/>
  <c r="DVE32" i="3"/>
  <c r="DVF32" i="3"/>
  <c r="DVG32" i="3"/>
  <c r="DVH32" i="3"/>
  <c r="DVI32" i="3"/>
  <c r="DVJ32" i="3"/>
  <c r="DVK32" i="3"/>
  <c r="DVL32" i="3"/>
  <c r="DVM32" i="3"/>
  <c r="DVN32" i="3"/>
  <c r="DVO32" i="3"/>
  <c r="DVP32" i="3"/>
  <c r="DVQ32" i="3"/>
  <c r="DVR32" i="3"/>
  <c r="DVS32" i="3"/>
  <c r="DVT32" i="3"/>
  <c r="DVU32" i="3"/>
  <c r="DVV32" i="3"/>
  <c r="DVW32" i="3"/>
  <c r="DVX32" i="3"/>
  <c r="DVY32" i="3"/>
  <c r="DVZ32" i="3"/>
  <c r="DWA32" i="3"/>
  <c r="DWB32" i="3"/>
  <c r="DWC32" i="3"/>
  <c r="DWD32" i="3"/>
  <c r="DWE32" i="3"/>
  <c r="DWF32" i="3"/>
  <c r="DWG32" i="3"/>
  <c r="DWH32" i="3"/>
  <c r="DWI32" i="3"/>
  <c r="DWJ32" i="3"/>
  <c r="DWK32" i="3"/>
  <c r="DWL32" i="3"/>
  <c r="DWM32" i="3"/>
  <c r="DWN32" i="3"/>
  <c r="DWO32" i="3"/>
  <c r="DWP32" i="3"/>
  <c r="DWQ32" i="3"/>
  <c r="DWR32" i="3"/>
  <c r="DWS32" i="3"/>
  <c r="DWT32" i="3"/>
  <c r="DWU32" i="3"/>
  <c r="DWV32" i="3"/>
  <c r="DWW32" i="3"/>
  <c r="DWX32" i="3"/>
  <c r="DWY32" i="3"/>
  <c r="DWZ32" i="3"/>
  <c r="DXA32" i="3"/>
  <c r="DXB32" i="3"/>
  <c r="DXC32" i="3"/>
  <c r="DXD32" i="3"/>
  <c r="DXE32" i="3"/>
  <c r="DXF32" i="3"/>
  <c r="DXG32" i="3"/>
  <c r="DXH32" i="3"/>
  <c r="DXI32" i="3"/>
  <c r="DXJ32" i="3"/>
  <c r="DXK32" i="3"/>
  <c r="DXL32" i="3"/>
  <c r="DXM32" i="3"/>
  <c r="DXN32" i="3"/>
  <c r="DXO32" i="3"/>
  <c r="DXP32" i="3"/>
  <c r="DXQ32" i="3"/>
  <c r="DXR32" i="3"/>
  <c r="DXS32" i="3"/>
  <c r="DXT32" i="3"/>
  <c r="DXU32" i="3"/>
  <c r="DXV32" i="3"/>
  <c r="DXW32" i="3"/>
  <c r="DXX32" i="3"/>
  <c r="DXY32" i="3"/>
  <c r="DXZ32" i="3"/>
  <c r="DYA32" i="3"/>
  <c r="DYB32" i="3"/>
  <c r="DYC32" i="3"/>
  <c r="DYD32" i="3"/>
  <c r="DYE32" i="3"/>
  <c r="DYF32" i="3"/>
  <c r="DYG32" i="3"/>
  <c r="DYH32" i="3"/>
  <c r="DYI32" i="3"/>
  <c r="DYJ32" i="3"/>
  <c r="DYK32" i="3"/>
  <c r="DYL32" i="3"/>
  <c r="DYM32" i="3"/>
  <c r="DYN32" i="3"/>
  <c r="DYO32" i="3"/>
  <c r="DYP32" i="3"/>
  <c r="DYQ32" i="3"/>
  <c r="DYR32" i="3"/>
  <c r="DYS32" i="3"/>
  <c r="DYT32" i="3"/>
  <c r="DYU32" i="3"/>
  <c r="DYV32" i="3"/>
  <c r="DYW32" i="3"/>
  <c r="DYX32" i="3"/>
  <c r="DYY32" i="3"/>
  <c r="DYZ32" i="3"/>
  <c r="DZA32" i="3"/>
  <c r="DZB32" i="3"/>
  <c r="DZC32" i="3"/>
  <c r="DZD32" i="3"/>
  <c r="DZE32" i="3"/>
  <c r="DZF32" i="3"/>
  <c r="DZG32" i="3"/>
  <c r="DZH32" i="3"/>
  <c r="DZI32" i="3"/>
  <c r="DZJ32" i="3"/>
  <c r="DZK32" i="3"/>
  <c r="DZL32" i="3"/>
  <c r="DZM32" i="3"/>
  <c r="DZN32" i="3"/>
  <c r="DZO32" i="3"/>
  <c r="DZP32" i="3"/>
  <c r="DZQ32" i="3"/>
  <c r="DZR32" i="3"/>
  <c r="DZS32" i="3"/>
  <c r="DZT32" i="3"/>
  <c r="DZU32" i="3"/>
  <c r="DZV32" i="3"/>
  <c r="DZW32" i="3"/>
  <c r="DZX32" i="3"/>
  <c r="DZY32" i="3"/>
  <c r="DZZ32" i="3"/>
  <c r="EAA32" i="3"/>
  <c r="EAB32" i="3"/>
  <c r="EAC32" i="3"/>
  <c r="EAD32" i="3"/>
  <c r="EAE32" i="3"/>
  <c r="EAF32" i="3"/>
  <c r="EAG32" i="3"/>
  <c r="EAH32" i="3"/>
  <c r="EAI32" i="3"/>
  <c r="EAJ32" i="3"/>
  <c r="EAK32" i="3"/>
  <c r="EAL32" i="3"/>
  <c r="EAM32" i="3"/>
  <c r="EAN32" i="3"/>
  <c r="EAO32" i="3"/>
  <c r="EAP32" i="3"/>
  <c r="EAQ32" i="3"/>
  <c r="EAR32" i="3"/>
  <c r="EAS32" i="3"/>
  <c r="EAT32" i="3"/>
  <c r="EAU32" i="3"/>
  <c r="EAV32" i="3"/>
  <c r="EAW32" i="3"/>
  <c r="EAX32" i="3"/>
  <c r="EAY32" i="3"/>
  <c r="EAZ32" i="3"/>
  <c r="EBA32" i="3"/>
  <c r="EBB32" i="3"/>
  <c r="EBC32" i="3"/>
  <c r="EBD32" i="3"/>
  <c r="EBE32" i="3"/>
  <c r="EBF32" i="3"/>
  <c r="EBG32" i="3"/>
  <c r="EBH32" i="3"/>
  <c r="EBI32" i="3"/>
  <c r="EBJ32" i="3"/>
  <c r="EBK32" i="3"/>
  <c r="EBL32" i="3"/>
  <c r="EBM32" i="3"/>
  <c r="EBN32" i="3"/>
  <c r="EBO32" i="3"/>
  <c r="EBP32" i="3"/>
  <c r="EBQ32" i="3"/>
  <c r="EBR32" i="3"/>
  <c r="EBS32" i="3"/>
  <c r="EBT32" i="3"/>
  <c r="EBU32" i="3"/>
  <c r="EBV32" i="3"/>
  <c r="EBW32" i="3"/>
  <c r="EBX32" i="3"/>
  <c r="EBY32" i="3"/>
  <c r="EBZ32" i="3"/>
  <c r="ECA32" i="3"/>
  <c r="ECB32" i="3"/>
  <c r="ECC32" i="3"/>
  <c r="ECD32" i="3"/>
  <c r="ECE32" i="3"/>
  <c r="ECF32" i="3"/>
  <c r="ECG32" i="3"/>
  <c r="ECH32" i="3"/>
  <c r="ECI32" i="3"/>
  <c r="ECJ32" i="3"/>
  <c r="ECK32" i="3"/>
  <c r="ECL32" i="3"/>
  <c r="ECM32" i="3"/>
  <c r="ECN32" i="3"/>
  <c r="ECO32" i="3"/>
  <c r="ECP32" i="3"/>
  <c r="ECQ32" i="3"/>
  <c r="ECR32" i="3"/>
  <c r="ECS32" i="3"/>
  <c r="ECT32" i="3"/>
  <c r="ECU32" i="3"/>
  <c r="ECV32" i="3"/>
  <c r="ECW32" i="3"/>
  <c r="ECX32" i="3"/>
  <c r="ECY32" i="3"/>
  <c r="ECZ32" i="3"/>
  <c r="EDA32" i="3"/>
  <c r="EDB32" i="3"/>
  <c r="EDC32" i="3"/>
  <c r="EDD32" i="3"/>
  <c r="EDE32" i="3"/>
  <c r="EDF32" i="3"/>
  <c r="EDG32" i="3"/>
  <c r="EDH32" i="3"/>
  <c r="EDI32" i="3"/>
  <c r="EDJ32" i="3"/>
  <c r="EDK32" i="3"/>
  <c r="EDL32" i="3"/>
  <c r="EDM32" i="3"/>
  <c r="EDN32" i="3"/>
  <c r="EDO32" i="3"/>
  <c r="EDP32" i="3"/>
  <c r="EDQ32" i="3"/>
  <c r="EDR32" i="3"/>
  <c r="EDS32" i="3"/>
  <c r="EDT32" i="3"/>
  <c r="EDU32" i="3"/>
  <c r="EDV32" i="3"/>
  <c r="EDW32" i="3"/>
  <c r="EDX32" i="3"/>
  <c r="EDY32" i="3"/>
  <c r="EDZ32" i="3"/>
  <c r="EEA32" i="3"/>
  <c r="EEB32" i="3"/>
  <c r="EEC32" i="3"/>
  <c r="EED32" i="3"/>
  <c r="EEE32" i="3"/>
  <c r="EEF32" i="3"/>
  <c r="EEG32" i="3"/>
  <c r="EEH32" i="3"/>
  <c r="EEI32" i="3"/>
  <c r="EEJ32" i="3"/>
  <c r="EEK32" i="3"/>
  <c r="EEL32" i="3"/>
  <c r="EEM32" i="3"/>
  <c r="EEN32" i="3"/>
  <c r="EEO32" i="3"/>
  <c r="EEP32" i="3"/>
  <c r="EEQ32" i="3"/>
  <c r="EER32" i="3"/>
  <c r="EES32" i="3"/>
  <c r="EET32" i="3"/>
  <c r="EEU32" i="3"/>
  <c r="EEV32" i="3"/>
  <c r="EEW32" i="3"/>
  <c r="EEX32" i="3"/>
  <c r="EEY32" i="3"/>
  <c r="EEZ32" i="3"/>
  <c r="EFA32" i="3"/>
  <c r="EFB32" i="3"/>
  <c r="EFC32" i="3"/>
  <c r="EFD32" i="3"/>
  <c r="EFE32" i="3"/>
  <c r="EFF32" i="3"/>
  <c r="EFG32" i="3"/>
  <c r="EFH32" i="3"/>
  <c r="EFI32" i="3"/>
  <c r="EFJ32" i="3"/>
  <c r="EFK32" i="3"/>
  <c r="EFL32" i="3"/>
  <c r="EFM32" i="3"/>
  <c r="EFN32" i="3"/>
  <c r="EFO32" i="3"/>
  <c r="EFP32" i="3"/>
  <c r="EFQ32" i="3"/>
  <c r="EFR32" i="3"/>
  <c r="EFS32" i="3"/>
  <c r="EFT32" i="3"/>
  <c r="EFU32" i="3"/>
  <c r="EFV32" i="3"/>
  <c r="EFW32" i="3"/>
  <c r="EFX32" i="3"/>
  <c r="EFY32" i="3"/>
  <c r="EFZ32" i="3"/>
  <c r="EGA32" i="3"/>
  <c r="EGB32" i="3"/>
  <c r="EGC32" i="3"/>
  <c r="EGD32" i="3"/>
  <c r="EGE32" i="3"/>
  <c r="EGF32" i="3"/>
  <c r="EGG32" i="3"/>
  <c r="EGH32" i="3"/>
  <c r="EGI32" i="3"/>
  <c r="EGJ32" i="3"/>
  <c r="EGK32" i="3"/>
  <c r="EGL32" i="3"/>
  <c r="EGM32" i="3"/>
  <c r="EGN32" i="3"/>
  <c r="EGO32" i="3"/>
  <c r="EGP32" i="3"/>
  <c r="EGQ32" i="3"/>
  <c r="EGR32" i="3"/>
  <c r="EGS32" i="3"/>
  <c r="EGT32" i="3"/>
  <c r="EGU32" i="3"/>
  <c r="EGV32" i="3"/>
  <c r="EGW32" i="3"/>
  <c r="EGX32" i="3"/>
  <c r="EGY32" i="3"/>
  <c r="EGZ32" i="3"/>
  <c r="EHA32" i="3"/>
  <c r="EHB32" i="3"/>
  <c r="EHC32" i="3"/>
  <c r="EHD32" i="3"/>
  <c r="EHE32" i="3"/>
  <c r="EHF32" i="3"/>
  <c r="EHG32" i="3"/>
  <c r="EHH32" i="3"/>
  <c r="EHI32" i="3"/>
  <c r="EHJ32" i="3"/>
  <c r="EHK32" i="3"/>
  <c r="EHL32" i="3"/>
  <c r="EHM32" i="3"/>
  <c r="EHN32" i="3"/>
  <c r="EHO32" i="3"/>
  <c r="EHP32" i="3"/>
  <c r="EHQ32" i="3"/>
  <c r="EHR32" i="3"/>
  <c r="EHS32" i="3"/>
  <c r="EHT32" i="3"/>
  <c r="EHU32" i="3"/>
  <c r="EHV32" i="3"/>
  <c r="EHW32" i="3"/>
  <c r="EHX32" i="3"/>
  <c r="EHY32" i="3"/>
  <c r="EHZ32" i="3"/>
  <c r="EIA32" i="3"/>
  <c r="EIB32" i="3"/>
  <c r="EIC32" i="3"/>
  <c r="EID32" i="3"/>
  <c r="EIE32" i="3"/>
  <c r="EIF32" i="3"/>
  <c r="EIG32" i="3"/>
  <c r="EIH32" i="3"/>
  <c r="EII32" i="3"/>
  <c r="EIJ32" i="3"/>
  <c r="EIK32" i="3"/>
  <c r="EIL32" i="3"/>
  <c r="EIM32" i="3"/>
  <c r="EIN32" i="3"/>
  <c r="EIO32" i="3"/>
  <c r="EIP32" i="3"/>
  <c r="EIQ32" i="3"/>
  <c r="EIR32" i="3"/>
  <c r="EIS32" i="3"/>
  <c r="EIT32" i="3"/>
  <c r="EIU32" i="3"/>
  <c r="EIV32" i="3"/>
  <c r="EIW32" i="3"/>
  <c r="EIX32" i="3"/>
  <c r="EIY32" i="3"/>
  <c r="EIZ32" i="3"/>
  <c r="EJA32" i="3"/>
  <c r="EJB32" i="3"/>
  <c r="EJC32" i="3"/>
  <c r="EJD32" i="3"/>
  <c r="EJE32" i="3"/>
  <c r="EJF32" i="3"/>
  <c r="EJG32" i="3"/>
  <c r="EJH32" i="3"/>
  <c r="EJI32" i="3"/>
  <c r="EJJ32" i="3"/>
  <c r="EJK32" i="3"/>
  <c r="EJL32" i="3"/>
  <c r="EJM32" i="3"/>
  <c r="EJN32" i="3"/>
  <c r="EJO32" i="3"/>
  <c r="EJP32" i="3"/>
  <c r="EJQ32" i="3"/>
  <c r="EJR32" i="3"/>
  <c r="EJS32" i="3"/>
  <c r="EJT32" i="3"/>
  <c r="EJU32" i="3"/>
  <c r="EJV32" i="3"/>
  <c r="EJW32" i="3"/>
  <c r="EJX32" i="3"/>
  <c r="EJY32" i="3"/>
  <c r="EJZ32" i="3"/>
  <c r="EKA32" i="3"/>
  <c r="EKB32" i="3"/>
  <c r="EKC32" i="3"/>
  <c r="EKD32" i="3"/>
  <c r="EKE32" i="3"/>
  <c r="EKF32" i="3"/>
  <c r="EKG32" i="3"/>
  <c r="EKH32" i="3"/>
  <c r="EKI32" i="3"/>
  <c r="EKJ32" i="3"/>
  <c r="EKK32" i="3"/>
  <c r="EKL32" i="3"/>
  <c r="EKM32" i="3"/>
  <c r="EKN32" i="3"/>
  <c r="EKO32" i="3"/>
  <c r="EKP32" i="3"/>
  <c r="EKQ32" i="3"/>
  <c r="EKR32" i="3"/>
  <c r="EKS32" i="3"/>
  <c r="EKT32" i="3"/>
  <c r="EKU32" i="3"/>
  <c r="EKV32" i="3"/>
  <c r="EKW32" i="3"/>
  <c r="EKX32" i="3"/>
  <c r="EKY32" i="3"/>
  <c r="EKZ32" i="3"/>
  <c r="ELA32" i="3"/>
  <c r="ELB32" i="3"/>
  <c r="ELC32" i="3"/>
  <c r="ELD32" i="3"/>
  <c r="ELE32" i="3"/>
  <c r="ELF32" i="3"/>
  <c r="ELG32" i="3"/>
  <c r="ELH32" i="3"/>
  <c r="ELI32" i="3"/>
  <c r="ELJ32" i="3"/>
  <c r="ELK32" i="3"/>
  <c r="ELL32" i="3"/>
  <c r="ELM32" i="3"/>
  <c r="ELN32" i="3"/>
  <c r="ELO32" i="3"/>
  <c r="ELP32" i="3"/>
  <c r="ELQ32" i="3"/>
  <c r="ELR32" i="3"/>
  <c r="ELS32" i="3"/>
  <c r="ELT32" i="3"/>
  <c r="ELU32" i="3"/>
  <c r="ELV32" i="3"/>
  <c r="ELW32" i="3"/>
  <c r="ELX32" i="3"/>
  <c r="ELY32" i="3"/>
  <c r="ELZ32" i="3"/>
  <c r="EMA32" i="3"/>
  <c r="EMB32" i="3"/>
  <c r="EMC32" i="3"/>
  <c r="EMD32" i="3"/>
  <c r="EME32" i="3"/>
  <c r="EMF32" i="3"/>
  <c r="EMG32" i="3"/>
  <c r="EMH32" i="3"/>
  <c r="EMI32" i="3"/>
  <c r="EMJ32" i="3"/>
  <c r="EMK32" i="3"/>
  <c r="EML32" i="3"/>
  <c r="EMM32" i="3"/>
  <c r="EMN32" i="3"/>
  <c r="EMO32" i="3"/>
  <c r="EMP32" i="3"/>
  <c r="EMQ32" i="3"/>
  <c r="EMR32" i="3"/>
  <c r="EMS32" i="3"/>
  <c r="EMT32" i="3"/>
  <c r="EMU32" i="3"/>
  <c r="EMV32" i="3"/>
  <c r="EMW32" i="3"/>
  <c r="EMX32" i="3"/>
  <c r="EMY32" i="3"/>
  <c r="EMZ32" i="3"/>
  <c r="ENA32" i="3"/>
  <c r="ENB32" i="3"/>
  <c r="ENC32" i="3"/>
  <c r="END32" i="3"/>
  <c r="ENE32" i="3"/>
  <c r="ENF32" i="3"/>
  <c r="ENG32" i="3"/>
  <c r="ENH32" i="3"/>
  <c r="ENI32" i="3"/>
  <c r="ENJ32" i="3"/>
  <c r="ENK32" i="3"/>
  <c r="ENL32" i="3"/>
  <c r="ENM32" i="3"/>
  <c r="ENN32" i="3"/>
  <c r="ENO32" i="3"/>
  <c r="ENP32" i="3"/>
  <c r="ENQ32" i="3"/>
  <c r="ENR32" i="3"/>
  <c r="ENS32" i="3"/>
  <c r="ENT32" i="3"/>
  <c r="ENU32" i="3"/>
  <c r="ENV32" i="3"/>
  <c r="ENW32" i="3"/>
  <c r="ENX32" i="3"/>
  <c r="ENY32" i="3"/>
  <c r="ENZ32" i="3"/>
  <c r="EOA32" i="3"/>
  <c r="EOB32" i="3"/>
  <c r="EOC32" i="3"/>
  <c r="EOD32" i="3"/>
  <c r="EOE32" i="3"/>
  <c r="EOF32" i="3"/>
  <c r="EOG32" i="3"/>
  <c r="EOH32" i="3"/>
  <c r="EOI32" i="3"/>
  <c r="EOJ32" i="3"/>
  <c r="EOK32" i="3"/>
  <c r="EOL32" i="3"/>
  <c r="EOM32" i="3"/>
  <c r="EON32" i="3"/>
  <c r="EOO32" i="3"/>
  <c r="EOP32" i="3"/>
  <c r="EOQ32" i="3"/>
  <c r="EOR32" i="3"/>
  <c r="EOS32" i="3"/>
  <c r="EOT32" i="3"/>
  <c r="EOU32" i="3"/>
  <c r="EOV32" i="3"/>
  <c r="EOW32" i="3"/>
  <c r="EOX32" i="3"/>
  <c r="EOY32" i="3"/>
  <c r="EOZ32" i="3"/>
  <c r="EPA32" i="3"/>
  <c r="EPB32" i="3"/>
  <c r="EPC32" i="3"/>
  <c r="EPD32" i="3"/>
  <c r="EPE32" i="3"/>
  <c r="EPF32" i="3"/>
  <c r="EPG32" i="3"/>
  <c r="EPH32" i="3"/>
  <c r="EPI32" i="3"/>
  <c r="EPJ32" i="3"/>
  <c r="EPK32" i="3"/>
  <c r="EPL32" i="3"/>
  <c r="EPM32" i="3"/>
  <c r="EPN32" i="3"/>
  <c r="EPO32" i="3"/>
  <c r="EPP32" i="3"/>
  <c r="EPQ32" i="3"/>
  <c r="EPR32" i="3"/>
  <c r="EPS32" i="3"/>
  <c r="EPT32" i="3"/>
  <c r="EPU32" i="3"/>
  <c r="EPV32" i="3"/>
  <c r="EPW32" i="3"/>
  <c r="EPX32" i="3"/>
  <c r="EPY32" i="3"/>
  <c r="EPZ32" i="3"/>
  <c r="EQA32" i="3"/>
  <c r="EQB32" i="3"/>
  <c r="EQC32" i="3"/>
  <c r="EQD32" i="3"/>
  <c r="EQE32" i="3"/>
  <c r="EQF32" i="3"/>
  <c r="EQG32" i="3"/>
  <c r="EQH32" i="3"/>
  <c r="EQI32" i="3"/>
  <c r="EQJ32" i="3"/>
  <c r="EQK32" i="3"/>
  <c r="EQL32" i="3"/>
  <c r="EQM32" i="3"/>
  <c r="EQN32" i="3"/>
  <c r="EQO32" i="3"/>
  <c r="EQP32" i="3"/>
  <c r="EQQ32" i="3"/>
  <c r="EQR32" i="3"/>
  <c r="EQS32" i="3"/>
  <c r="EQT32" i="3"/>
  <c r="EQU32" i="3"/>
  <c r="EQV32" i="3"/>
  <c r="EQW32" i="3"/>
  <c r="EQX32" i="3"/>
  <c r="EQY32" i="3"/>
  <c r="EQZ32" i="3"/>
  <c r="ERA32" i="3"/>
  <c r="ERB32" i="3"/>
  <c r="ERC32" i="3"/>
  <c r="ERD32" i="3"/>
  <c r="ERE32" i="3"/>
  <c r="ERF32" i="3"/>
  <c r="ERG32" i="3"/>
  <c r="ERH32" i="3"/>
  <c r="ERI32" i="3"/>
  <c r="ERJ32" i="3"/>
  <c r="ERK32" i="3"/>
  <c r="ERL32" i="3"/>
  <c r="ERM32" i="3"/>
  <c r="ERN32" i="3"/>
  <c r="ERO32" i="3"/>
  <c r="ERP32" i="3"/>
  <c r="ERQ32" i="3"/>
  <c r="ERR32" i="3"/>
  <c r="ERS32" i="3"/>
  <c r="ERT32" i="3"/>
  <c r="ERU32" i="3"/>
  <c r="ERV32" i="3"/>
  <c r="ERW32" i="3"/>
  <c r="ERX32" i="3"/>
  <c r="ERY32" i="3"/>
  <c r="ERZ32" i="3"/>
  <c r="ESA32" i="3"/>
  <c r="ESB32" i="3"/>
  <c r="ESC32" i="3"/>
  <c r="ESD32" i="3"/>
  <c r="ESE32" i="3"/>
  <c r="ESF32" i="3"/>
  <c r="ESG32" i="3"/>
  <c r="ESH32" i="3"/>
  <c r="ESI32" i="3"/>
  <c r="ESJ32" i="3"/>
  <c r="ESK32" i="3"/>
  <c r="ESL32" i="3"/>
  <c r="ESM32" i="3"/>
  <c r="ESN32" i="3"/>
  <c r="ESO32" i="3"/>
  <c r="ESP32" i="3"/>
  <c r="ESQ32" i="3"/>
  <c r="ESR32" i="3"/>
  <c r="ESS32" i="3"/>
  <c r="EST32" i="3"/>
  <c r="ESU32" i="3"/>
  <c r="ESV32" i="3"/>
  <c r="ESW32" i="3"/>
  <c r="ESX32" i="3"/>
  <c r="ESY32" i="3"/>
  <c r="ESZ32" i="3"/>
  <c r="ETA32" i="3"/>
  <c r="ETB32" i="3"/>
  <c r="ETC32" i="3"/>
  <c r="ETD32" i="3"/>
  <c r="ETE32" i="3"/>
  <c r="ETF32" i="3"/>
  <c r="ETG32" i="3"/>
  <c r="ETH32" i="3"/>
  <c r="ETI32" i="3"/>
  <c r="ETJ32" i="3"/>
  <c r="ETK32" i="3"/>
  <c r="ETL32" i="3"/>
  <c r="ETM32" i="3"/>
  <c r="ETN32" i="3"/>
  <c r="ETO32" i="3"/>
  <c r="ETP32" i="3"/>
  <c r="ETQ32" i="3"/>
  <c r="ETR32" i="3"/>
  <c r="ETS32" i="3"/>
  <c r="ETT32" i="3"/>
  <c r="ETU32" i="3"/>
  <c r="ETV32" i="3"/>
  <c r="ETW32" i="3"/>
  <c r="ETX32" i="3"/>
  <c r="ETY32" i="3"/>
  <c r="ETZ32" i="3"/>
  <c r="EUA32" i="3"/>
  <c r="EUB32" i="3"/>
  <c r="EUC32" i="3"/>
  <c r="EUD32" i="3"/>
  <c r="EUE32" i="3"/>
  <c r="EUF32" i="3"/>
  <c r="EUG32" i="3"/>
  <c r="EUH32" i="3"/>
  <c r="EUI32" i="3"/>
  <c r="EUJ32" i="3"/>
  <c r="EUK32" i="3"/>
  <c r="EUL32" i="3"/>
  <c r="EUM32" i="3"/>
  <c r="EUN32" i="3"/>
  <c r="EUO32" i="3"/>
  <c r="EUP32" i="3"/>
  <c r="EUQ32" i="3"/>
  <c r="EUR32" i="3"/>
  <c r="EUS32" i="3"/>
  <c r="EUT32" i="3"/>
  <c r="EUU32" i="3"/>
  <c r="EUV32" i="3"/>
  <c r="EUW32" i="3"/>
  <c r="EUX32" i="3"/>
  <c r="EUY32" i="3"/>
  <c r="EUZ32" i="3"/>
  <c r="EVA32" i="3"/>
  <c r="EVB32" i="3"/>
  <c r="EVC32" i="3"/>
  <c r="EVD32" i="3"/>
  <c r="EVE32" i="3"/>
  <c r="EVF32" i="3"/>
  <c r="EVG32" i="3"/>
  <c r="EVH32" i="3"/>
  <c r="EVI32" i="3"/>
  <c r="EVJ32" i="3"/>
  <c r="EVK32" i="3"/>
  <c r="EVL32" i="3"/>
  <c r="EVM32" i="3"/>
  <c r="EVN32" i="3"/>
  <c r="EVO32" i="3"/>
  <c r="EVP32" i="3"/>
  <c r="EVQ32" i="3"/>
  <c r="EVR32" i="3"/>
  <c r="EVS32" i="3"/>
  <c r="EVT32" i="3"/>
  <c r="EVU32" i="3"/>
  <c r="EVV32" i="3"/>
  <c r="EVW32" i="3"/>
  <c r="EVX32" i="3"/>
  <c r="EVY32" i="3"/>
  <c r="EVZ32" i="3"/>
  <c r="EWA32" i="3"/>
  <c r="EWB32" i="3"/>
  <c r="EWC32" i="3"/>
  <c r="EWD32" i="3"/>
  <c r="EWE32" i="3"/>
  <c r="EWF32" i="3"/>
  <c r="EWG32" i="3"/>
  <c r="EWH32" i="3"/>
  <c r="EWI32" i="3"/>
  <c r="EWJ32" i="3"/>
  <c r="EWK32" i="3"/>
  <c r="EWL32" i="3"/>
  <c r="EWM32" i="3"/>
  <c r="EWN32" i="3"/>
  <c r="EWO32" i="3"/>
  <c r="EWP32" i="3"/>
  <c r="EWQ32" i="3"/>
  <c r="EWR32" i="3"/>
  <c r="EWS32" i="3"/>
  <c r="EWT32" i="3"/>
  <c r="EWU32" i="3"/>
  <c r="EWV32" i="3"/>
  <c r="EWW32" i="3"/>
  <c r="EWX32" i="3"/>
  <c r="EWY32" i="3"/>
  <c r="EWZ32" i="3"/>
  <c r="EXA32" i="3"/>
  <c r="EXB32" i="3"/>
  <c r="EXC32" i="3"/>
  <c r="EXD32" i="3"/>
  <c r="EXE32" i="3"/>
  <c r="EXF32" i="3"/>
  <c r="EXG32" i="3"/>
  <c r="EXH32" i="3"/>
  <c r="EXI32" i="3"/>
  <c r="EXJ32" i="3"/>
  <c r="EXK32" i="3"/>
  <c r="EXL32" i="3"/>
  <c r="EXM32" i="3"/>
  <c r="EXN32" i="3"/>
  <c r="EXO32" i="3"/>
  <c r="EXP32" i="3"/>
  <c r="EXQ32" i="3"/>
  <c r="EXR32" i="3"/>
  <c r="EXS32" i="3"/>
  <c r="EXT32" i="3"/>
  <c r="EXU32" i="3"/>
  <c r="EXV32" i="3"/>
  <c r="EXW32" i="3"/>
  <c r="EXX32" i="3"/>
  <c r="EXY32" i="3"/>
  <c r="EXZ32" i="3"/>
  <c r="EYA32" i="3"/>
  <c r="EYB32" i="3"/>
  <c r="EYC32" i="3"/>
  <c r="EYD32" i="3"/>
  <c r="EYE32" i="3"/>
  <c r="EYF32" i="3"/>
  <c r="EYG32" i="3"/>
  <c r="EYH32" i="3"/>
  <c r="EYI32" i="3"/>
  <c r="EYJ32" i="3"/>
  <c r="EYK32" i="3"/>
  <c r="EYL32" i="3"/>
  <c r="EYM32" i="3"/>
  <c r="EYN32" i="3"/>
  <c r="EYO32" i="3"/>
  <c r="EYP32" i="3"/>
  <c r="EYQ32" i="3"/>
  <c r="EYR32" i="3"/>
  <c r="EYS32" i="3"/>
  <c r="EYT32" i="3"/>
  <c r="EYU32" i="3"/>
  <c r="EYV32" i="3"/>
  <c r="EYW32" i="3"/>
  <c r="EYX32" i="3"/>
  <c r="EYY32" i="3"/>
  <c r="EYZ32" i="3"/>
  <c r="EZA32" i="3"/>
  <c r="EZB32" i="3"/>
  <c r="EZC32" i="3"/>
  <c r="EZD32" i="3"/>
  <c r="EZE32" i="3"/>
  <c r="EZF32" i="3"/>
  <c r="EZG32" i="3"/>
  <c r="EZH32" i="3"/>
  <c r="EZI32" i="3"/>
  <c r="EZJ32" i="3"/>
  <c r="EZK32" i="3"/>
  <c r="EZL32" i="3"/>
  <c r="EZM32" i="3"/>
  <c r="EZN32" i="3"/>
  <c r="EZO32" i="3"/>
  <c r="EZP32" i="3"/>
  <c r="EZQ32" i="3"/>
  <c r="EZR32" i="3"/>
  <c r="EZS32" i="3"/>
  <c r="EZT32" i="3"/>
  <c r="EZU32" i="3"/>
  <c r="EZV32" i="3"/>
  <c r="EZW32" i="3"/>
  <c r="EZX32" i="3"/>
  <c r="EZY32" i="3"/>
  <c r="EZZ32" i="3"/>
  <c r="FAA32" i="3"/>
  <c r="FAB32" i="3"/>
  <c r="FAC32" i="3"/>
  <c r="FAD32" i="3"/>
  <c r="FAE32" i="3"/>
  <c r="FAF32" i="3"/>
  <c r="FAG32" i="3"/>
  <c r="FAH32" i="3"/>
  <c r="FAI32" i="3"/>
  <c r="FAJ32" i="3"/>
  <c r="FAK32" i="3"/>
  <c r="FAL32" i="3"/>
  <c r="FAM32" i="3"/>
  <c r="FAN32" i="3"/>
  <c r="FAO32" i="3"/>
  <c r="FAP32" i="3"/>
  <c r="FAQ32" i="3"/>
  <c r="FAR32" i="3"/>
  <c r="FAS32" i="3"/>
  <c r="FAT32" i="3"/>
  <c r="FAU32" i="3"/>
  <c r="FAV32" i="3"/>
  <c r="FAW32" i="3"/>
  <c r="FAX32" i="3"/>
  <c r="FAY32" i="3"/>
  <c r="FAZ32" i="3"/>
  <c r="FBA32" i="3"/>
  <c r="FBB32" i="3"/>
  <c r="FBC32" i="3"/>
  <c r="FBD32" i="3"/>
  <c r="FBE32" i="3"/>
  <c r="FBF32" i="3"/>
  <c r="FBG32" i="3"/>
  <c r="FBH32" i="3"/>
  <c r="FBI32" i="3"/>
  <c r="FBJ32" i="3"/>
  <c r="FBK32" i="3"/>
  <c r="FBL32" i="3"/>
  <c r="FBM32" i="3"/>
  <c r="FBN32" i="3"/>
  <c r="FBO32" i="3"/>
  <c r="FBP32" i="3"/>
  <c r="FBQ32" i="3"/>
  <c r="FBR32" i="3"/>
  <c r="FBS32" i="3"/>
  <c r="FBT32" i="3"/>
  <c r="FBU32" i="3"/>
  <c r="FBV32" i="3"/>
  <c r="FBW32" i="3"/>
  <c r="FBX32" i="3"/>
  <c r="FBY32" i="3"/>
  <c r="FBZ32" i="3"/>
  <c r="FCA32" i="3"/>
  <c r="FCB32" i="3"/>
  <c r="FCC32" i="3"/>
  <c r="FCD32" i="3"/>
  <c r="FCE32" i="3"/>
  <c r="FCF32" i="3"/>
  <c r="FCG32" i="3"/>
  <c r="FCH32" i="3"/>
  <c r="FCI32" i="3"/>
  <c r="FCJ32" i="3"/>
  <c r="FCK32" i="3"/>
  <c r="FCL32" i="3"/>
  <c r="FCM32" i="3"/>
  <c r="FCN32" i="3"/>
  <c r="FCO32" i="3"/>
  <c r="FCP32" i="3"/>
  <c r="FCQ32" i="3"/>
  <c r="FCR32" i="3"/>
  <c r="FCS32" i="3"/>
  <c r="FCT32" i="3"/>
  <c r="FCU32" i="3"/>
  <c r="FCV32" i="3"/>
  <c r="FCW32" i="3"/>
  <c r="FCX32" i="3"/>
  <c r="FCY32" i="3"/>
  <c r="FCZ32" i="3"/>
  <c r="FDA32" i="3"/>
  <c r="FDB32" i="3"/>
  <c r="FDC32" i="3"/>
  <c r="FDD32" i="3"/>
  <c r="FDE32" i="3"/>
  <c r="FDF32" i="3"/>
  <c r="FDG32" i="3"/>
  <c r="FDH32" i="3"/>
  <c r="FDI32" i="3"/>
  <c r="FDJ32" i="3"/>
  <c r="FDK32" i="3"/>
  <c r="FDL32" i="3"/>
  <c r="FDM32" i="3"/>
  <c r="FDN32" i="3"/>
  <c r="FDO32" i="3"/>
  <c r="FDP32" i="3"/>
  <c r="FDQ32" i="3"/>
  <c r="FDR32" i="3"/>
  <c r="FDS32" i="3"/>
  <c r="FDT32" i="3"/>
  <c r="FDU32" i="3"/>
  <c r="FDV32" i="3"/>
  <c r="FDW32" i="3"/>
  <c r="FDX32" i="3"/>
  <c r="FDY32" i="3"/>
  <c r="FDZ32" i="3"/>
  <c r="FEA32" i="3"/>
  <c r="FEB32" i="3"/>
  <c r="FEC32" i="3"/>
  <c r="FED32" i="3"/>
  <c r="FEE32" i="3"/>
  <c r="FEF32" i="3"/>
  <c r="FEG32" i="3"/>
  <c r="FEH32" i="3"/>
  <c r="FEI32" i="3"/>
  <c r="FEJ32" i="3"/>
  <c r="FEK32" i="3"/>
  <c r="FEL32" i="3"/>
  <c r="FEM32" i="3"/>
  <c r="FEN32" i="3"/>
  <c r="FEO32" i="3"/>
  <c r="FEP32" i="3"/>
  <c r="FEQ32" i="3"/>
  <c r="FER32" i="3"/>
  <c r="FES32" i="3"/>
  <c r="FET32" i="3"/>
  <c r="FEU32" i="3"/>
  <c r="FEV32" i="3"/>
  <c r="FEW32" i="3"/>
  <c r="FEX32" i="3"/>
  <c r="FEY32" i="3"/>
  <c r="FEZ32" i="3"/>
  <c r="FFA32" i="3"/>
  <c r="FFB32" i="3"/>
  <c r="FFC32" i="3"/>
  <c r="FFD32" i="3"/>
  <c r="FFE32" i="3"/>
  <c r="FFF32" i="3"/>
  <c r="FFG32" i="3"/>
  <c r="FFH32" i="3"/>
  <c r="FFI32" i="3"/>
  <c r="FFJ32" i="3"/>
  <c r="FFK32" i="3"/>
  <c r="FFL32" i="3"/>
  <c r="FFM32" i="3"/>
  <c r="FFN32" i="3"/>
  <c r="FFO32" i="3"/>
  <c r="FFP32" i="3"/>
  <c r="FFQ32" i="3"/>
  <c r="FFR32" i="3"/>
  <c r="FFS32" i="3"/>
  <c r="FFT32" i="3"/>
  <c r="FFU32" i="3"/>
  <c r="FFV32" i="3"/>
  <c r="FFW32" i="3"/>
  <c r="FFX32" i="3"/>
  <c r="FFY32" i="3"/>
  <c r="FFZ32" i="3"/>
  <c r="FGA32" i="3"/>
  <c r="FGB32" i="3"/>
  <c r="FGC32" i="3"/>
  <c r="FGD32" i="3"/>
  <c r="FGE32" i="3"/>
  <c r="FGF32" i="3"/>
  <c r="FGG32" i="3"/>
  <c r="FGH32" i="3"/>
  <c r="FGI32" i="3"/>
  <c r="FGJ32" i="3"/>
  <c r="FGK32" i="3"/>
  <c r="FGL32" i="3"/>
  <c r="FGM32" i="3"/>
  <c r="FGN32" i="3"/>
  <c r="FGO32" i="3"/>
  <c r="FGP32" i="3"/>
  <c r="FGQ32" i="3"/>
  <c r="FGR32" i="3"/>
  <c r="FGS32" i="3"/>
  <c r="FGT32" i="3"/>
  <c r="FGU32" i="3"/>
  <c r="FGV32" i="3"/>
  <c r="FGW32" i="3"/>
  <c r="FGX32" i="3"/>
  <c r="FGY32" i="3"/>
  <c r="FGZ32" i="3"/>
  <c r="FHA32" i="3"/>
  <c r="FHB32" i="3"/>
  <c r="FHC32" i="3"/>
  <c r="FHD32" i="3"/>
  <c r="FHE32" i="3"/>
  <c r="FHF32" i="3"/>
  <c r="FHG32" i="3"/>
  <c r="FHH32" i="3"/>
  <c r="FHI32" i="3"/>
  <c r="FHJ32" i="3"/>
  <c r="FHK32" i="3"/>
  <c r="FHL32" i="3"/>
  <c r="FHM32" i="3"/>
  <c r="FHN32" i="3"/>
  <c r="FHO32" i="3"/>
  <c r="FHP32" i="3"/>
  <c r="FHQ32" i="3"/>
  <c r="FHR32" i="3"/>
  <c r="FHS32" i="3"/>
  <c r="FHT32" i="3"/>
  <c r="FHU32" i="3"/>
  <c r="FHV32" i="3"/>
  <c r="FHW32" i="3"/>
  <c r="FHX32" i="3"/>
  <c r="FHY32" i="3"/>
  <c r="FHZ32" i="3"/>
  <c r="FIA32" i="3"/>
  <c r="FIB32" i="3"/>
  <c r="FIC32" i="3"/>
  <c r="FID32" i="3"/>
  <c r="FIE32" i="3"/>
  <c r="FIF32" i="3"/>
  <c r="FIG32" i="3"/>
  <c r="FIH32" i="3"/>
  <c r="FII32" i="3"/>
  <c r="FIJ32" i="3"/>
  <c r="FIK32" i="3"/>
  <c r="FIL32" i="3"/>
  <c r="FIM32" i="3"/>
  <c r="FIN32" i="3"/>
  <c r="FIO32" i="3"/>
  <c r="FIP32" i="3"/>
  <c r="FIQ32" i="3"/>
  <c r="FIR32" i="3"/>
  <c r="FIS32" i="3"/>
  <c r="FIT32" i="3"/>
  <c r="FIU32" i="3"/>
  <c r="FIV32" i="3"/>
  <c r="FIW32" i="3"/>
  <c r="FIX32" i="3"/>
  <c r="FIY32" i="3"/>
  <c r="FIZ32" i="3"/>
  <c r="FJA32" i="3"/>
  <c r="FJB32" i="3"/>
  <c r="FJC32" i="3"/>
  <c r="FJD32" i="3"/>
  <c r="FJE32" i="3"/>
  <c r="FJF32" i="3"/>
  <c r="FJG32" i="3"/>
  <c r="FJH32" i="3"/>
  <c r="FJI32" i="3"/>
  <c r="FJJ32" i="3"/>
  <c r="FJK32" i="3"/>
  <c r="FJL32" i="3"/>
  <c r="FJM32" i="3"/>
  <c r="FJN32" i="3"/>
  <c r="FJO32" i="3"/>
  <c r="FJP32" i="3"/>
  <c r="FJQ32" i="3"/>
  <c r="FJR32" i="3"/>
  <c r="FJS32" i="3"/>
  <c r="FJT32" i="3"/>
  <c r="FJU32" i="3"/>
  <c r="FJV32" i="3"/>
  <c r="FJW32" i="3"/>
  <c r="FJX32" i="3"/>
  <c r="FJY32" i="3"/>
  <c r="FJZ32" i="3"/>
  <c r="FKA32" i="3"/>
  <c r="FKB32" i="3"/>
  <c r="FKC32" i="3"/>
  <c r="FKD32" i="3"/>
  <c r="FKE32" i="3"/>
  <c r="FKF32" i="3"/>
  <c r="FKG32" i="3"/>
  <c r="FKH32" i="3"/>
  <c r="FKI32" i="3"/>
  <c r="FKJ32" i="3"/>
  <c r="FKK32" i="3"/>
  <c r="FKL32" i="3"/>
  <c r="FKM32" i="3"/>
  <c r="FKN32" i="3"/>
  <c r="FKO32" i="3"/>
  <c r="FKP32" i="3"/>
  <c r="FKQ32" i="3"/>
  <c r="FKR32" i="3"/>
  <c r="FKS32" i="3"/>
  <c r="FKT32" i="3"/>
  <c r="FKU32" i="3"/>
  <c r="FKV32" i="3"/>
  <c r="FKW32" i="3"/>
  <c r="FKX32" i="3"/>
  <c r="FKY32" i="3"/>
  <c r="FKZ32" i="3"/>
  <c r="FLA32" i="3"/>
  <c r="FLB32" i="3"/>
  <c r="FLC32" i="3"/>
  <c r="FLD32" i="3"/>
  <c r="FLE32" i="3"/>
  <c r="FLF32" i="3"/>
  <c r="FLG32" i="3"/>
  <c r="FLH32" i="3"/>
  <c r="FLI32" i="3"/>
  <c r="FLJ32" i="3"/>
  <c r="FLK32" i="3"/>
  <c r="FLL32" i="3"/>
  <c r="FLM32" i="3"/>
  <c r="FLN32" i="3"/>
  <c r="FLO32" i="3"/>
  <c r="FLP32" i="3"/>
  <c r="FLQ32" i="3"/>
  <c r="FLR32" i="3"/>
  <c r="FLS32" i="3"/>
  <c r="FLT32" i="3"/>
  <c r="FLU32" i="3"/>
  <c r="FLV32" i="3"/>
  <c r="FLW32" i="3"/>
  <c r="FLX32" i="3"/>
  <c r="FLY32" i="3"/>
  <c r="FLZ32" i="3"/>
  <c r="FMA32" i="3"/>
  <c r="FMB32" i="3"/>
  <c r="FMC32" i="3"/>
  <c r="FMD32" i="3"/>
  <c r="FME32" i="3"/>
  <c r="FMF32" i="3"/>
  <c r="FMG32" i="3"/>
  <c r="FMH32" i="3"/>
  <c r="FMI32" i="3"/>
  <c r="FMJ32" i="3"/>
  <c r="FMK32" i="3"/>
  <c r="FML32" i="3"/>
  <c r="FMM32" i="3"/>
  <c r="FMN32" i="3"/>
  <c r="FMO32" i="3"/>
  <c r="FMP32" i="3"/>
  <c r="FMQ32" i="3"/>
  <c r="FMR32" i="3"/>
  <c r="FMS32" i="3"/>
  <c r="FMT32" i="3"/>
  <c r="FMU32" i="3"/>
  <c r="FMV32" i="3"/>
  <c r="FMW32" i="3"/>
  <c r="FMX32" i="3"/>
  <c r="FMY32" i="3"/>
  <c r="FMZ32" i="3"/>
  <c r="FNA32" i="3"/>
  <c r="FNB32" i="3"/>
  <c r="FNC32" i="3"/>
  <c r="FND32" i="3"/>
  <c r="FNE32" i="3"/>
  <c r="FNF32" i="3"/>
  <c r="FNG32" i="3"/>
  <c r="FNH32" i="3"/>
  <c r="FNI32" i="3"/>
  <c r="FNJ32" i="3"/>
  <c r="FNK32" i="3"/>
  <c r="FNL32" i="3"/>
  <c r="FNM32" i="3"/>
  <c r="FNN32" i="3"/>
  <c r="FNO32" i="3"/>
  <c r="FNP32" i="3"/>
  <c r="FNQ32" i="3"/>
  <c r="FNR32" i="3"/>
  <c r="FNS32" i="3"/>
  <c r="FNT32" i="3"/>
  <c r="FNU32" i="3"/>
  <c r="FNV32" i="3"/>
  <c r="FNW32" i="3"/>
  <c r="FNX32" i="3"/>
  <c r="FNY32" i="3"/>
  <c r="FNZ32" i="3"/>
  <c r="FOA32" i="3"/>
  <c r="FOB32" i="3"/>
  <c r="FOC32" i="3"/>
  <c r="FOD32" i="3"/>
  <c r="FOE32" i="3"/>
  <c r="FOF32" i="3"/>
  <c r="FOG32" i="3"/>
  <c r="FOH32" i="3"/>
  <c r="FOI32" i="3"/>
  <c r="FOJ32" i="3"/>
  <c r="FOK32" i="3"/>
  <c r="FOL32" i="3"/>
  <c r="FOM32" i="3"/>
  <c r="FON32" i="3"/>
  <c r="FOO32" i="3"/>
  <c r="FOP32" i="3"/>
  <c r="FOQ32" i="3"/>
  <c r="FOR32" i="3"/>
  <c r="FOS32" i="3"/>
  <c r="FOT32" i="3"/>
  <c r="FOU32" i="3"/>
  <c r="FOV32" i="3"/>
  <c r="FOW32" i="3"/>
  <c r="FOX32" i="3"/>
  <c r="FOY32" i="3"/>
  <c r="FOZ32" i="3"/>
  <c r="FPA32" i="3"/>
  <c r="FPB32" i="3"/>
  <c r="FPC32" i="3"/>
  <c r="FPD32" i="3"/>
  <c r="FPE32" i="3"/>
  <c r="FPF32" i="3"/>
  <c r="FPG32" i="3"/>
  <c r="FPH32" i="3"/>
  <c r="FPI32" i="3"/>
  <c r="FPJ32" i="3"/>
  <c r="FPK32" i="3"/>
  <c r="FPL32" i="3"/>
  <c r="FPM32" i="3"/>
  <c r="FPN32" i="3"/>
  <c r="FPO32" i="3"/>
  <c r="FPP32" i="3"/>
  <c r="FPQ32" i="3"/>
  <c r="FPR32" i="3"/>
  <c r="FPS32" i="3"/>
  <c r="FPT32" i="3"/>
  <c r="FPU32" i="3"/>
  <c r="FPV32" i="3"/>
  <c r="FPW32" i="3"/>
  <c r="FPX32" i="3"/>
  <c r="FPY32" i="3"/>
  <c r="FPZ32" i="3"/>
  <c r="FQA32" i="3"/>
  <c r="FQB32" i="3"/>
  <c r="FQC32" i="3"/>
  <c r="FQD32" i="3"/>
  <c r="FQE32" i="3"/>
  <c r="FQF32" i="3"/>
  <c r="FQG32" i="3"/>
  <c r="FQH32" i="3"/>
  <c r="FQI32" i="3"/>
  <c r="FQJ32" i="3"/>
  <c r="FQK32" i="3"/>
  <c r="FQL32" i="3"/>
  <c r="FQM32" i="3"/>
  <c r="FQN32" i="3"/>
  <c r="FQO32" i="3"/>
  <c r="FQP32" i="3"/>
  <c r="FQQ32" i="3"/>
  <c r="FQR32" i="3"/>
  <c r="FQS32" i="3"/>
  <c r="FQT32" i="3"/>
  <c r="FQU32" i="3"/>
  <c r="FQV32" i="3"/>
  <c r="FQW32" i="3"/>
  <c r="FQX32" i="3"/>
  <c r="FQY32" i="3"/>
  <c r="FQZ32" i="3"/>
  <c r="FRA32" i="3"/>
  <c r="FRB32" i="3"/>
  <c r="FRC32" i="3"/>
  <c r="FRD32" i="3"/>
  <c r="FRE32" i="3"/>
  <c r="FRF32" i="3"/>
  <c r="FRG32" i="3"/>
  <c r="FRH32" i="3"/>
  <c r="FRI32" i="3"/>
  <c r="FRJ32" i="3"/>
  <c r="FRK32" i="3"/>
  <c r="FRL32" i="3"/>
  <c r="FRM32" i="3"/>
  <c r="FRN32" i="3"/>
  <c r="FRO32" i="3"/>
  <c r="FRP32" i="3"/>
  <c r="FRQ32" i="3"/>
  <c r="FRR32" i="3"/>
  <c r="FRS32" i="3"/>
  <c r="FRT32" i="3"/>
  <c r="FRU32" i="3"/>
  <c r="FRV32" i="3"/>
  <c r="FRW32" i="3"/>
  <c r="FRX32" i="3"/>
  <c r="FRY32" i="3"/>
  <c r="FRZ32" i="3"/>
  <c r="FSA32" i="3"/>
  <c r="FSB32" i="3"/>
  <c r="FSC32" i="3"/>
  <c r="FSD32" i="3"/>
  <c r="FSE32" i="3"/>
  <c r="FSF32" i="3"/>
  <c r="FSG32" i="3"/>
  <c r="FSH32" i="3"/>
  <c r="FSI32" i="3"/>
  <c r="FSJ32" i="3"/>
  <c r="FSK32" i="3"/>
  <c r="FSL32" i="3"/>
  <c r="FSM32" i="3"/>
  <c r="FSN32" i="3"/>
  <c r="FSO32" i="3"/>
  <c r="FSP32" i="3"/>
  <c r="FSQ32" i="3"/>
  <c r="FSR32" i="3"/>
  <c r="FSS32" i="3"/>
  <c r="FST32" i="3"/>
  <c r="FSU32" i="3"/>
  <c r="FSV32" i="3"/>
  <c r="FSW32" i="3"/>
  <c r="FSX32" i="3"/>
  <c r="FSY32" i="3"/>
  <c r="FSZ32" i="3"/>
  <c r="FTA32" i="3"/>
  <c r="FTB32" i="3"/>
  <c r="FTC32" i="3"/>
  <c r="FTD32" i="3"/>
  <c r="FTE32" i="3"/>
  <c r="FTF32" i="3"/>
  <c r="FTG32" i="3"/>
  <c r="FTH32" i="3"/>
  <c r="FTI32" i="3"/>
  <c r="FTJ32" i="3"/>
  <c r="FTK32" i="3"/>
  <c r="FTL32" i="3"/>
  <c r="FTM32" i="3"/>
  <c r="FTN32" i="3"/>
  <c r="FTO32" i="3"/>
  <c r="FTP32" i="3"/>
  <c r="FTQ32" i="3"/>
  <c r="FTR32" i="3"/>
  <c r="FTS32" i="3"/>
  <c r="FTT32" i="3"/>
  <c r="FTU32" i="3"/>
  <c r="FTV32" i="3"/>
  <c r="FTW32" i="3"/>
  <c r="FTX32" i="3"/>
  <c r="FTY32" i="3"/>
  <c r="FTZ32" i="3"/>
  <c r="FUA32" i="3"/>
  <c r="FUB32" i="3"/>
  <c r="FUC32" i="3"/>
  <c r="FUD32" i="3"/>
  <c r="FUE32" i="3"/>
  <c r="FUF32" i="3"/>
  <c r="FUG32" i="3"/>
  <c r="FUH32" i="3"/>
  <c r="FUI32" i="3"/>
  <c r="FUJ32" i="3"/>
  <c r="FUK32" i="3"/>
  <c r="FUL32" i="3"/>
  <c r="FUM32" i="3"/>
  <c r="FUN32" i="3"/>
  <c r="FUO32" i="3"/>
  <c r="FUP32" i="3"/>
  <c r="FUQ32" i="3"/>
  <c r="FUR32" i="3"/>
  <c r="FUS32" i="3"/>
  <c r="FUT32" i="3"/>
  <c r="FUU32" i="3"/>
  <c r="FUV32" i="3"/>
  <c r="FUW32" i="3"/>
  <c r="FUX32" i="3"/>
  <c r="FUY32" i="3"/>
  <c r="FUZ32" i="3"/>
  <c r="FVA32" i="3"/>
  <c r="FVB32" i="3"/>
  <c r="FVC32" i="3"/>
  <c r="FVD32" i="3"/>
  <c r="FVE32" i="3"/>
  <c r="FVF32" i="3"/>
  <c r="FVG32" i="3"/>
  <c r="FVH32" i="3"/>
  <c r="FVI32" i="3"/>
  <c r="FVJ32" i="3"/>
  <c r="FVK32" i="3"/>
  <c r="FVL32" i="3"/>
  <c r="FVM32" i="3"/>
  <c r="FVN32" i="3"/>
  <c r="FVO32" i="3"/>
  <c r="FVP32" i="3"/>
  <c r="FVQ32" i="3"/>
  <c r="FVR32" i="3"/>
  <c r="FVS32" i="3"/>
  <c r="FVT32" i="3"/>
  <c r="FVU32" i="3"/>
  <c r="FVV32" i="3"/>
  <c r="FVW32" i="3"/>
  <c r="FVX32" i="3"/>
  <c r="FVY32" i="3"/>
  <c r="FVZ32" i="3"/>
  <c r="FWA32" i="3"/>
  <c r="FWB32" i="3"/>
  <c r="FWC32" i="3"/>
  <c r="FWD32" i="3"/>
  <c r="FWE32" i="3"/>
  <c r="FWF32" i="3"/>
  <c r="FWG32" i="3"/>
  <c r="FWH32" i="3"/>
  <c r="FWI32" i="3"/>
  <c r="FWJ32" i="3"/>
  <c r="FWK32" i="3"/>
  <c r="FWL32" i="3"/>
  <c r="FWM32" i="3"/>
  <c r="FWN32" i="3"/>
  <c r="FWO32" i="3"/>
  <c r="FWP32" i="3"/>
  <c r="FWQ32" i="3"/>
  <c r="FWR32" i="3"/>
  <c r="FWS32" i="3"/>
  <c r="FWT32" i="3"/>
  <c r="FWU32" i="3"/>
  <c r="FWV32" i="3"/>
  <c r="FWW32" i="3"/>
  <c r="FWX32" i="3"/>
  <c r="FWY32" i="3"/>
  <c r="FWZ32" i="3"/>
  <c r="FXA32" i="3"/>
  <c r="FXB32" i="3"/>
  <c r="FXC32" i="3"/>
  <c r="FXD32" i="3"/>
  <c r="FXE32" i="3"/>
  <c r="FXF32" i="3"/>
  <c r="FXG32" i="3"/>
  <c r="FXH32" i="3"/>
  <c r="FXI32" i="3"/>
  <c r="FXJ32" i="3"/>
  <c r="FXK32" i="3"/>
  <c r="FXL32" i="3"/>
  <c r="FXM32" i="3"/>
  <c r="FXN32" i="3"/>
  <c r="FXO32" i="3"/>
  <c r="FXP32" i="3"/>
  <c r="FXQ32" i="3"/>
  <c r="FXR32" i="3"/>
  <c r="FXS32" i="3"/>
  <c r="FXT32" i="3"/>
  <c r="FXU32" i="3"/>
  <c r="FXV32" i="3"/>
  <c r="FXW32" i="3"/>
  <c r="FXX32" i="3"/>
  <c r="FXY32" i="3"/>
  <c r="FXZ32" i="3"/>
  <c r="FYA32" i="3"/>
  <c r="FYB32" i="3"/>
  <c r="FYC32" i="3"/>
  <c r="FYD32" i="3"/>
  <c r="FYE32" i="3"/>
  <c r="FYF32" i="3"/>
  <c r="FYG32" i="3"/>
  <c r="FYH32" i="3"/>
  <c r="FYI32" i="3"/>
  <c r="FYJ32" i="3"/>
  <c r="FYK32" i="3"/>
  <c r="FYL32" i="3"/>
  <c r="FYM32" i="3"/>
  <c r="FYN32" i="3"/>
  <c r="FYO32" i="3"/>
  <c r="FYP32" i="3"/>
  <c r="FYQ32" i="3"/>
  <c r="FYR32" i="3"/>
  <c r="FYS32" i="3"/>
  <c r="FYT32" i="3"/>
  <c r="FYU32" i="3"/>
  <c r="FYV32" i="3"/>
  <c r="FYW32" i="3"/>
  <c r="FYX32" i="3"/>
  <c r="FYY32" i="3"/>
  <c r="FYZ32" i="3"/>
  <c r="FZA32" i="3"/>
  <c r="FZB32" i="3"/>
  <c r="FZC32" i="3"/>
  <c r="FZD32" i="3"/>
  <c r="FZE32" i="3"/>
  <c r="FZF32" i="3"/>
  <c r="FZG32" i="3"/>
  <c r="FZH32" i="3"/>
  <c r="FZI32" i="3"/>
  <c r="FZJ32" i="3"/>
  <c r="FZK32" i="3"/>
  <c r="FZL32" i="3"/>
  <c r="FZM32" i="3"/>
  <c r="FZN32" i="3"/>
  <c r="FZO32" i="3"/>
  <c r="FZP32" i="3"/>
  <c r="FZQ32" i="3"/>
  <c r="FZR32" i="3"/>
  <c r="FZS32" i="3"/>
  <c r="FZT32" i="3"/>
  <c r="FZU32" i="3"/>
  <c r="FZV32" i="3"/>
  <c r="FZW32" i="3"/>
  <c r="FZX32" i="3"/>
  <c r="FZY32" i="3"/>
  <c r="FZZ32" i="3"/>
  <c r="GAA32" i="3"/>
  <c r="GAB32" i="3"/>
  <c r="GAC32" i="3"/>
  <c r="GAD32" i="3"/>
  <c r="GAE32" i="3"/>
  <c r="GAF32" i="3"/>
  <c r="GAG32" i="3"/>
  <c r="GAH32" i="3"/>
  <c r="GAI32" i="3"/>
  <c r="GAJ32" i="3"/>
  <c r="GAK32" i="3"/>
  <c r="GAL32" i="3"/>
  <c r="GAM32" i="3"/>
  <c r="GAN32" i="3"/>
  <c r="GAO32" i="3"/>
  <c r="GAP32" i="3"/>
  <c r="GAQ32" i="3"/>
  <c r="GAR32" i="3"/>
  <c r="GAS32" i="3"/>
  <c r="GAT32" i="3"/>
  <c r="GAU32" i="3"/>
  <c r="GAV32" i="3"/>
  <c r="GAW32" i="3"/>
  <c r="GAX32" i="3"/>
  <c r="GAY32" i="3"/>
  <c r="GAZ32" i="3"/>
  <c r="GBA32" i="3"/>
  <c r="GBB32" i="3"/>
  <c r="GBC32" i="3"/>
  <c r="GBD32" i="3"/>
  <c r="GBE32" i="3"/>
  <c r="GBF32" i="3"/>
  <c r="GBG32" i="3"/>
  <c r="GBH32" i="3"/>
  <c r="GBI32" i="3"/>
  <c r="GBJ32" i="3"/>
  <c r="GBK32" i="3"/>
  <c r="GBL32" i="3"/>
  <c r="GBM32" i="3"/>
  <c r="GBN32" i="3"/>
  <c r="GBO32" i="3"/>
  <c r="GBP32" i="3"/>
  <c r="GBQ32" i="3"/>
  <c r="GBR32" i="3"/>
  <c r="GBS32" i="3"/>
  <c r="GBT32" i="3"/>
  <c r="GBU32" i="3"/>
  <c r="GBV32" i="3"/>
  <c r="GBW32" i="3"/>
  <c r="GBX32" i="3"/>
  <c r="GBY32" i="3"/>
  <c r="GBZ32" i="3"/>
  <c r="GCA32" i="3"/>
  <c r="GCB32" i="3"/>
  <c r="GCC32" i="3"/>
  <c r="GCD32" i="3"/>
  <c r="GCE32" i="3"/>
  <c r="GCF32" i="3"/>
  <c r="GCG32" i="3"/>
  <c r="GCH32" i="3"/>
  <c r="GCI32" i="3"/>
  <c r="GCJ32" i="3"/>
  <c r="GCK32" i="3"/>
  <c r="GCL32" i="3"/>
  <c r="GCM32" i="3"/>
  <c r="GCN32" i="3"/>
  <c r="GCO32" i="3"/>
  <c r="GCP32" i="3"/>
  <c r="GCQ32" i="3"/>
  <c r="GCR32" i="3"/>
  <c r="GCS32" i="3"/>
  <c r="GCT32" i="3"/>
  <c r="GCU32" i="3"/>
  <c r="GCV32" i="3"/>
  <c r="GCW32" i="3"/>
  <c r="GCX32" i="3"/>
  <c r="GCY32" i="3"/>
  <c r="GCZ32" i="3"/>
  <c r="GDA32" i="3"/>
  <c r="GDB32" i="3"/>
  <c r="GDC32" i="3"/>
  <c r="GDD32" i="3"/>
  <c r="GDE32" i="3"/>
  <c r="GDF32" i="3"/>
  <c r="GDG32" i="3"/>
  <c r="GDH32" i="3"/>
  <c r="GDI32" i="3"/>
  <c r="GDJ32" i="3"/>
  <c r="GDK32" i="3"/>
  <c r="GDL32" i="3"/>
  <c r="GDM32" i="3"/>
  <c r="GDN32" i="3"/>
  <c r="GDO32" i="3"/>
  <c r="GDP32" i="3"/>
  <c r="GDQ32" i="3"/>
  <c r="GDR32" i="3"/>
  <c r="GDS32" i="3"/>
  <c r="GDT32" i="3"/>
  <c r="GDU32" i="3"/>
  <c r="GDV32" i="3"/>
  <c r="GDW32" i="3"/>
  <c r="GDX32" i="3"/>
  <c r="GDY32" i="3"/>
  <c r="GDZ32" i="3"/>
  <c r="GEA32" i="3"/>
  <c r="GEB32" i="3"/>
  <c r="GEC32" i="3"/>
  <c r="GED32" i="3"/>
  <c r="GEE32" i="3"/>
  <c r="GEF32" i="3"/>
  <c r="GEG32" i="3"/>
  <c r="GEH32" i="3"/>
  <c r="GEI32" i="3"/>
  <c r="GEJ32" i="3"/>
  <c r="GEK32" i="3"/>
  <c r="GEL32" i="3"/>
  <c r="GEM32" i="3"/>
  <c r="GEN32" i="3"/>
  <c r="GEO32" i="3"/>
  <c r="GEP32" i="3"/>
  <c r="GEQ32" i="3"/>
  <c r="GER32" i="3"/>
  <c r="GES32" i="3"/>
  <c r="GET32" i="3"/>
  <c r="GEU32" i="3"/>
  <c r="GEV32" i="3"/>
  <c r="GEW32" i="3"/>
  <c r="GEX32" i="3"/>
  <c r="GEY32" i="3"/>
  <c r="GEZ32" i="3"/>
  <c r="GFA32" i="3"/>
  <c r="GFB32" i="3"/>
  <c r="GFC32" i="3"/>
  <c r="GFD32" i="3"/>
  <c r="GFE32" i="3"/>
  <c r="GFF32" i="3"/>
  <c r="GFG32" i="3"/>
  <c r="GFH32" i="3"/>
  <c r="GFI32" i="3"/>
  <c r="GFJ32" i="3"/>
  <c r="GFK32" i="3"/>
  <c r="GFL32" i="3"/>
  <c r="GFM32" i="3"/>
  <c r="GFN32" i="3"/>
  <c r="GFO32" i="3"/>
  <c r="GFP32" i="3"/>
  <c r="GFQ32" i="3"/>
  <c r="GFR32" i="3"/>
  <c r="GFS32" i="3"/>
  <c r="GFT32" i="3"/>
  <c r="GFU32" i="3"/>
  <c r="GFV32" i="3"/>
  <c r="GFW32" i="3"/>
  <c r="GFX32" i="3"/>
  <c r="GFY32" i="3"/>
  <c r="GFZ32" i="3"/>
  <c r="GGA32" i="3"/>
  <c r="GGB32" i="3"/>
  <c r="GGC32" i="3"/>
  <c r="GGD32" i="3"/>
  <c r="GGE32" i="3"/>
  <c r="GGF32" i="3"/>
  <c r="GGG32" i="3"/>
  <c r="GGH32" i="3"/>
  <c r="GGI32" i="3"/>
  <c r="GGJ32" i="3"/>
  <c r="GGK32" i="3"/>
  <c r="GGL32" i="3"/>
  <c r="GGM32" i="3"/>
  <c r="GGN32" i="3"/>
  <c r="GGO32" i="3"/>
  <c r="GGP32" i="3"/>
  <c r="GGQ32" i="3"/>
  <c r="GGR32" i="3"/>
  <c r="GGS32" i="3"/>
  <c r="GGT32" i="3"/>
  <c r="GGU32" i="3"/>
  <c r="GGV32" i="3"/>
  <c r="GGW32" i="3"/>
  <c r="GGX32" i="3"/>
  <c r="GGY32" i="3"/>
  <c r="GGZ32" i="3"/>
  <c r="GHA32" i="3"/>
  <c r="GHB32" i="3"/>
  <c r="GHC32" i="3"/>
  <c r="GHD32" i="3"/>
  <c r="GHE32" i="3"/>
  <c r="GHF32" i="3"/>
  <c r="GHG32" i="3"/>
  <c r="GHH32" i="3"/>
  <c r="GHI32" i="3"/>
  <c r="GHJ32" i="3"/>
  <c r="GHK32" i="3"/>
  <c r="GHL32" i="3"/>
  <c r="GHM32" i="3"/>
  <c r="GHN32" i="3"/>
  <c r="GHO32" i="3"/>
  <c r="GHP32" i="3"/>
  <c r="GHQ32" i="3"/>
  <c r="GHR32" i="3"/>
  <c r="GHS32" i="3"/>
  <c r="GHT32" i="3"/>
  <c r="GHU32" i="3"/>
  <c r="GHV32" i="3"/>
  <c r="GHW32" i="3"/>
  <c r="GHX32" i="3"/>
  <c r="GHY32" i="3"/>
  <c r="GHZ32" i="3"/>
  <c r="GIA32" i="3"/>
  <c r="GIB32" i="3"/>
  <c r="GIC32" i="3"/>
  <c r="GID32" i="3"/>
  <c r="GIE32" i="3"/>
  <c r="GIF32" i="3"/>
  <c r="GIG32" i="3"/>
  <c r="GIH32" i="3"/>
  <c r="GII32" i="3"/>
  <c r="GIJ32" i="3"/>
  <c r="GIK32" i="3"/>
  <c r="GIL32" i="3"/>
  <c r="GIM32" i="3"/>
  <c r="GIN32" i="3"/>
  <c r="GIO32" i="3"/>
  <c r="GIP32" i="3"/>
  <c r="GIQ32" i="3"/>
  <c r="GIR32" i="3"/>
  <c r="GIS32" i="3"/>
  <c r="GIT32" i="3"/>
  <c r="GIU32" i="3"/>
  <c r="GIV32" i="3"/>
  <c r="GIW32" i="3"/>
  <c r="GIX32" i="3"/>
  <c r="GIY32" i="3"/>
  <c r="GIZ32" i="3"/>
  <c r="GJA32" i="3"/>
  <c r="GJB32" i="3"/>
  <c r="GJC32" i="3"/>
  <c r="GJD32" i="3"/>
  <c r="GJE32" i="3"/>
  <c r="GJF32" i="3"/>
  <c r="GJG32" i="3"/>
  <c r="GJH32" i="3"/>
  <c r="GJI32" i="3"/>
  <c r="GJJ32" i="3"/>
  <c r="GJK32" i="3"/>
  <c r="GJL32" i="3"/>
  <c r="GJM32" i="3"/>
  <c r="GJN32" i="3"/>
  <c r="GJO32" i="3"/>
  <c r="GJP32" i="3"/>
  <c r="GJQ32" i="3"/>
  <c r="GJR32" i="3"/>
  <c r="GJS32" i="3"/>
  <c r="GJT32" i="3"/>
  <c r="GJU32" i="3"/>
  <c r="GJV32" i="3"/>
  <c r="GJW32" i="3"/>
  <c r="GJX32" i="3"/>
  <c r="GJY32" i="3"/>
  <c r="GJZ32" i="3"/>
  <c r="GKA32" i="3"/>
  <c r="GKB32" i="3"/>
  <c r="GKC32" i="3"/>
  <c r="GKD32" i="3"/>
  <c r="GKE32" i="3"/>
  <c r="GKF32" i="3"/>
  <c r="GKG32" i="3"/>
  <c r="GKH32" i="3"/>
  <c r="GKI32" i="3"/>
  <c r="GKJ32" i="3"/>
  <c r="GKK32" i="3"/>
  <c r="GKL32" i="3"/>
  <c r="GKM32" i="3"/>
  <c r="GKN32" i="3"/>
  <c r="GKO32" i="3"/>
  <c r="GKP32" i="3"/>
  <c r="GKQ32" i="3"/>
  <c r="GKR32" i="3"/>
  <c r="GKS32" i="3"/>
  <c r="GKT32" i="3"/>
  <c r="GKU32" i="3"/>
  <c r="GKV32" i="3"/>
  <c r="GKW32" i="3"/>
  <c r="GKX32" i="3"/>
  <c r="GKY32" i="3"/>
  <c r="GKZ32" i="3"/>
  <c r="GLA32" i="3"/>
  <c r="GLB32" i="3"/>
  <c r="GLC32" i="3"/>
  <c r="GLD32" i="3"/>
  <c r="GLE32" i="3"/>
  <c r="GLF32" i="3"/>
  <c r="GLG32" i="3"/>
  <c r="GLH32" i="3"/>
  <c r="GLI32" i="3"/>
  <c r="GLJ32" i="3"/>
  <c r="GLK32" i="3"/>
  <c r="GLL32" i="3"/>
  <c r="GLM32" i="3"/>
  <c r="GLN32" i="3"/>
  <c r="GLO32" i="3"/>
  <c r="GLP32" i="3"/>
  <c r="GLQ32" i="3"/>
  <c r="GLR32" i="3"/>
  <c r="GLS32" i="3"/>
  <c r="GLT32" i="3"/>
  <c r="GLU32" i="3"/>
  <c r="GLV32" i="3"/>
  <c r="GLW32" i="3"/>
  <c r="GLX32" i="3"/>
  <c r="GLY32" i="3"/>
  <c r="GLZ32" i="3"/>
  <c r="GMA32" i="3"/>
  <c r="GMB32" i="3"/>
  <c r="GMC32" i="3"/>
  <c r="GMD32" i="3"/>
  <c r="GME32" i="3"/>
  <c r="GMF32" i="3"/>
  <c r="GMG32" i="3"/>
  <c r="GMH32" i="3"/>
  <c r="GMI32" i="3"/>
  <c r="GMJ32" i="3"/>
  <c r="GMK32" i="3"/>
  <c r="GML32" i="3"/>
  <c r="GMM32" i="3"/>
  <c r="GMN32" i="3"/>
  <c r="GMO32" i="3"/>
  <c r="GMP32" i="3"/>
  <c r="GMQ32" i="3"/>
  <c r="GMR32" i="3"/>
  <c r="GMS32" i="3"/>
  <c r="GMT32" i="3"/>
  <c r="GMU32" i="3"/>
  <c r="GMV32" i="3"/>
  <c r="GMW32" i="3"/>
  <c r="GMX32" i="3"/>
  <c r="GMY32" i="3"/>
  <c r="GMZ32" i="3"/>
  <c r="GNA32" i="3"/>
  <c r="GNB32" i="3"/>
  <c r="GNC32" i="3"/>
  <c r="GND32" i="3"/>
  <c r="GNE32" i="3"/>
  <c r="GNF32" i="3"/>
  <c r="GNG32" i="3"/>
  <c r="GNH32" i="3"/>
  <c r="GNI32" i="3"/>
  <c r="GNJ32" i="3"/>
  <c r="GNK32" i="3"/>
  <c r="GNL32" i="3"/>
  <c r="GNM32" i="3"/>
  <c r="GNN32" i="3"/>
  <c r="GNO32" i="3"/>
  <c r="GNP32" i="3"/>
  <c r="GNQ32" i="3"/>
  <c r="GNR32" i="3"/>
  <c r="GNS32" i="3"/>
  <c r="GNT32" i="3"/>
  <c r="GNU32" i="3"/>
  <c r="GNV32" i="3"/>
  <c r="GNW32" i="3"/>
  <c r="GNX32" i="3"/>
  <c r="GNY32" i="3"/>
  <c r="GNZ32" i="3"/>
  <c r="GOA32" i="3"/>
  <c r="GOB32" i="3"/>
  <c r="GOC32" i="3"/>
  <c r="GOD32" i="3"/>
  <c r="GOE32" i="3"/>
  <c r="GOF32" i="3"/>
  <c r="GOG32" i="3"/>
  <c r="GOH32" i="3"/>
  <c r="GOI32" i="3"/>
  <c r="GOJ32" i="3"/>
  <c r="GOK32" i="3"/>
  <c r="GOL32" i="3"/>
  <c r="GOM32" i="3"/>
  <c r="GON32" i="3"/>
  <c r="GOO32" i="3"/>
  <c r="GOP32" i="3"/>
  <c r="GOQ32" i="3"/>
  <c r="GOR32" i="3"/>
  <c r="GOS32" i="3"/>
  <c r="GOT32" i="3"/>
  <c r="GOU32" i="3"/>
  <c r="GOV32" i="3"/>
  <c r="GOW32" i="3"/>
  <c r="GOX32" i="3"/>
  <c r="GOY32" i="3"/>
  <c r="GOZ32" i="3"/>
  <c r="GPA32" i="3"/>
  <c r="GPB32" i="3"/>
  <c r="GPC32" i="3"/>
  <c r="GPD32" i="3"/>
  <c r="GPE32" i="3"/>
  <c r="GPF32" i="3"/>
  <c r="GPG32" i="3"/>
  <c r="GPH32" i="3"/>
  <c r="GPI32" i="3"/>
  <c r="GPJ32" i="3"/>
  <c r="GPK32" i="3"/>
  <c r="GPL32" i="3"/>
  <c r="GPM32" i="3"/>
  <c r="GPN32" i="3"/>
  <c r="GPO32" i="3"/>
  <c r="GPP32" i="3"/>
  <c r="GPQ32" i="3"/>
  <c r="GPR32" i="3"/>
  <c r="GPS32" i="3"/>
  <c r="GPT32" i="3"/>
  <c r="GPU32" i="3"/>
  <c r="GPV32" i="3"/>
  <c r="GPW32" i="3"/>
  <c r="GPX32" i="3"/>
  <c r="GPY32" i="3"/>
  <c r="GPZ32" i="3"/>
  <c r="GQA32" i="3"/>
  <c r="GQB32" i="3"/>
  <c r="GQC32" i="3"/>
  <c r="GQD32" i="3"/>
  <c r="GQE32" i="3"/>
  <c r="GQF32" i="3"/>
  <c r="GQG32" i="3"/>
  <c r="GQH32" i="3"/>
  <c r="GQI32" i="3"/>
  <c r="GQJ32" i="3"/>
  <c r="GQK32" i="3"/>
  <c r="GQL32" i="3"/>
  <c r="GQM32" i="3"/>
  <c r="GQN32" i="3"/>
  <c r="GQO32" i="3"/>
  <c r="GQP32" i="3"/>
  <c r="GQQ32" i="3"/>
  <c r="GQR32" i="3"/>
  <c r="GQS32" i="3"/>
  <c r="GQT32" i="3"/>
  <c r="GQU32" i="3"/>
  <c r="GQV32" i="3"/>
  <c r="GQW32" i="3"/>
  <c r="GQX32" i="3"/>
  <c r="GQY32" i="3"/>
  <c r="GQZ32" i="3"/>
  <c r="GRA32" i="3"/>
  <c r="GRB32" i="3"/>
  <c r="GRC32" i="3"/>
  <c r="GRD32" i="3"/>
  <c r="GRE32" i="3"/>
  <c r="GRF32" i="3"/>
  <c r="GRG32" i="3"/>
  <c r="GRH32" i="3"/>
  <c r="GRI32" i="3"/>
  <c r="GRJ32" i="3"/>
  <c r="GRK32" i="3"/>
  <c r="GRL32" i="3"/>
  <c r="GRM32" i="3"/>
  <c r="GRN32" i="3"/>
  <c r="GRO32" i="3"/>
  <c r="GRP32" i="3"/>
  <c r="GRQ32" i="3"/>
  <c r="GRR32" i="3"/>
  <c r="GRS32" i="3"/>
  <c r="GRT32" i="3"/>
  <c r="GRU32" i="3"/>
  <c r="GRV32" i="3"/>
  <c r="GRW32" i="3"/>
  <c r="GRX32" i="3"/>
  <c r="GRY32" i="3"/>
  <c r="GRZ32" i="3"/>
  <c r="GSA32" i="3"/>
  <c r="GSB32" i="3"/>
  <c r="GSC32" i="3"/>
  <c r="GSD32" i="3"/>
  <c r="GSE32" i="3"/>
  <c r="GSF32" i="3"/>
  <c r="GSG32" i="3"/>
  <c r="GSH32" i="3"/>
  <c r="GSI32" i="3"/>
  <c r="GSJ32" i="3"/>
  <c r="GSK32" i="3"/>
  <c r="GSL32" i="3"/>
  <c r="GSM32" i="3"/>
  <c r="GSN32" i="3"/>
  <c r="GSO32" i="3"/>
  <c r="GSP32" i="3"/>
  <c r="GSQ32" i="3"/>
  <c r="GSR32" i="3"/>
  <c r="GSS32" i="3"/>
  <c r="GST32" i="3"/>
  <c r="GSU32" i="3"/>
  <c r="GSV32" i="3"/>
  <c r="GSW32" i="3"/>
  <c r="GSX32" i="3"/>
  <c r="GSY32" i="3"/>
  <c r="GSZ32" i="3"/>
  <c r="GTA32" i="3"/>
  <c r="GTB32" i="3"/>
  <c r="GTC32" i="3"/>
  <c r="GTD32" i="3"/>
  <c r="GTE32" i="3"/>
  <c r="GTF32" i="3"/>
  <c r="GTG32" i="3"/>
  <c r="GTH32" i="3"/>
  <c r="GTI32" i="3"/>
  <c r="GTJ32" i="3"/>
  <c r="GTK32" i="3"/>
  <c r="GTL32" i="3"/>
  <c r="GTM32" i="3"/>
  <c r="GTN32" i="3"/>
  <c r="GTO32" i="3"/>
  <c r="GTP32" i="3"/>
  <c r="GTQ32" i="3"/>
  <c r="GTR32" i="3"/>
  <c r="GTS32" i="3"/>
  <c r="GTT32" i="3"/>
  <c r="GTU32" i="3"/>
  <c r="GTV32" i="3"/>
  <c r="GTW32" i="3"/>
  <c r="GTX32" i="3"/>
  <c r="GTY32" i="3"/>
  <c r="GTZ32" i="3"/>
  <c r="GUA32" i="3"/>
  <c r="GUB32" i="3"/>
  <c r="GUC32" i="3"/>
  <c r="GUD32" i="3"/>
  <c r="GUE32" i="3"/>
  <c r="GUF32" i="3"/>
  <c r="GUG32" i="3"/>
  <c r="GUH32" i="3"/>
  <c r="GUI32" i="3"/>
  <c r="GUJ32" i="3"/>
  <c r="GUK32" i="3"/>
  <c r="GUL32" i="3"/>
  <c r="GUM32" i="3"/>
  <c r="GUN32" i="3"/>
  <c r="GUO32" i="3"/>
  <c r="GUP32" i="3"/>
  <c r="GUQ32" i="3"/>
  <c r="GUR32" i="3"/>
  <c r="GUS32" i="3"/>
  <c r="GUT32" i="3"/>
  <c r="GUU32" i="3"/>
  <c r="GUV32" i="3"/>
  <c r="GUW32" i="3"/>
  <c r="GUX32" i="3"/>
  <c r="GUY32" i="3"/>
  <c r="GUZ32" i="3"/>
  <c r="GVA32" i="3"/>
  <c r="GVB32" i="3"/>
  <c r="GVC32" i="3"/>
  <c r="GVD32" i="3"/>
  <c r="GVE32" i="3"/>
  <c r="GVF32" i="3"/>
  <c r="GVG32" i="3"/>
  <c r="GVH32" i="3"/>
  <c r="GVI32" i="3"/>
  <c r="GVJ32" i="3"/>
  <c r="GVK32" i="3"/>
  <c r="GVL32" i="3"/>
  <c r="GVM32" i="3"/>
  <c r="GVN32" i="3"/>
  <c r="GVO32" i="3"/>
  <c r="GVP32" i="3"/>
  <c r="GVQ32" i="3"/>
  <c r="GVR32" i="3"/>
  <c r="GVS32" i="3"/>
  <c r="GVT32" i="3"/>
  <c r="GVU32" i="3"/>
  <c r="GVV32" i="3"/>
  <c r="GVW32" i="3"/>
  <c r="GVX32" i="3"/>
  <c r="GVY32" i="3"/>
  <c r="GVZ32" i="3"/>
  <c r="GWA32" i="3"/>
  <c r="GWB32" i="3"/>
  <c r="GWC32" i="3"/>
  <c r="GWD32" i="3"/>
  <c r="GWE32" i="3"/>
  <c r="GWF32" i="3"/>
  <c r="GWG32" i="3"/>
  <c r="GWH32" i="3"/>
  <c r="GWI32" i="3"/>
  <c r="GWJ32" i="3"/>
  <c r="GWK32" i="3"/>
  <c r="GWL32" i="3"/>
  <c r="GWM32" i="3"/>
  <c r="GWN32" i="3"/>
  <c r="GWO32" i="3"/>
  <c r="GWP32" i="3"/>
  <c r="GWQ32" i="3"/>
  <c r="GWR32" i="3"/>
  <c r="GWS32" i="3"/>
  <c r="GWT32" i="3"/>
  <c r="GWU32" i="3"/>
  <c r="GWV32" i="3"/>
  <c r="GWW32" i="3"/>
  <c r="GWX32" i="3"/>
  <c r="GWY32" i="3"/>
  <c r="GWZ32" i="3"/>
  <c r="GXA32" i="3"/>
  <c r="GXB32" i="3"/>
  <c r="GXC32" i="3"/>
  <c r="GXD32" i="3"/>
  <c r="GXE32" i="3"/>
  <c r="GXF32" i="3"/>
  <c r="GXG32" i="3"/>
  <c r="GXH32" i="3"/>
  <c r="GXI32" i="3"/>
  <c r="GXJ32" i="3"/>
  <c r="GXK32" i="3"/>
  <c r="GXL32" i="3"/>
  <c r="GXM32" i="3"/>
  <c r="GXN32" i="3"/>
  <c r="GXO32" i="3"/>
  <c r="GXP32" i="3"/>
  <c r="GXQ32" i="3"/>
  <c r="GXR32" i="3"/>
  <c r="GXS32" i="3"/>
  <c r="GXT32" i="3"/>
  <c r="GXU32" i="3"/>
  <c r="GXV32" i="3"/>
  <c r="GXW32" i="3"/>
  <c r="GXX32" i="3"/>
  <c r="GXY32" i="3"/>
  <c r="GXZ32" i="3"/>
  <c r="GYA32" i="3"/>
  <c r="GYB32" i="3"/>
  <c r="GYC32" i="3"/>
  <c r="GYD32" i="3"/>
  <c r="GYE32" i="3"/>
  <c r="GYF32" i="3"/>
  <c r="GYG32" i="3"/>
  <c r="GYH32" i="3"/>
  <c r="GYI32" i="3"/>
  <c r="GYJ32" i="3"/>
  <c r="GYK32" i="3"/>
  <c r="GYL32" i="3"/>
  <c r="GYM32" i="3"/>
  <c r="GYN32" i="3"/>
  <c r="GYO32" i="3"/>
  <c r="GYP32" i="3"/>
  <c r="GYQ32" i="3"/>
  <c r="GYR32" i="3"/>
  <c r="GYS32" i="3"/>
  <c r="GYT32" i="3"/>
  <c r="GYU32" i="3"/>
  <c r="GYV32" i="3"/>
  <c r="GYW32" i="3"/>
  <c r="GYX32" i="3"/>
  <c r="GYY32" i="3"/>
  <c r="GYZ32" i="3"/>
  <c r="GZA32" i="3"/>
  <c r="GZB32" i="3"/>
  <c r="GZC32" i="3"/>
  <c r="GZD32" i="3"/>
  <c r="GZE32" i="3"/>
  <c r="GZF32" i="3"/>
  <c r="GZG32" i="3"/>
  <c r="GZH32" i="3"/>
  <c r="GZI32" i="3"/>
  <c r="GZJ32" i="3"/>
  <c r="GZK32" i="3"/>
  <c r="GZL32" i="3"/>
  <c r="GZM32" i="3"/>
  <c r="GZN32" i="3"/>
  <c r="GZO32" i="3"/>
  <c r="GZP32" i="3"/>
  <c r="GZQ32" i="3"/>
  <c r="GZR32" i="3"/>
  <c r="GZS32" i="3"/>
  <c r="GZT32" i="3"/>
  <c r="GZU32" i="3"/>
  <c r="GZV32" i="3"/>
  <c r="GZW32" i="3"/>
  <c r="GZX32" i="3"/>
  <c r="GZY32" i="3"/>
  <c r="GZZ32" i="3"/>
  <c r="HAA32" i="3"/>
  <c r="HAB32" i="3"/>
  <c r="HAC32" i="3"/>
  <c r="HAD32" i="3"/>
  <c r="HAE32" i="3"/>
  <c r="HAF32" i="3"/>
  <c r="HAG32" i="3"/>
  <c r="HAH32" i="3"/>
  <c r="HAI32" i="3"/>
  <c r="HAJ32" i="3"/>
  <c r="HAK32" i="3"/>
  <c r="HAL32" i="3"/>
  <c r="HAM32" i="3"/>
  <c r="HAN32" i="3"/>
  <c r="HAO32" i="3"/>
  <c r="HAP32" i="3"/>
  <c r="HAQ32" i="3"/>
  <c r="HAR32" i="3"/>
  <c r="HAS32" i="3"/>
  <c r="HAT32" i="3"/>
  <c r="HAU32" i="3"/>
  <c r="HAV32" i="3"/>
  <c r="HAW32" i="3"/>
  <c r="HAX32" i="3"/>
  <c r="HAY32" i="3"/>
  <c r="HAZ32" i="3"/>
  <c r="HBA32" i="3"/>
  <c r="HBB32" i="3"/>
  <c r="HBC32" i="3"/>
  <c r="HBD32" i="3"/>
  <c r="HBE32" i="3"/>
  <c r="HBF32" i="3"/>
  <c r="HBG32" i="3"/>
  <c r="HBH32" i="3"/>
  <c r="HBI32" i="3"/>
  <c r="HBJ32" i="3"/>
  <c r="HBK32" i="3"/>
  <c r="HBL32" i="3"/>
  <c r="HBM32" i="3"/>
  <c r="HBN32" i="3"/>
  <c r="HBO32" i="3"/>
  <c r="HBP32" i="3"/>
  <c r="HBQ32" i="3"/>
  <c r="HBR32" i="3"/>
  <c r="HBS32" i="3"/>
  <c r="HBT32" i="3"/>
  <c r="HBU32" i="3"/>
  <c r="HBV32" i="3"/>
  <c r="HBW32" i="3"/>
  <c r="HBX32" i="3"/>
  <c r="HBY32" i="3"/>
  <c r="HBZ32" i="3"/>
  <c r="HCA32" i="3"/>
  <c r="HCB32" i="3"/>
  <c r="HCC32" i="3"/>
  <c r="HCD32" i="3"/>
  <c r="HCE32" i="3"/>
  <c r="HCF32" i="3"/>
  <c r="HCG32" i="3"/>
  <c r="HCH32" i="3"/>
  <c r="HCI32" i="3"/>
  <c r="HCJ32" i="3"/>
  <c r="HCK32" i="3"/>
  <c r="HCL32" i="3"/>
  <c r="HCM32" i="3"/>
  <c r="HCN32" i="3"/>
  <c r="HCO32" i="3"/>
  <c r="HCP32" i="3"/>
  <c r="HCQ32" i="3"/>
  <c r="HCR32" i="3"/>
  <c r="HCS32" i="3"/>
  <c r="HCT32" i="3"/>
  <c r="HCU32" i="3"/>
  <c r="HCV32" i="3"/>
  <c r="HCW32" i="3"/>
  <c r="HCX32" i="3"/>
  <c r="HCY32" i="3"/>
  <c r="HCZ32" i="3"/>
  <c r="HDA32" i="3"/>
  <c r="HDB32" i="3"/>
  <c r="HDC32" i="3"/>
  <c r="HDD32" i="3"/>
  <c r="HDE32" i="3"/>
  <c r="HDF32" i="3"/>
  <c r="HDG32" i="3"/>
  <c r="HDH32" i="3"/>
  <c r="HDI32" i="3"/>
  <c r="HDJ32" i="3"/>
  <c r="HDK32" i="3"/>
  <c r="HDL32" i="3"/>
  <c r="HDM32" i="3"/>
  <c r="HDN32" i="3"/>
  <c r="HDO32" i="3"/>
  <c r="HDP32" i="3"/>
  <c r="HDQ32" i="3"/>
  <c r="HDR32" i="3"/>
  <c r="HDS32" i="3"/>
  <c r="HDT32" i="3"/>
  <c r="HDU32" i="3"/>
  <c r="HDV32" i="3"/>
  <c r="HDW32" i="3"/>
  <c r="HDX32" i="3"/>
  <c r="HDY32" i="3"/>
  <c r="HDZ32" i="3"/>
  <c r="HEA32" i="3"/>
  <c r="HEB32" i="3"/>
  <c r="HEC32" i="3"/>
  <c r="HED32" i="3"/>
  <c r="HEE32" i="3"/>
  <c r="HEF32" i="3"/>
  <c r="HEG32" i="3"/>
  <c r="HEH32" i="3"/>
  <c r="HEI32" i="3"/>
  <c r="HEJ32" i="3"/>
  <c r="HEK32" i="3"/>
  <c r="HEL32" i="3"/>
  <c r="HEM32" i="3"/>
  <c r="HEN32" i="3"/>
  <c r="HEO32" i="3"/>
  <c r="HEP32" i="3"/>
  <c r="HEQ32" i="3"/>
  <c r="HER32" i="3"/>
  <c r="HES32" i="3"/>
  <c r="HET32" i="3"/>
  <c r="HEU32" i="3"/>
  <c r="HEV32" i="3"/>
  <c r="HEW32" i="3"/>
  <c r="HEX32" i="3"/>
  <c r="HEY32" i="3"/>
  <c r="HEZ32" i="3"/>
  <c r="HFA32" i="3"/>
  <c r="HFB32" i="3"/>
  <c r="HFC32" i="3"/>
  <c r="HFD32" i="3"/>
  <c r="HFE32" i="3"/>
  <c r="HFF32" i="3"/>
  <c r="HFG32" i="3"/>
  <c r="HFH32" i="3"/>
  <c r="HFI32" i="3"/>
  <c r="HFJ32" i="3"/>
  <c r="HFK32" i="3"/>
  <c r="HFL32" i="3"/>
  <c r="HFM32" i="3"/>
  <c r="HFN32" i="3"/>
  <c r="HFO32" i="3"/>
  <c r="HFP32" i="3"/>
  <c r="HFQ32" i="3"/>
  <c r="HFR32" i="3"/>
  <c r="HFS32" i="3"/>
  <c r="HFT32" i="3"/>
  <c r="HFU32" i="3"/>
  <c r="HFV32" i="3"/>
  <c r="HFW32" i="3"/>
  <c r="HFX32" i="3"/>
  <c r="HFY32" i="3"/>
  <c r="HFZ32" i="3"/>
  <c r="HGA32" i="3"/>
  <c r="HGB32" i="3"/>
  <c r="HGC32" i="3"/>
  <c r="HGD32" i="3"/>
  <c r="HGE32" i="3"/>
  <c r="HGF32" i="3"/>
  <c r="HGG32" i="3"/>
  <c r="HGH32" i="3"/>
  <c r="HGI32" i="3"/>
  <c r="HGJ32" i="3"/>
  <c r="HGK32" i="3"/>
  <c r="HGL32" i="3"/>
  <c r="HGM32" i="3"/>
  <c r="HGN32" i="3"/>
  <c r="HGO32" i="3"/>
  <c r="HGP32" i="3"/>
  <c r="HGQ32" i="3"/>
  <c r="HGR32" i="3"/>
  <c r="HGS32" i="3"/>
  <c r="HGT32" i="3"/>
  <c r="HGU32" i="3"/>
  <c r="HGV32" i="3"/>
  <c r="HGW32" i="3"/>
  <c r="HGX32" i="3"/>
  <c r="HGY32" i="3"/>
  <c r="HGZ32" i="3"/>
  <c r="HHA32" i="3"/>
  <c r="HHB32" i="3"/>
  <c r="HHC32" i="3"/>
  <c r="HHD32" i="3"/>
  <c r="HHE32" i="3"/>
  <c r="HHF32" i="3"/>
  <c r="HHG32" i="3"/>
  <c r="HHH32" i="3"/>
  <c r="HHI32" i="3"/>
  <c r="HHJ32" i="3"/>
  <c r="HHK32" i="3"/>
  <c r="HHL32" i="3"/>
  <c r="HHM32" i="3"/>
  <c r="HHN32" i="3"/>
  <c r="HHO32" i="3"/>
  <c r="HHP32" i="3"/>
  <c r="HHQ32" i="3"/>
  <c r="HHR32" i="3"/>
  <c r="HHS32" i="3"/>
  <c r="HHT32" i="3"/>
  <c r="HHU32" i="3"/>
  <c r="HHV32" i="3"/>
  <c r="HHW32" i="3"/>
  <c r="HHX32" i="3"/>
  <c r="HHY32" i="3"/>
  <c r="HHZ32" i="3"/>
  <c r="HIA32" i="3"/>
  <c r="HIB32" i="3"/>
  <c r="HIC32" i="3"/>
  <c r="HID32" i="3"/>
  <c r="HIE32" i="3"/>
  <c r="HIF32" i="3"/>
  <c r="HIG32" i="3"/>
  <c r="HIH32" i="3"/>
  <c r="HII32" i="3"/>
  <c r="HIJ32" i="3"/>
  <c r="HIK32" i="3"/>
  <c r="HIL32" i="3"/>
  <c r="HIM32" i="3"/>
  <c r="HIN32" i="3"/>
  <c r="HIO32" i="3"/>
  <c r="HIP32" i="3"/>
  <c r="HIQ32" i="3"/>
  <c r="HIR32" i="3"/>
  <c r="HIS32" i="3"/>
  <c r="HIT32" i="3"/>
  <c r="HIU32" i="3"/>
  <c r="HIV32" i="3"/>
  <c r="HIW32" i="3"/>
  <c r="HIX32" i="3"/>
  <c r="HIY32" i="3"/>
  <c r="HIZ32" i="3"/>
  <c r="HJA32" i="3"/>
  <c r="HJB32" i="3"/>
  <c r="HJC32" i="3"/>
  <c r="HJD32" i="3"/>
  <c r="HJE32" i="3"/>
  <c r="HJF32" i="3"/>
  <c r="HJG32" i="3"/>
  <c r="HJH32" i="3"/>
  <c r="HJI32" i="3"/>
  <c r="HJJ32" i="3"/>
  <c r="HJK32" i="3"/>
  <c r="HJL32" i="3"/>
  <c r="HJM32" i="3"/>
  <c r="HJN32" i="3"/>
  <c r="HJO32" i="3"/>
  <c r="HJP32" i="3"/>
  <c r="HJQ32" i="3"/>
  <c r="HJR32" i="3"/>
  <c r="HJS32" i="3"/>
  <c r="HJT32" i="3"/>
  <c r="HJU32" i="3"/>
  <c r="HJV32" i="3"/>
  <c r="HJW32" i="3"/>
  <c r="HJX32" i="3"/>
  <c r="HJY32" i="3"/>
  <c r="HJZ32" i="3"/>
  <c r="HKA32" i="3"/>
  <c r="HKB32" i="3"/>
  <c r="HKC32" i="3"/>
  <c r="HKD32" i="3"/>
  <c r="HKE32" i="3"/>
  <c r="HKF32" i="3"/>
  <c r="HKG32" i="3"/>
  <c r="HKH32" i="3"/>
  <c r="HKI32" i="3"/>
  <c r="HKJ32" i="3"/>
  <c r="HKK32" i="3"/>
  <c r="HKL32" i="3"/>
  <c r="HKM32" i="3"/>
  <c r="HKN32" i="3"/>
  <c r="HKO32" i="3"/>
  <c r="HKP32" i="3"/>
  <c r="HKQ32" i="3"/>
  <c r="HKR32" i="3"/>
  <c r="HKS32" i="3"/>
  <c r="HKT32" i="3"/>
  <c r="HKU32" i="3"/>
  <c r="HKV32" i="3"/>
  <c r="HKW32" i="3"/>
  <c r="HKX32" i="3"/>
  <c r="HKY32" i="3"/>
  <c r="HKZ32" i="3"/>
  <c r="HLA32" i="3"/>
  <c r="HLB32" i="3"/>
  <c r="HLC32" i="3"/>
  <c r="HLD32" i="3"/>
  <c r="HLE32" i="3"/>
  <c r="HLF32" i="3"/>
  <c r="HLG32" i="3"/>
  <c r="HLH32" i="3"/>
  <c r="HLI32" i="3"/>
  <c r="HLJ32" i="3"/>
  <c r="HLK32" i="3"/>
  <c r="HLL32" i="3"/>
  <c r="HLM32" i="3"/>
  <c r="HLN32" i="3"/>
  <c r="HLO32" i="3"/>
  <c r="HLP32" i="3"/>
  <c r="HLQ32" i="3"/>
  <c r="HLR32" i="3"/>
  <c r="HLS32" i="3"/>
  <c r="HLT32" i="3"/>
  <c r="HLU32" i="3"/>
  <c r="HLV32" i="3"/>
  <c r="HLW32" i="3"/>
  <c r="HLX32" i="3"/>
  <c r="HLY32" i="3"/>
  <c r="HLZ32" i="3"/>
  <c r="HMA32" i="3"/>
  <c r="HMB32" i="3"/>
  <c r="HMC32" i="3"/>
  <c r="HMD32" i="3"/>
  <c r="HME32" i="3"/>
  <c r="HMF32" i="3"/>
  <c r="HMG32" i="3"/>
  <c r="HMH32" i="3"/>
  <c r="HMI32" i="3"/>
  <c r="HMJ32" i="3"/>
  <c r="HMK32" i="3"/>
  <c r="HML32" i="3"/>
  <c r="HMM32" i="3"/>
  <c r="HMN32" i="3"/>
  <c r="HMO32" i="3"/>
  <c r="HMP32" i="3"/>
  <c r="HMQ32" i="3"/>
  <c r="HMR32" i="3"/>
  <c r="HMS32" i="3"/>
  <c r="HMT32" i="3"/>
  <c r="HMU32" i="3"/>
  <c r="HMV32" i="3"/>
  <c r="HMW32" i="3"/>
  <c r="HMX32" i="3"/>
  <c r="HMY32" i="3"/>
  <c r="HMZ32" i="3"/>
  <c r="HNA32" i="3"/>
  <c r="HNB32" i="3"/>
  <c r="HNC32" i="3"/>
  <c r="HND32" i="3"/>
  <c r="HNE32" i="3"/>
  <c r="HNF32" i="3"/>
  <c r="HNG32" i="3"/>
  <c r="HNH32" i="3"/>
  <c r="HNI32" i="3"/>
  <c r="HNJ32" i="3"/>
  <c r="HNK32" i="3"/>
  <c r="HNL32" i="3"/>
  <c r="HNM32" i="3"/>
  <c r="HNN32" i="3"/>
  <c r="HNO32" i="3"/>
  <c r="HNP32" i="3"/>
  <c r="HNQ32" i="3"/>
  <c r="HNR32" i="3"/>
  <c r="HNS32" i="3"/>
  <c r="HNT32" i="3"/>
  <c r="HNU32" i="3"/>
  <c r="HNV32" i="3"/>
  <c r="HNW32" i="3"/>
  <c r="HNX32" i="3"/>
  <c r="HNY32" i="3"/>
  <c r="HNZ32" i="3"/>
  <c r="HOA32" i="3"/>
  <c r="HOB32" i="3"/>
  <c r="HOC32" i="3"/>
  <c r="HOD32" i="3"/>
  <c r="HOE32" i="3"/>
  <c r="HOF32" i="3"/>
  <c r="HOG32" i="3"/>
  <c r="HOH32" i="3"/>
  <c r="HOI32" i="3"/>
  <c r="HOJ32" i="3"/>
  <c r="HOK32" i="3"/>
  <c r="HOL32" i="3"/>
  <c r="HOM32" i="3"/>
  <c r="HON32" i="3"/>
  <c r="HOO32" i="3"/>
  <c r="HOP32" i="3"/>
  <c r="HOQ32" i="3"/>
  <c r="HOR32" i="3"/>
  <c r="HOS32" i="3"/>
  <c r="HOT32" i="3"/>
  <c r="HOU32" i="3"/>
  <c r="HOV32" i="3"/>
  <c r="HOW32" i="3"/>
  <c r="HOX32" i="3"/>
  <c r="HOY32" i="3"/>
  <c r="HOZ32" i="3"/>
  <c r="HPA32" i="3"/>
  <c r="HPB32" i="3"/>
  <c r="HPC32" i="3"/>
  <c r="HPD32" i="3"/>
  <c r="HPE32" i="3"/>
  <c r="HPF32" i="3"/>
  <c r="HPG32" i="3"/>
  <c r="HPH32" i="3"/>
  <c r="HPI32" i="3"/>
  <c r="HPJ32" i="3"/>
  <c r="HPK32" i="3"/>
  <c r="HPL32" i="3"/>
  <c r="HPM32" i="3"/>
  <c r="HPN32" i="3"/>
  <c r="HPO32" i="3"/>
  <c r="HPP32" i="3"/>
  <c r="HPQ32" i="3"/>
  <c r="HPR32" i="3"/>
  <c r="HPS32" i="3"/>
  <c r="HPT32" i="3"/>
  <c r="HPU32" i="3"/>
  <c r="HPV32" i="3"/>
  <c r="HPW32" i="3"/>
  <c r="HPX32" i="3"/>
  <c r="HPY32" i="3"/>
  <c r="HPZ32" i="3"/>
  <c r="HQA32" i="3"/>
  <c r="HQB32" i="3"/>
  <c r="HQC32" i="3"/>
  <c r="HQD32" i="3"/>
  <c r="HQE32" i="3"/>
  <c r="HQF32" i="3"/>
  <c r="HQG32" i="3"/>
  <c r="HQH32" i="3"/>
  <c r="HQI32" i="3"/>
  <c r="HQJ32" i="3"/>
  <c r="HQK32" i="3"/>
  <c r="HQL32" i="3"/>
  <c r="HQM32" i="3"/>
  <c r="HQN32" i="3"/>
  <c r="HQO32" i="3"/>
  <c r="HQP32" i="3"/>
  <c r="HQQ32" i="3"/>
  <c r="HQR32" i="3"/>
  <c r="HQS32" i="3"/>
  <c r="HQT32" i="3"/>
  <c r="HQU32" i="3"/>
  <c r="HQV32" i="3"/>
  <c r="HQW32" i="3"/>
  <c r="HQX32" i="3"/>
  <c r="HQY32" i="3"/>
  <c r="HQZ32" i="3"/>
  <c r="HRA32" i="3"/>
  <c r="HRB32" i="3"/>
  <c r="HRC32" i="3"/>
  <c r="HRD32" i="3"/>
  <c r="HRE32" i="3"/>
  <c r="HRF32" i="3"/>
  <c r="HRG32" i="3"/>
  <c r="HRH32" i="3"/>
  <c r="HRI32" i="3"/>
  <c r="HRJ32" i="3"/>
  <c r="HRK32" i="3"/>
  <c r="HRL32" i="3"/>
  <c r="HRM32" i="3"/>
  <c r="HRN32" i="3"/>
  <c r="HRO32" i="3"/>
  <c r="HRP32" i="3"/>
  <c r="HRQ32" i="3"/>
  <c r="HRR32" i="3"/>
  <c r="HRS32" i="3"/>
  <c r="HRT32" i="3"/>
  <c r="HRU32" i="3"/>
  <c r="HRV32" i="3"/>
  <c r="HRW32" i="3"/>
  <c r="HRX32" i="3"/>
  <c r="HRY32" i="3"/>
  <c r="HRZ32" i="3"/>
  <c r="HSA32" i="3"/>
  <c r="HSB32" i="3"/>
  <c r="HSC32" i="3"/>
  <c r="HSD32" i="3"/>
  <c r="HSE32" i="3"/>
  <c r="HSF32" i="3"/>
  <c r="HSG32" i="3"/>
  <c r="HSH32" i="3"/>
  <c r="HSI32" i="3"/>
  <c r="HSJ32" i="3"/>
  <c r="HSK32" i="3"/>
  <c r="HSL32" i="3"/>
  <c r="HSM32" i="3"/>
  <c r="HSN32" i="3"/>
  <c r="HSO32" i="3"/>
  <c r="HSP32" i="3"/>
  <c r="HSQ32" i="3"/>
  <c r="HSR32" i="3"/>
  <c r="HSS32" i="3"/>
  <c r="HST32" i="3"/>
  <c r="HSU32" i="3"/>
  <c r="HSV32" i="3"/>
  <c r="HSW32" i="3"/>
  <c r="HSX32" i="3"/>
  <c r="HSY32" i="3"/>
  <c r="HSZ32" i="3"/>
  <c r="HTA32" i="3"/>
  <c r="HTB32" i="3"/>
  <c r="HTC32" i="3"/>
  <c r="HTD32" i="3"/>
  <c r="HTE32" i="3"/>
  <c r="HTF32" i="3"/>
  <c r="HTG32" i="3"/>
  <c r="HTH32" i="3"/>
  <c r="HTI32" i="3"/>
  <c r="HTJ32" i="3"/>
  <c r="HTK32" i="3"/>
  <c r="HTL32" i="3"/>
  <c r="HTM32" i="3"/>
  <c r="HTN32" i="3"/>
  <c r="HTO32" i="3"/>
  <c r="HTP32" i="3"/>
  <c r="HTQ32" i="3"/>
  <c r="HTR32" i="3"/>
  <c r="HTS32" i="3"/>
  <c r="HTT32" i="3"/>
  <c r="HTU32" i="3"/>
  <c r="HTV32" i="3"/>
  <c r="HTW32" i="3"/>
  <c r="HTX32" i="3"/>
  <c r="HTY32" i="3"/>
  <c r="HTZ32" i="3"/>
  <c r="HUA32" i="3"/>
  <c r="HUB32" i="3"/>
  <c r="HUC32" i="3"/>
  <c r="HUD32" i="3"/>
  <c r="HUE32" i="3"/>
  <c r="HUF32" i="3"/>
  <c r="HUG32" i="3"/>
  <c r="HUH32" i="3"/>
  <c r="HUI32" i="3"/>
  <c r="HUJ32" i="3"/>
  <c r="HUK32" i="3"/>
  <c r="HUL32" i="3"/>
  <c r="HUM32" i="3"/>
  <c r="HUN32" i="3"/>
  <c r="HUO32" i="3"/>
  <c r="HUP32" i="3"/>
  <c r="HUQ32" i="3"/>
  <c r="HUR32" i="3"/>
  <c r="HUS32" i="3"/>
  <c r="HUT32" i="3"/>
  <c r="HUU32" i="3"/>
  <c r="HUV32" i="3"/>
  <c r="HUW32" i="3"/>
  <c r="HUX32" i="3"/>
  <c r="HUY32" i="3"/>
  <c r="HUZ32" i="3"/>
  <c r="HVA32" i="3"/>
  <c r="HVB32" i="3"/>
  <c r="HVC32" i="3"/>
  <c r="HVD32" i="3"/>
  <c r="HVE32" i="3"/>
  <c r="HVF32" i="3"/>
  <c r="HVG32" i="3"/>
  <c r="HVH32" i="3"/>
  <c r="HVI32" i="3"/>
  <c r="HVJ32" i="3"/>
  <c r="HVK32" i="3"/>
  <c r="HVL32" i="3"/>
  <c r="HVM32" i="3"/>
  <c r="HVN32" i="3"/>
  <c r="HVO32" i="3"/>
  <c r="HVP32" i="3"/>
  <c r="HVQ32" i="3"/>
  <c r="HVR32" i="3"/>
  <c r="HVS32" i="3"/>
  <c r="HVT32" i="3"/>
  <c r="HVU32" i="3"/>
  <c r="HVV32" i="3"/>
  <c r="HVW32" i="3"/>
  <c r="HVX32" i="3"/>
  <c r="HVY32" i="3"/>
  <c r="HVZ32" i="3"/>
  <c r="HWA32" i="3"/>
  <c r="HWB32" i="3"/>
  <c r="HWC32" i="3"/>
  <c r="HWD32" i="3"/>
  <c r="HWE32" i="3"/>
  <c r="HWF32" i="3"/>
  <c r="HWG32" i="3"/>
  <c r="HWH32" i="3"/>
  <c r="HWI32" i="3"/>
  <c r="HWJ32" i="3"/>
  <c r="HWK32" i="3"/>
  <c r="HWL32" i="3"/>
  <c r="HWM32" i="3"/>
  <c r="HWN32" i="3"/>
  <c r="HWO32" i="3"/>
  <c r="HWP32" i="3"/>
  <c r="HWQ32" i="3"/>
  <c r="HWR32" i="3"/>
  <c r="HWS32" i="3"/>
  <c r="HWT32" i="3"/>
  <c r="HWU32" i="3"/>
  <c r="HWV32" i="3"/>
  <c r="HWW32" i="3"/>
  <c r="HWX32" i="3"/>
  <c r="HWY32" i="3"/>
  <c r="HWZ32" i="3"/>
  <c r="HXA32" i="3"/>
  <c r="HXB32" i="3"/>
  <c r="HXC32" i="3"/>
  <c r="HXD32" i="3"/>
  <c r="HXE32" i="3"/>
  <c r="HXF32" i="3"/>
  <c r="HXG32" i="3"/>
  <c r="HXH32" i="3"/>
  <c r="HXI32" i="3"/>
  <c r="HXJ32" i="3"/>
  <c r="HXK32" i="3"/>
  <c r="HXL32" i="3"/>
  <c r="HXM32" i="3"/>
  <c r="HXN32" i="3"/>
  <c r="HXO32" i="3"/>
  <c r="HXP32" i="3"/>
  <c r="HXQ32" i="3"/>
  <c r="HXR32" i="3"/>
  <c r="HXS32" i="3"/>
  <c r="HXT32" i="3"/>
  <c r="HXU32" i="3"/>
  <c r="HXV32" i="3"/>
  <c r="HXW32" i="3"/>
  <c r="HXX32" i="3"/>
  <c r="HXY32" i="3"/>
  <c r="HXZ32" i="3"/>
  <c r="HYA32" i="3"/>
  <c r="HYB32" i="3"/>
  <c r="HYC32" i="3"/>
  <c r="HYD32" i="3"/>
  <c r="HYE32" i="3"/>
  <c r="HYF32" i="3"/>
  <c r="HYG32" i="3"/>
  <c r="HYH32" i="3"/>
  <c r="HYI32" i="3"/>
  <c r="HYJ32" i="3"/>
  <c r="HYK32" i="3"/>
  <c r="HYL32" i="3"/>
  <c r="HYM32" i="3"/>
  <c r="HYN32" i="3"/>
  <c r="HYO32" i="3"/>
  <c r="HYP32" i="3"/>
  <c r="HYQ32" i="3"/>
  <c r="HYR32" i="3"/>
  <c r="HYS32" i="3"/>
  <c r="HYT32" i="3"/>
  <c r="HYU32" i="3"/>
  <c r="HYV32" i="3"/>
  <c r="HYW32" i="3"/>
  <c r="HYX32" i="3"/>
  <c r="HYY32" i="3"/>
  <c r="HYZ32" i="3"/>
  <c r="HZA32" i="3"/>
  <c r="HZB32" i="3"/>
  <c r="HZC32" i="3"/>
  <c r="HZD32" i="3"/>
  <c r="HZE32" i="3"/>
  <c r="HZF32" i="3"/>
  <c r="HZG32" i="3"/>
  <c r="HZH32" i="3"/>
  <c r="HZI32" i="3"/>
  <c r="HZJ32" i="3"/>
  <c r="HZK32" i="3"/>
  <c r="HZL32" i="3"/>
  <c r="HZM32" i="3"/>
  <c r="HZN32" i="3"/>
  <c r="HZO32" i="3"/>
  <c r="HZP32" i="3"/>
  <c r="HZQ32" i="3"/>
  <c r="HZR32" i="3"/>
  <c r="HZS32" i="3"/>
  <c r="HZT32" i="3"/>
  <c r="HZU32" i="3"/>
  <c r="HZV32" i="3"/>
  <c r="HZW32" i="3"/>
  <c r="HZX32" i="3"/>
  <c r="HZY32" i="3"/>
  <c r="HZZ32" i="3"/>
  <c r="IAA32" i="3"/>
  <c r="IAB32" i="3"/>
  <c r="IAC32" i="3"/>
  <c r="IAD32" i="3"/>
  <c r="IAE32" i="3"/>
  <c r="IAF32" i="3"/>
  <c r="IAG32" i="3"/>
  <c r="IAH32" i="3"/>
  <c r="IAI32" i="3"/>
  <c r="IAJ32" i="3"/>
  <c r="IAK32" i="3"/>
  <c r="IAL32" i="3"/>
  <c r="IAM32" i="3"/>
  <c r="IAN32" i="3"/>
  <c r="IAO32" i="3"/>
  <c r="IAP32" i="3"/>
  <c r="IAQ32" i="3"/>
  <c r="IAR32" i="3"/>
  <c r="IAS32" i="3"/>
  <c r="IAT32" i="3"/>
  <c r="IAU32" i="3"/>
  <c r="IAV32" i="3"/>
  <c r="IAW32" i="3"/>
  <c r="IAX32" i="3"/>
  <c r="IAY32" i="3"/>
  <c r="IAZ32" i="3"/>
  <c r="IBA32" i="3"/>
  <c r="IBB32" i="3"/>
  <c r="IBC32" i="3"/>
  <c r="IBD32" i="3"/>
  <c r="IBE32" i="3"/>
  <c r="IBF32" i="3"/>
  <c r="IBG32" i="3"/>
  <c r="IBH32" i="3"/>
  <c r="IBI32" i="3"/>
  <c r="IBJ32" i="3"/>
  <c r="IBK32" i="3"/>
  <c r="IBL32" i="3"/>
  <c r="IBM32" i="3"/>
  <c r="IBN32" i="3"/>
  <c r="IBO32" i="3"/>
  <c r="IBP32" i="3"/>
  <c r="IBQ32" i="3"/>
  <c r="IBR32" i="3"/>
  <c r="IBS32" i="3"/>
  <c r="IBT32" i="3"/>
  <c r="IBU32" i="3"/>
  <c r="IBV32" i="3"/>
  <c r="IBW32" i="3"/>
  <c r="IBX32" i="3"/>
  <c r="IBY32" i="3"/>
  <c r="IBZ32" i="3"/>
  <c r="ICA32" i="3"/>
  <c r="ICB32" i="3"/>
  <c r="ICC32" i="3"/>
  <c r="ICD32" i="3"/>
  <c r="ICE32" i="3"/>
  <c r="ICF32" i="3"/>
  <c r="ICG32" i="3"/>
  <c r="ICH32" i="3"/>
  <c r="ICI32" i="3"/>
  <c r="ICJ32" i="3"/>
  <c r="ICK32" i="3"/>
  <c r="ICL32" i="3"/>
  <c r="ICM32" i="3"/>
  <c r="ICN32" i="3"/>
  <c r="ICO32" i="3"/>
  <c r="ICP32" i="3"/>
  <c r="ICQ32" i="3"/>
  <c r="ICR32" i="3"/>
  <c r="ICS32" i="3"/>
  <c r="ICT32" i="3"/>
  <c r="ICU32" i="3"/>
  <c r="ICV32" i="3"/>
  <c r="ICW32" i="3"/>
  <c r="ICX32" i="3"/>
  <c r="ICY32" i="3"/>
  <c r="ICZ32" i="3"/>
  <c r="IDA32" i="3"/>
  <c r="IDB32" i="3"/>
  <c r="IDC32" i="3"/>
  <c r="IDD32" i="3"/>
  <c r="IDE32" i="3"/>
  <c r="IDF32" i="3"/>
  <c r="IDG32" i="3"/>
  <c r="IDH32" i="3"/>
  <c r="IDI32" i="3"/>
  <c r="IDJ32" i="3"/>
  <c r="IDK32" i="3"/>
  <c r="IDL32" i="3"/>
  <c r="IDM32" i="3"/>
  <c r="IDN32" i="3"/>
  <c r="IDO32" i="3"/>
  <c r="IDP32" i="3"/>
  <c r="IDQ32" i="3"/>
  <c r="IDR32" i="3"/>
  <c r="IDS32" i="3"/>
  <c r="IDT32" i="3"/>
  <c r="IDU32" i="3"/>
  <c r="IDV32" i="3"/>
  <c r="IDW32" i="3"/>
  <c r="IDX32" i="3"/>
  <c r="IDY32" i="3"/>
  <c r="IDZ32" i="3"/>
  <c r="IEA32" i="3"/>
  <c r="IEB32" i="3"/>
  <c r="IEC32" i="3"/>
  <c r="IED32" i="3"/>
  <c r="IEE32" i="3"/>
  <c r="IEF32" i="3"/>
  <c r="IEG32" i="3"/>
  <c r="IEH32" i="3"/>
  <c r="IEI32" i="3"/>
  <c r="IEJ32" i="3"/>
  <c r="IEK32" i="3"/>
  <c r="IEL32" i="3"/>
  <c r="IEM32" i="3"/>
  <c r="IEN32" i="3"/>
  <c r="IEO32" i="3"/>
  <c r="IEP32" i="3"/>
  <c r="IEQ32" i="3"/>
  <c r="IER32" i="3"/>
  <c r="IES32" i="3"/>
  <c r="IET32" i="3"/>
  <c r="IEU32" i="3"/>
  <c r="IEV32" i="3"/>
  <c r="IEW32" i="3"/>
  <c r="IEX32" i="3"/>
  <c r="IEY32" i="3"/>
  <c r="IEZ32" i="3"/>
  <c r="IFA32" i="3"/>
  <c r="IFB32" i="3"/>
  <c r="IFC32" i="3"/>
  <c r="IFD32" i="3"/>
  <c r="IFE32" i="3"/>
  <c r="IFF32" i="3"/>
  <c r="IFG32" i="3"/>
  <c r="IFH32" i="3"/>
  <c r="IFI32" i="3"/>
  <c r="IFJ32" i="3"/>
  <c r="IFK32" i="3"/>
  <c r="IFL32" i="3"/>
  <c r="IFM32" i="3"/>
  <c r="IFN32" i="3"/>
  <c r="IFO32" i="3"/>
  <c r="IFP32" i="3"/>
  <c r="IFQ32" i="3"/>
  <c r="IFR32" i="3"/>
  <c r="IFS32" i="3"/>
  <c r="IFT32" i="3"/>
  <c r="IFU32" i="3"/>
  <c r="IFV32" i="3"/>
  <c r="IFW32" i="3"/>
  <c r="IFX32" i="3"/>
  <c r="IFY32" i="3"/>
  <c r="IFZ32" i="3"/>
  <c r="IGA32" i="3"/>
  <c r="IGB32" i="3"/>
  <c r="IGC32" i="3"/>
  <c r="IGD32" i="3"/>
  <c r="IGE32" i="3"/>
  <c r="IGF32" i="3"/>
  <c r="IGG32" i="3"/>
  <c r="IGH32" i="3"/>
  <c r="IGI32" i="3"/>
  <c r="IGJ32" i="3"/>
  <c r="IGK32" i="3"/>
  <c r="IGL32" i="3"/>
  <c r="IGM32" i="3"/>
  <c r="IGN32" i="3"/>
  <c r="IGO32" i="3"/>
  <c r="IGP32" i="3"/>
  <c r="IGQ32" i="3"/>
  <c r="IGR32" i="3"/>
  <c r="IGS32" i="3"/>
  <c r="IGT32" i="3"/>
  <c r="IGU32" i="3"/>
  <c r="IGV32" i="3"/>
  <c r="IGW32" i="3"/>
  <c r="IGX32" i="3"/>
  <c r="IGY32" i="3"/>
  <c r="IGZ32" i="3"/>
  <c r="IHA32" i="3"/>
  <c r="IHB32" i="3"/>
  <c r="IHC32" i="3"/>
  <c r="IHD32" i="3"/>
  <c r="IHE32" i="3"/>
  <c r="IHF32" i="3"/>
  <c r="IHG32" i="3"/>
  <c r="IHH32" i="3"/>
  <c r="IHI32" i="3"/>
  <c r="IHJ32" i="3"/>
  <c r="IHK32" i="3"/>
  <c r="IHL32" i="3"/>
  <c r="IHM32" i="3"/>
  <c r="IHN32" i="3"/>
  <c r="IHO32" i="3"/>
  <c r="IHP32" i="3"/>
  <c r="IHQ32" i="3"/>
  <c r="IHR32" i="3"/>
  <c r="IHS32" i="3"/>
  <c r="IHT32" i="3"/>
  <c r="IHU32" i="3"/>
  <c r="IHV32" i="3"/>
  <c r="IHW32" i="3"/>
  <c r="IHX32" i="3"/>
  <c r="IHY32" i="3"/>
  <c r="IHZ32" i="3"/>
  <c r="IIA32" i="3"/>
  <c r="IIB32" i="3"/>
  <c r="IIC32" i="3"/>
  <c r="IID32" i="3"/>
  <c r="IIE32" i="3"/>
  <c r="IIF32" i="3"/>
  <c r="IIG32" i="3"/>
  <c r="IIH32" i="3"/>
  <c r="III32" i="3"/>
  <c r="IIJ32" i="3"/>
  <c r="IIK32" i="3"/>
  <c r="IIL32" i="3"/>
  <c r="IIM32" i="3"/>
  <c r="IIN32" i="3"/>
  <c r="IIO32" i="3"/>
  <c r="IIP32" i="3"/>
  <c r="IIQ32" i="3"/>
  <c r="IIR32" i="3"/>
  <c r="IIS32" i="3"/>
  <c r="IIT32" i="3"/>
  <c r="IIU32" i="3"/>
  <c r="IIV32" i="3"/>
  <c r="IIW32" i="3"/>
  <c r="IIX32" i="3"/>
  <c r="IIY32" i="3"/>
  <c r="IIZ32" i="3"/>
  <c r="IJA32" i="3"/>
  <c r="IJB32" i="3"/>
  <c r="IJC32" i="3"/>
  <c r="IJD32" i="3"/>
  <c r="IJE32" i="3"/>
  <c r="IJF32" i="3"/>
  <c r="IJG32" i="3"/>
  <c r="IJH32" i="3"/>
  <c r="IJI32" i="3"/>
  <c r="IJJ32" i="3"/>
  <c r="IJK32" i="3"/>
  <c r="IJL32" i="3"/>
  <c r="IJM32" i="3"/>
  <c r="IJN32" i="3"/>
  <c r="IJO32" i="3"/>
  <c r="IJP32" i="3"/>
  <c r="IJQ32" i="3"/>
  <c r="IJR32" i="3"/>
  <c r="IJS32" i="3"/>
  <c r="IJT32" i="3"/>
  <c r="IJU32" i="3"/>
  <c r="IJV32" i="3"/>
  <c r="IJW32" i="3"/>
  <c r="IJX32" i="3"/>
  <c r="IJY32" i="3"/>
  <c r="IJZ32" i="3"/>
  <c r="IKA32" i="3"/>
  <c r="IKB32" i="3"/>
  <c r="IKC32" i="3"/>
  <c r="IKD32" i="3"/>
  <c r="IKE32" i="3"/>
  <c r="IKF32" i="3"/>
  <c r="IKG32" i="3"/>
  <c r="IKH32" i="3"/>
  <c r="IKI32" i="3"/>
  <c r="IKJ32" i="3"/>
  <c r="IKK32" i="3"/>
  <c r="IKL32" i="3"/>
  <c r="IKM32" i="3"/>
  <c r="IKN32" i="3"/>
  <c r="IKO32" i="3"/>
  <c r="IKP32" i="3"/>
  <c r="IKQ32" i="3"/>
  <c r="IKR32" i="3"/>
  <c r="IKS32" i="3"/>
  <c r="IKT32" i="3"/>
  <c r="IKU32" i="3"/>
  <c r="IKV32" i="3"/>
  <c r="IKW32" i="3"/>
  <c r="IKX32" i="3"/>
  <c r="IKY32" i="3"/>
  <c r="IKZ32" i="3"/>
  <c r="ILA32" i="3"/>
  <c r="ILB32" i="3"/>
  <c r="ILC32" i="3"/>
  <c r="ILD32" i="3"/>
  <c r="ILE32" i="3"/>
  <c r="ILF32" i="3"/>
  <c r="ILG32" i="3"/>
  <c r="ILH32" i="3"/>
  <c r="ILI32" i="3"/>
  <c r="ILJ32" i="3"/>
  <c r="ILK32" i="3"/>
  <c r="ILL32" i="3"/>
  <c r="ILM32" i="3"/>
  <c r="ILN32" i="3"/>
  <c r="ILO32" i="3"/>
  <c r="ILP32" i="3"/>
  <c r="ILQ32" i="3"/>
  <c r="ILR32" i="3"/>
  <c r="ILS32" i="3"/>
  <c r="ILT32" i="3"/>
  <c r="ILU32" i="3"/>
  <c r="ILV32" i="3"/>
  <c r="ILW32" i="3"/>
  <c r="ILX32" i="3"/>
  <c r="ILY32" i="3"/>
  <c r="ILZ32" i="3"/>
  <c r="IMA32" i="3"/>
  <c r="IMB32" i="3"/>
  <c r="IMC32" i="3"/>
  <c r="IMD32" i="3"/>
  <c r="IME32" i="3"/>
  <c r="IMF32" i="3"/>
  <c r="IMG32" i="3"/>
  <c r="IMH32" i="3"/>
  <c r="IMI32" i="3"/>
  <c r="IMJ32" i="3"/>
  <c r="IMK32" i="3"/>
  <c r="IML32" i="3"/>
  <c r="IMM32" i="3"/>
  <c r="IMN32" i="3"/>
  <c r="IMO32" i="3"/>
  <c r="IMP32" i="3"/>
  <c r="IMQ32" i="3"/>
  <c r="IMR32" i="3"/>
  <c r="IMS32" i="3"/>
  <c r="IMT32" i="3"/>
  <c r="IMU32" i="3"/>
  <c r="IMV32" i="3"/>
  <c r="IMW32" i="3"/>
  <c r="IMX32" i="3"/>
  <c r="IMY32" i="3"/>
  <c r="IMZ32" i="3"/>
  <c r="INA32" i="3"/>
  <c r="INB32" i="3"/>
  <c r="INC32" i="3"/>
  <c r="IND32" i="3"/>
  <c r="INE32" i="3"/>
  <c r="INF32" i="3"/>
  <c r="ING32" i="3"/>
  <c r="INH32" i="3"/>
  <c r="INI32" i="3"/>
  <c r="INJ32" i="3"/>
  <c r="INK32" i="3"/>
  <c r="INL32" i="3"/>
  <c r="INM32" i="3"/>
  <c r="INN32" i="3"/>
  <c r="INO32" i="3"/>
  <c r="INP32" i="3"/>
  <c r="INQ32" i="3"/>
  <c r="INR32" i="3"/>
  <c r="INS32" i="3"/>
  <c r="INT32" i="3"/>
  <c r="INU32" i="3"/>
  <c r="INV32" i="3"/>
  <c r="INW32" i="3"/>
  <c r="INX32" i="3"/>
  <c r="INY32" i="3"/>
  <c r="INZ32" i="3"/>
  <c r="IOA32" i="3"/>
  <c r="IOB32" i="3"/>
  <c r="IOC32" i="3"/>
  <c r="IOD32" i="3"/>
  <c r="IOE32" i="3"/>
  <c r="IOF32" i="3"/>
  <c r="IOG32" i="3"/>
  <c r="IOH32" i="3"/>
  <c r="IOI32" i="3"/>
  <c r="IOJ32" i="3"/>
  <c r="IOK32" i="3"/>
  <c r="IOL32" i="3"/>
  <c r="IOM32" i="3"/>
  <c r="ION32" i="3"/>
  <c r="IOO32" i="3"/>
  <c r="IOP32" i="3"/>
  <c r="IOQ32" i="3"/>
  <c r="IOR32" i="3"/>
  <c r="IOS32" i="3"/>
  <c r="IOT32" i="3"/>
  <c r="IOU32" i="3"/>
  <c r="IOV32" i="3"/>
  <c r="IOW32" i="3"/>
  <c r="IOX32" i="3"/>
  <c r="IOY32" i="3"/>
  <c r="IOZ32" i="3"/>
  <c r="IPA32" i="3"/>
  <c r="IPB32" i="3"/>
  <c r="IPC32" i="3"/>
  <c r="IPD32" i="3"/>
  <c r="IPE32" i="3"/>
  <c r="IPF32" i="3"/>
  <c r="IPG32" i="3"/>
  <c r="IPH32" i="3"/>
  <c r="IPI32" i="3"/>
  <c r="IPJ32" i="3"/>
  <c r="IPK32" i="3"/>
  <c r="IPL32" i="3"/>
  <c r="IPM32" i="3"/>
  <c r="IPN32" i="3"/>
  <c r="IPO32" i="3"/>
  <c r="IPP32" i="3"/>
  <c r="IPQ32" i="3"/>
  <c r="IPR32" i="3"/>
  <c r="IPS32" i="3"/>
  <c r="IPT32" i="3"/>
  <c r="IPU32" i="3"/>
  <c r="IPV32" i="3"/>
  <c r="IPW32" i="3"/>
  <c r="IPX32" i="3"/>
  <c r="IPY32" i="3"/>
  <c r="IPZ32" i="3"/>
  <c r="IQA32" i="3"/>
  <c r="IQB32" i="3"/>
  <c r="IQC32" i="3"/>
  <c r="IQD32" i="3"/>
  <c r="IQE32" i="3"/>
  <c r="IQF32" i="3"/>
  <c r="IQG32" i="3"/>
  <c r="IQH32" i="3"/>
  <c r="IQI32" i="3"/>
  <c r="IQJ32" i="3"/>
  <c r="IQK32" i="3"/>
  <c r="IQL32" i="3"/>
  <c r="IQM32" i="3"/>
  <c r="IQN32" i="3"/>
  <c r="IQO32" i="3"/>
  <c r="IQP32" i="3"/>
  <c r="IQQ32" i="3"/>
  <c r="IQR32" i="3"/>
  <c r="IQS32" i="3"/>
  <c r="IQT32" i="3"/>
  <c r="IQU32" i="3"/>
  <c r="IQV32" i="3"/>
  <c r="IQW32" i="3"/>
  <c r="IQX32" i="3"/>
  <c r="IQY32" i="3"/>
  <c r="IQZ32" i="3"/>
  <c r="IRA32" i="3"/>
  <c r="IRB32" i="3"/>
  <c r="IRC32" i="3"/>
  <c r="IRD32" i="3"/>
  <c r="IRE32" i="3"/>
  <c r="IRF32" i="3"/>
  <c r="IRG32" i="3"/>
  <c r="IRH32" i="3"/>
  <c r="IRI32" i="3"/>
  <c r="IRJ32" i="3"/>
  <c r="IRK32" i="3"/>
  <c r="IRL32" i="3"/>
  <c r="IRM32" i="3"/>
  <c r="IRN32" i="3"/>
  <c r="IRO32" i="3"/>
  <c r="IRP32" i="3"/>
  <c r="IRQ32" i="3"/>
  <c r="IRR32" i="3"/>
  <c r="IRS32" i="3"/>
  <c r="IRT32" i="3"/>
  <c r="IRU32" i="3"/>
  <c r="IRV32" i="3"/>
  <c r="IRW32" i="3"/>
  <c r="IRX32" i="3"/>
  <c r="IRY32" i="3"/>
  <c r="IRZ32" i="3"/>
  <c r="ISA32" i="3"/>
  <c r="ISB32" i="3"/>
  <c r="ISC32" i="3"/>
  <c r="ISD32" i="3"/>
  <c r="ISE32" i="3"/>
  <c r="ISF32" i="3"/>
  <c r="ISG32" i="3"/>
  <c r="ISH32" i="3"/>
  <c r="ISI32" i="3"/>
  <c r="ISJ32" i="3"/>
  <c r="ISK32" i="3"/>
  <c r="ISL32" i="3"/>
  <c r="ISM32" i="3"/>
  <c r="ISN32" i="3"/>
  <c r="ISO32" i="3"/>
  <c r="ISP32" i="3"/>
  <c r="ISQ32" i="3"/>
  <c r="ISR32" i="3"/>
  <c r="ISS32" i="3"/>
  <c r="IST32" i="3"/>
  <c r="ISU32" i="3"/>
  <c r="ISV32" i="3"/>
  <c r="ISW32" i="3"/>
  <c r="ISX32" i="3"/>
  <c r="ISY32" i="3"/>
  <c r="ISZ32" i="3"/>
  <c r="ITA32" i="3"/>
  <c r="ITB32" i="3"/>
  <c r="ITC32" i="3"/>
  <c r="ITD32" i="3"/>
  <c r="ITE32" i="3"/>
  <c r="ITF32" i="3"/>
  <c r="ITG32" i="3"/>
  <c r="ITH32" i="3"/>
  <c r="ITI32" i="3"/>
  <c r="ITJ32" i="3"/>
  <c r="ITK32" i="3"/>
  <c r="ITL32" i="3"/>
  <c r="ITM32" i="3"/>
  <c r="ITN32" i="3"/>
  <c r="ITO32" i="3"/>
  <c r="ITP32" i="3"/>
  <c r="ITQ32" i="3"/>
  <c r="ITR32" i="3"/>
  <c r="ITS32" i="3"/>
  <c r="ITT32" i="3"/>
  <c r="ITU32" i="3"/>
  <c r="ITV32" i="3"/>
  <c r="ITW32" i="3"/>
  <c r="ITX32" i="3"/>
  <c r="ITY32" i="3"/>
  <c r="ITZ32" i="3"/>
  <c r="IUA32" i="3"/>
  <c r="IUB32" i="3"/>
  <c r="IUC32" i="3"/>
  <c r="IUD32" i="3"/>
  <c r="IUE32" i="3"/>
  <c r="IUF32" i="3"/>
  <c r="IUG32" i="3"/>
  <c r="IUH32" i="3"/>
  <c r="IUI32" i="3"/>
  <c r="IUJ32" i="3"/>
  <c r="IUK32" i="3"/>
  <c r="IUL32" i="3"/>
  <c r="IUM32" i="3"/>
  <c r="IUN32" i="3"/>
  <c r="IUO32" i="3"/>
  <c r="IUP32" i="3"/>
  <c r="IUQ32" i="3"/>
  <c r="IUR32" i="3"/>
  <c r="IUS32" i="3"/>
  <c r="IUT32" i="3"/>
  <c r="IUU32" i="3"/>
  <c r="IUV32" i="3"/>
  <c r="IUW32" i="3"/>
  <c r="IUX32" i="3"/>
  <c r="IUY32" i="3"/>
  <c r="IUZ32" i="3"/>
  <c r="IVA32" i="3"/>
  <c r="IVB32" i="3"/>
  <c r="IVC32" i="3"/>
  <c r="IVD32" i="3"/>
  <c r="IVE32" i="3"/>
  <c r="IVF32" i="3"/>
  <c r="IVG32" i="3"/>
  <c r="IVH32" i="3"/>
  <c r="IVI32" i="3"/>
  <c r="IVJ32" i="3"/>
  <c r="IVK32" i="3"/>
  <c r="IVL32" i="3"/>
  <c r="IVM32" i="3"/>
  <c r="IVN32" i="3"/>
  <c r="IVO32" i="3"/>
  <c r="IVP32" i="3"/>
  <c r="IVQ32" i="3"/>
  <c r="IVR32" i="3"/>
  <c r="IVS32" i="3"/>
  <c r="IVT32" i="3"/>
  <c r="IVU32" i="3"/>
  <c r="IVV32" i="3"/>
  <c r="IVW32" i="3"/>
  <c r="IVX32" i="3"/>
  <c r="IVY32" i="3"/>
  <c r="IVZ32" i="3"/>
  <c r="IWA32" i="3"/>
  <c r="IWB32" i="3"/>
  <c r="IWC32" i="3"/>
  <c r="IWD32" i="3"/>
  <c r="IWE32" i="3"/>
  <c r="IWF32" i="3"/>
  <c r="IWG32" i="3"/>
  <c r="IWH32" i="3"/>
  <c r="IWI32" i="3"/>
  <c r="IWJ32" i="3"/>
  <c r="IWK32" i="3"/>
  <c r="IWL32" i="3"/>
  <c r="IWM32" i="3"/>
  <c r="IWN32" i="3"/>
  <c r="IWO32" i="3"/>
  <c r="IWP32" i="3"/>
  <c r="IWQ32" i="3"/>
  <c r="IWR32" i="3"/>
  <c r="IWS32" i="3"/>
  <c r="IWT32" i="3"/>
  <c r="IWU32" i="3"/>
  <c r="IWV32" i="3"/>
  <c r="IWW32" i="3"/>
  <c r="IWX32" i="3"/>
  <c r="IWY32" i="3"/>
  <c r="IWZ32" i="3"/>
  <c r="IXA32" i="3"/>
  <c r="IXB32" i="3"/>
  <c r="IXC32" i="3"/>
  <c r="IXD32" i="3"/>
  <c r="IXE32" i="3"/>
  <c r="IXF32" i="3"/>
  <c r="IXG32" i="3"/>
  <c r="IXH32" i="3"/>
  <c r="IXI32" i="3"/>
  <c r="IXJ32" i="3"/>
  <c r="IXK32" i="3"/>
  <c r="IXL32" i="3"/>
  <c r="IXM32" i="3"/>
  <c r="IXN32" i="3"/>
  <c r="IXO32" i="3"/>
  <c r="IXP32" i="3"/>
  <c r="IXQ32" i="3"/>
  <c r="IXR32" i="3"/>
  <c r="IXS32" i="3"/>
  <c r="IXT32" i="3"/>
  <c r="IXU32" i="3"/>
  <c r="IXV32" i="3"/>
  <c r="IXW32" i="3"/>
  <c r="IXX32" i="3"/>
  <c r="IXY32" i="3"/>
  <c r="IXZ32" i="3"/>
  <c r="IYA32" i="3"/>
  <c r="IYB32" i="3"/>
  <c r="IYC32" i="3"/>
  <c r="IYD32" i="3"/>
  <c r="IYE32" i="3"/>
  <c r="IYF32" i="3"/>
  <c r="IYG32" i="3"/>
  <c r="IYH32" i="3"/>
  <c r="IYI32" i="3"/>
  <c r="IYJ32" i="3"/>
  <c r="IYK32" i="3"/>
  <c r="IYL32" i="3"/>
  <c r="IYM32" i="3"/>
  <c r="IYN32" i="3"/>
  <c r="IYO32" i="3"/>
  <c r="IYP32" i="3"/>
  <c r="IYQ32" i="3"/>
  <c r="IYR32" i="3"/>
  <c r="IYS32" i="3"/>
  <c r="IYT32" i="3"/>
  <c r="IYU32" i="3"/>
  <c r="IYV32" i="3"/>
  <c r="IYW32" i="3"/>
  <c r="IYX32" i="3"/>
  <c r="IYY32" i="3"/>
  <c r="IYZ32" i="3"/>
  <c r="IZA32" i="3"/>
  <c r="IZB32" i="3"/>
  <c r="IZC32" i="3"/>
  <c r="IZD32" i="3"/>
  <c r="IZE32" i="3"/>
  <c r="IZF32" i="3"/>
  <c r="IZG32" i="3"/>
  <c r="IZH32" i="3"/>
  <c r="IZI32" i="3"/>
  <c r="IZJ32" i="3"/>
  <c r="IZK32" i="3"/>
  <c r="IZL32" i="3"/>
  <c r="IZM32" i="3"/>
  <c r="IZN32" i="3"/>
  <c r="IZO32" i="3"/>
  <c r="IZP32" i="3"/>
  <c r="IZQ32" i="3"/>
  <c r="IZR32" i="3"/>
  <c r="IZS32" i="3"/>
  <c r="IZT32" i="3"/>
  <c r="IZU32" i="3"/>
  <c r="IZV32" i="3"/>
  <c r="IZW32" i="3"/>
  <c r="IZX32" i="3"/>
  <c r="IZY32" i="3"/>
  <c r="IZZ32" i="3"/>
  <c r="JAA32" i="3"/>
  <c r="JAB32" i="3"/>
  <c r="JAC32" i="3"/>
  <c r="JAD32" i="3"/>
  <c r="JAE32" i="3"/>
  <c r="JAF32" i="3"/>
  <c r="JAG32" i="3"/>
  <c r="JAH32" i="3"/>
  <c r="JAI32" i="3"/>
  <c r="JAJ32" i="3"/>
  <c r="JAK32" i="3"/>
  <c r="JAL32" i="3"/>
  <c r="JAM32" i="3"/>
  <c r="JAN32" i="3"/>
  <c r="JAO32" i="3"/>
  <c r="JAP32" i="3"/>
  <c r="JAQ32" i="3"/>
  <c r="JAR32" i="3"/>
  <c r="JAS32" i="3"/>
  <c r="JAT32" i="3"/>
  <c r="JAU32" i="3"/>
  <c r="JAV32" i="3"/>
  <c r="JAW32" i="3"/>
  <c r="JAX32" i="3"/>
  <c r="JAY32" i="3"/>
  <c r="JAZ32" i="3"/>
  <c r="JBA32" i="3"/>
  <c r="JBB32" i="3"/>
  <c r="JBC32" i="3"/>
  <c r="JBD32" i="3"/>
  <c r="JBE32" i="3"/>
  <c r="JBF32" i="3"/>
  <c r="JBG32" i="3"/>
  <c r="JBH32" i="3"/>
  <c r="JBI32" i="3"/>
  <c r="JBJ32" i="3"/>
  <c r="JBK32" i="3"/>
  <c r="JBL32" i="3"/>
  <c r="JBM32" i="3"/>
  <c r="JBN32" i="3"/>
  <c r="JBO32" i="3"/>
  <c r="JBP32" i="3"/>
  <c r="JBQ32" i="3"/>
  <c r="JBR32" i="3"/>
  <c r="JBS32" i="3"/>
  <c r="JBT32" i="3"/>
  <c r="JBU32" i="3"/>
  <c r="JBV32" i="3"/>
  <c r="JBW32" i="3"/>
  <c r="JBX32" i="3"/>
  <c r="JBY32" i="3"/>
  <c r="JBZ32" i="3"/>
  <c r="JCA32" i="3"/>
  <c r="JCB32" i="3"/>
  <c r="JCC32" i="3"/>
  <c r="JCD32" i="3"/>
  <c r="JCE32" i="3"/>
  <c r="JCF32" i="3"/>
  <c r="JCG32" i="3"/>
  <c r="JCH32" i="3"/>
  <c r="JCI32" i="3"/>
  <c r="JCJ32" i="3"/>
  <c r="JCK32" i="3"/>
  <c r="JCL32" i="3"/>
  <c r="JCM32" i="3"/>
  <c r="JCN32" i="3"/>
  <c r="JCO32" i="3"/>
  <c r="JCP32" i="3"/>
  <c r="JCQ32" i="3"/>
  <c r="JCR32" i="3"/>
  <c r="JCS32" i="3"/>
  <c r="JCT32" i="3"/>
  <c r="JCU32" i="3"/>
  <c r="JCV32" i="3"/>
  <c r="JCW32" i="3"/>
  <c r="JCX32" i="3"/>
  <c r="JCY32" i="3"/>
  <c r="JCZ32" i="3"/>
  <c r="JDA32" i="3"/>
  <c r="JDB32" i="3"/>
  <c r="JDC32" i="3"/>
  <c r="JDD32" i="3"/>
  <c r="JDE32" i="3"/>
  <c r="JDF32" i="3"/>
  <c r="JDG32" i="3"/>
  <c r="JDH32" i="3"/>
  <c r="JDI32" i="3"/>
  <c r="JDJ32" i="3"/>
  <c r="JDK32" i="3"/>
  <c r="JDL32" i="3"/>
  <c r="JDM32" i="3"/>
  <c r="JDN32" i="3"/>
  <c r="JDO32" i="3"/>
  <c r="JDP32" i="3"/>
  <c r="JDQ32" i="3"/>
  <c r="JDR32" i="3"/>
  <c r="JDS32" i="3"/>
  <c r="JDT32" i="3"/>
  <c r="JDU32" i="3"/>
  <c r="JDV32" i="3"/>
  <c r="JDW32" i="3"/>
  <c r="JDX32" i="3"/>
  <c r="JDY32" i="3"/>
  <c r="JDZ32" i="3"/>
  <c r="JEA32" i="3"/>
  <c r="JEB32" i="3"/>
  <c r="JEC32" i="3"/>
  <c r="JED32" i="3"/>
  <c r="JEE32" i="3"/>
  <c r="JEF32" i="3"/>
  <c r="JEG32" i="3"/>
  <c r="JEH32" i="3"/>
  <c r="JEI32" i="3"/>
  <c r="JEJ32" i="3"/>
  <c r="JEK32" i="3"/>
  <c r="JEL32" i="3"/>
  <c r="JEM32" i="3"/>
  <c r="JEN32" i="3"/>
  <c r="JEO32" i="3"/>
  <c r="JEP32" i="3"/>
  <c r="JEQ32" i="3"/>
  <c r="JER32" i="3"/>
  <c r="JES32" i="3"/>
  <c r="JET32" i="3"/>
  <c r="JEU32" i="3"/>
  <c r="JEV32" i="3"/>
  <c r="JEW32" i="3"/>
  <c r="JEX32" i="3"/>
  <c r="JEY32" i="3"/>
  <c r="JEZ32" i="3"/>
  <c r="JFA32" i="3"/>
  <c r="JFB32" i="3"/>
  <c r="JFC32" i="3"/>
  <c r="JFD32" i="3"/>
  <c r="JFE32" i="3"/>
  <c r="JFF32" i="3"/>
  <c r="JFG32" i="3"/>
  <c r="JFH32" i="3"/>
  <c r="JFI32" i="3"/>
  <c r="JFJ32" i="3"/>
  <c r="JFK32" i="3"/>
  <c r="JFL32" i="3"/>
  <c r="JFM32" i="3"/>
  <c r="JFN32" i="3"/>
  <c r="JFO32" i="3"/>
  <c r="JFP32" i="3"/>
  <c r="JFQ32" i="3"/>
  <c r="JFR32" i="3"/>
  <c r="JFS32" i="3"/>
  <c r="JFT32" i="3"/>
  <c r="JFU32" i="3"/>
  <c r="JFV32" i="3"/>
  <c r="JFW32" i="3"/>
  <c r="JFX32" i="3"/>
  <c r="JFY32" i="3"/>
  <c r="JFZ32" i="3"/>
  <c r="JGA32" i="3"/>
  <c r="JGB32" i="3"/>
  <c r="JGC32" i="3"/>
  <c r="JGD32" i="3"/>
  <c r="JGE32" i="3"/>
  <c r="JGF32" i="3"/>
  <c r="JGG32" i="3"/>
  <c r="JGH32" i="3"/>
  <c r="JGI32" i="3"/>
  <c r="JGJ32" i="3"/>
  <c r="JGK32" i="3"/>
  <c r="JGL32" i="3"/>
  <c r="JGM32" i="3"/>
  <c r="JGN32" i="3"/>
  <c r="JGO32" i="3"/>
  <c r="JGP32" i="3"/>
  <c r="JGQ32" i="3"/>
  <c r="JGR32" i="3"/>
  <c r="JGS32" i="3"/>
  <c r="JGT32" i="3"/>
  <c r="JGU32" i="3"/>
  <c r="JGV32" i="3"/>
  <c r="JGW32" i="3"/>
  <c r="JGX32" i="3"/>
  <c r="JGY32" i="3"/>
  <c r="JGZ32" i="3"/>
  <c r="JHA32" i="3"/>
  <c r="JHB32" i="3"/>
  <c r="JHC32" i="3"/>
  <c r="JHD32" i="3"/>
  <c r="JHE32" i="3"/>
  <c r="JHF32" i="3"/>
  <c r="JHG32" i="3"/>
  <c r="JHH32" i="3"/>
  <c r="JHI32" i="3"/>
  <c r="JHJ32" i="3"/>
  <c r="JHK32" i="3"/>
  <c r="JHL32" i="3"/>
  <c r="JHM32" i="3"/>
  <c r="JHN32" i="3"/>
  <c r="JHO32" i="3"/>
  <c r="JHP32" i="3"/>
  <c r="JHQ32" i="3"/>
  <c r="JHR32" i="3"/>
  <c r="JHS32" i="3"/>
  <c r="JHT32" i="3"/>
  <c r="JHU32" i="3"/>
  <c r="JHV32" i="3"/>
  <c r="JHW32" i="3"/>
  <c r="JHX32" i="3"/>
  <c r="JHY32" i="3"/>
  <c r="JHZ32" i="3"/>
  <c r="JIA32" i="3"/>
  <c r="JIB32" i="3"/>
  <c r="JIC32" i="3"/>
  <c r="JID32" i="3"/>
  <c r="JIE32" i="3"/>
  <c r="JIF32" i="3"/>
  <c r="JIG32" i="3"/>
  <c r="JIH32" i="3"/>
  <c r="JII32" i="3"/>
  <c r="JIJ32" i="3"/>
  <c r="JIK32" i="3"/>
  <c r="JIL32" i="3"/>
  <c r="JIM32" i="3"/>
  <c r="JIN32" i="3"/>
  <c r="JIO32" i="3"/>
  <c r="JIP32" i="3"/>
  <c r="JIQ32" i="3"/>
  <c r="JIR32" i="3"/>
  <c r="JIS32" i="3"/>
  <c r="JIT32" i="3"/>
  <c r="JIU32" i="3"/>
  <c r="JIV32" i="3"/>
  <c r="JIW32" i="3"/>
  <c r="JIX32" i="3"/>
  <c r="JIY32" i="3"/>
  <c r="JIZ32" i="3"/>
  <c r="JJA32" i="3"/>
  <c r="JJB32" i="3"/>
  <c r="JJC32" i="3"/>
  <c r="JJD32" i="3"/>
  <c r="JJE32" i="3"/>
  <c r="JJF32" i="3"/>
  <c r="JJG32" i="3"/>
  <c r="JJH32" i="3"/>
  <c r="JJI32" i="3"/>
  <c r="JJJ32" i="3"/>
  <c r="JJK32" i="3"/>
  <c r="JJL32" i="3"/>
  <c r="JJM32" i="3"/>
  <c r="JJN32" i="3"/>
  <c r="JJO32" i="3"/>
  <c r="JJP32" i="3"/>
  <c r="JJQ32" i="3"/>
  <c r="JJR32" i="3"/>
  <c r="JJS32" i="3"/>
  <c r="JJT32" i="3"/>
  <c r="JJU32" i="3"/>
  <c r="JJV32" i="3"/>
  <c r="JJW32" i="3"/>
  <c r="JJX32" i="3"/>
  <c r="JJY32" i="3"/>
  <c r="JJZ32" i="3"/>
  <c r="JKA32" i="3"/>
  <c r="JKB32" i="3"/>
  <c r="JKC32" i="3"/>
  <c r="JKD32" i="3"/>
  <c r="JKE32" i="3"/>
  <c r="JKF32" i="3"/>
  <c r="JKG32" i="3"/>
  <c r="JKH32" i="3"/>
  <c r="JKI32" i="3"/>
  <c r="JKJ32" i="3"/>
  <c r="JKK32" i="3"/>
  <c r="JKL32" i="3"/>
  <c r="JKM32" i="3"/>
  <c r="JKN32" i="3"/>
  <c r="JKO32" i="3"/>
  <c r="JKP32" i="3"/>
  <c r="JKQ32" i="3"/>
  <c r="JKR32" i="3"/>
  <c r="JKS32" i="3"/>
  <c r="JKT32" i="3"/>
  <c r="JKU32" i="3"/>
  <c r="JKV32" i="3"/>
  <c r="JKW32" i="3"/>
  <c r="JKX32" i="3"/>
  <c r="JKY32" i="3"/>
  <c r="JKZ32" i="3"/>
  <c r="JLA32" i="3"/>
  <c r="JLB32" i="3"/>
  <c r="JLC32" i="3"/>
  <c r="JLD32" i="3"/>
  <c r="JLE32" i="3"/>
  <c r="JLF32" i="3"/>
  <c r="JLG32" i="3"/>
  <c r="JLH32" i="3"/>
  <c r="JLI32" i="3"/>
  <c r="JLJ32" i="3"/>
  <c r="JLK32" i="3"/>
  <c r="JLL32" i="3"/>
  <c r="JLM32" i="3"/>
  <c r="JLN32" i="3"/>
  <c r="JLO32" i="3"/>
  <c r="JLP32" i="3"/>
  <c r="JLQ32" i="3"/>
  <c r="JLR32" i="3"/>
  <c r="JLS32" i="3"/>
  <c r="JLT32" i="3"/>
  <c r="JLU32" i="3"/>
  <c r="JLV32" i="3"/>
  <c r="JLW32" i="3"/>
  <c r="JLX32" i="3"/>
  <c r="JLY32" i="3"/>
  <c r="JLZ32" i="3"/>
  <c r="JMA32" i="3"/>
  <c r="JMB32" i="3"/>
  <c r="JMC32" i="3"/>
  <c r="JMD32" i="3"/>
  <c r="JME32" i="3"/>
  <c r="JMF32" i="3"/>
  <c r="JMG32" i="3"/>
  <c r="JMH32" i="3"/>
  <c r="JMI32" i="3"/>
  <c r="JMJ32" i="3"/>
  <c r="JMK32" i="3"/>
  <c r="JML32" i="3"/>
  <c r="JMM32" i="3"/>
  <c r="JMN32" i="3"/>
  <c r="JMO32" i="3"/>
  <c r="JMP32" i="3"/>
  <c r="JMQ32" i="3"/>
  <c r="JMR32" i="3"/>
  <c r="JMS32" i="3"/>
  <c r="JMT32" i="3"/>
  <c r="JMU32" i="3"/>
  <c r="JMV32" i="3"/>
  <c r="JMW32" i="3"/>
  <c r="JMX32" i="3"/>
  <c r="JMY32" i="3"/>
  <c r="JMZ32" i="3"/>
  <c r="JNA32" i="3"/>
  <c r="JNB32" i="3"/>
  <c r="JNC32" i="3"/>
  <c r="JND32" i="3"/>
  <c r="JNE32" i="3"/>
  <c r="JNF32" i="3"/>
  <c r="JNG32" i="3"/>
  <c r="JNH32" i="3"/>
  <c r="JNI32" i="3"/>
  <c r="JNJ32" i="3"/>
  <c r="JNK32" i="3"/>
  <c r="JNL32" i="3"/>
  <c r="JNM32" i="3"/>
  <c r="JNN32" i="3"/>
  <c r="JNO32" i="3"/>
  <c r="JNP32" i="3"/>
  <c r="JNQ32" i="3"/>
  <c r="JNR32" i="3"/>
  <c r="JNS32" i="3"/>
  <c r="JNT32" i="3"/>
  <c r="JNU32" i="3"/>
  <c r="JNV32" i="3"/>
  <c r="JNW32" i="3"/>
  <c r="JNX32" i="3"/>
  <c r="JNY32" i="3"/>
  <c r="JNZ32" i="3"/>
  <c r="JOA32" i="3"/>
  <c r="JOB32" i="3"/>
  <c r="JOC32" i="3"/>
  <c r="JOD32" i="3"/>
  <c r="JOE32" i="3"/>
  <c r="JOF32" i="3"/>
  <c r="JOG32" i="3"/>
  <c r="JOH32" i="3"/>
  <c r="JOI32" i="3"/>
  <c r="JOJ32" i="3"/>
  <c r="JOK32" i="3"/>
  <c r="JOL32" i="3"/>
  <c r="JOM32" i="3"/>
  <c r="JON32" i="3"/>
  <c r="JOO32" i="3"/>
  <c r="JOP32" i="3"/>
  <c r="JOQ32" i="3"/>
  <c r="JOR32" i="3"/>
  <c r="JOS32" i="3"/>
  <c r="JOT32" i="3"/>
  <c r="JOU32" i="3"/>
  <c r="JOV32" i="3"/>
  <c r="JOW32" i="3"/>
  <c r="JOX32" i="3"/>
  <c r="JOY32" i="3"/>
  <c r="JOZ32" i="3"/>
  <c r="JPA32" i="3"/>
  <c r="JPB32" i="3"/>
  <c r="JPC32" i="3"/>
  <c r="JPD32" i="3"/>
  <c r="JPE32" i="3"/>
  <c r="JPF32" i="3"/>
  <c r="JPG32" i="3"/>
  <c r="JPH32" i="3"/>
  <c r="JPI32" i="3"/>
  <c r="JPJ32" i="3"/>
  <c r="JPK32" i="3"/>
  <c r="JPL32" i="3"/>
  <c r="JPM32" i="3"/>
  <c r="JPN32" i="3"/>
  <c r="JPO32" i="3"/>
  <c r="JPP32" i="3"/>
  <c r="JPQ32" i="3"/>
  <c r="JPR32" i="3"/>
  <c r="JPS32" i="3"/>
  <c r="JPT32" i="3"/>
  <c r="JPU32" i="3"/>
  <c r="JPV32" i="3"/>
  <c r="JPW32" i="3"/>
  <c r="JPX32" i="3"/>
  <c r="JPY32" i="3"/>
  <c r="JPZ32" i="3"/>
  <c r="JQA32" i="3"/>
  <c r="JQB32" i="3"/>
  <c r="JQC32" i="3"/>
  <c r="JQD32" i="3"/>
  <c r="JQE32" i="3"/>
  <c r="JQF32" i="3"/>
  <c r="JQG32" i="3"/>
  <c r="JQH32" i="3"/>
  <c r="JQI32" i="3"/>
  <c r="JQJ32" i="3"/>
  <c r="JQK32" i="3"/>
  <c r="JQL32" i="3"/>
  <c r="JQM32" i="3"/>
  <c r="JQN32" i="3"/>
  <c r="JQO32" i="3"/>
  <c r="JQP32" i="3"/>
  <c r="JQQ32" i="3"/>
  <c r="JQR32" i="3"/>
  <c r="JQS32" i="3"/>
  <c r="JQT32" i="3"/>
  <c r="JQU32" i="3"/>
  <c r="JQV32" i="3"/>
  <c r="JQW32" i="3"/>
  <c r="JQX32" i="3"/>
  <c r="JQY32" i="3"/>
  <c r="JQZ32" i="3"/>
  <c r="JRA32" i="3"/>
  <c r="JRB32" i="3"/>
  <c r="JRC32" i="3"/>
  <c r="JRD32" i="3"/>
  <c r="JRE32" i="3"/>
  <c r="JRF32" i="3"/>
  <c r="JRG32" i="3"/>
  <c r="JRH32" i="3"/>
  <c r="JRI32" i="3"/>
  <c r="JRJ32" i="3"/>
  <c r="JRK32" i="3"/>
  <c r="JRL32" i="3"/>
  <c r="JRM32" i="3"/>
  <c r="JRN32" i="3"/>
  <c r="JRO32" i="3"/>
  <c r="JRP32" i="3"/>
  <c r="JRQ32" i="3"/>
  <c r="JRR32" i="3"/>
  <c r="JRS32" i="3"/>
  <c r="JRT32" i="3"/>
  <c r="JRU32" i="3"/>
  <c r="JRV32" i="3"/>
  <c r="JRW32" i="3"/>
  <c r="JRX32" i="3"/>
  <c r="JRY32" i="3"/>
  <c r="JRZ32" i="3"/>
  <c r="JSA32" i="3"/>
  <c r="JSB32" i="3"/>
  <c r="JSC32" i="3"/>
  <c r="JSD32" i="3"/>
  <c r="JSE32" i="3"/>
  <c r="JSF32" i="3"/>
  <c r="JSG32" i="3"/>
  <c r="JSH32" i="3"/>
  <c r="JSI32" i="3"/>
  <c r="JSJ32" i="3"/>
  <c r="JSK32" i="3"/>
  <c r="JSL32" i="3"/>
  <c r="JSM32" i="3"/>
  <c r="JSN32" i="3"/>
  <c r="JSO32" i="3"/>
  <c r="JSP32" i="3"/>
  <c r="JSQ32" i="3"/>
  <c r="JSR32" i="3"/>
  <c r="JSS32" i="3"/>
  <c r="JST32" i="3"/>
  <c r="JSU32" i="3"/>
  <c r="JSV32" i="3"/>
  <c r="JSW32" i="3"/>
  <c r="JSX32" i="3"/>
  <c r="JSY32" i="3"/>
  <c r="JSZ32" i="3"/>
  <c r="JTA32" i="3"/>
  <c r="JTB32" i="3"/>
  <c r="JTC32" i="3"/>
  <c r="JTD32" i="3"/>
  <c r="JTE32" i="3"/>
  <c r="JTF32" i="3"/>
  <c r="JTG32" i="3"/>
  <c r="JTH32" i="3"/>
  <c r="JTI32" i="3"/>
  <c r="JTJ32" i="3"/>
  <c r="JTK32" i="3"/>
  <c r="JTL32" i="3"/>
  <c r="JTM32" i="3"/>
  <c r="JTN32" i="3"/>
  <c r="JTO32" i="3"/>
  <c r="JTP32" i="3"/>
  <c r="JTQ32" i="3"/>
  <c r="JTR32" i="3"/>
  <c r="JTS32" i="3"/>
  <c r="JTT32" i="3"/>
  <c r="JTU32" i="3"/>
  <c r="JTV32" i="3"/>
  <c r="JTW32" i="3"/>
  <c r="JTX32" i="3"/>
  <c r="JTY32" i="3"/>
  <c r="JTZ32" i="3"/>
  <c r="JUA32" i="3"/>
  <c r="JUB32" i="3"/>
  <c r="JUC32" i="3"/>
  <c r="JUD32" i="3"/>
  <c r="JUE32" i="3"/>
  <c r="JUF32" i="3"/>
  <c r="JUG32" i="3"/>
  <c r="JUH32" i="3"/>
  <c r="JUI32" i="3"/>
  <c r="JUJ32" i="3"/>
  <c r="JUK32" i="3"/>
  <c r="JUL32" i="3"/>
  <c r="JUM32" i="3"/>
  <c r="JUN32" i="3"/>
  <c r="JUO32" i="3"/>
  <c r="JUP32" i="3"/>
  <c r="JUQ32" i="3"/>
  <c r="JUR32" i="3"/>
  <c r="JUS32" i="3"/>
  <c r="JUT32" i="3"/>
  <c r="JUU32" i="3"/>
  <c r="JUV32" i="3"/>
  <c r="JUW32" i="3"/>
  <c r="JUX32" i="3"/>
  <c r="JUY32" i="3"/>
  <c r="JUZ32" i="3"/>
  <c r="JVA32" i="3"/>
  <c r="JVB32" i="3"/>
  <c r="JVC32" i="3"/>
  <c r="JVD32" i="3"/>
  <c r="JVE32" i="3"/>
  <c r="JVF32" i="3"/>
  <c r="JVG32" i="3"/>
  <c r="JVH32" i="3"/>
  <c r="JVI32" i="3"/>
  <c r="JVJ32" i="3"/>
  <c r="JVK32" i="3"/>
  <c r="JVL32" i="3"/>
  <c r="JVM32" i="3"/>
  <c r="JVN32" i="3"/>
  <c r="JVO32" i="3"/>
  <c r="JVP32" i="3"/>
  <c r="JVQ32" i="3"/>
  <c r="JVR32" i="3"/>
  <c r="JVS32" i="3"/>
  <c r="JVT32" i="3"/>
  <c r="JVU32" i="3"/>
  <c r="JVV32" i="3"/>
  <c r="JVW32" i="3"/>
  <c r="JVX32" i="3"/>
  <c r="JVY32" i="3"/>
  <c r="JVZ32" i="3"/>
  <c r="JWA32" i="3"/>
  <c r="JWB32" i="3"/>
  <c r="JWC32" i="3"/>
  <c r="JWD32" i="3"/>
  <c r="JWE32" i="3"/>
  <c r="JWF32" i="3"/>
  <c r="JWG32" i="3"/>
  <c r="JWH32" i="3"/>
  <c r="JWI32" i="3"/>
  <c r="JWJ32" i="3"/>
  <c r="JWK32" i="3"/>
  <c r="JWL32" i="3"/>
  <c r="JWM32" i="3"/>
  <c r="JWN32" i="3"/>
  <c r="JWO32" i="3"/>
  <c r="JWP32" i="3"/>
  <c r="JWQ32" i="3"/>
  <c r="JWR32" i="3"/>
  <c r="JWS32" i="3"/>
  <c r="JWT32" i="3"/>
  <c r="JWU32" i="3"/>
  <c r="JWV32" i="3"/>
  <c r="JWW32" i="3"/>
  <c r="JWX32" i="3"/>
  <c r="JWY32" i="3"/>
  <c r="JWZ32" i="3"/>
  <c r="JXA32" i="3"/>
  <c r="JXB32" i="3"/>
  <c r="JXC32" i="3"/>
  <c r="JXD32" i="3"/>
  <c r="JXE32" i="3"/>
  <c r="JXF32" i="3"/>
  <c r="JXG32" i="3"/>
  <c r="JXH32" i="3"/>
  <c r="JXI32" i="3"/>
  <c r="JXJ32" i="3"/>
  <c r="JXK32" i="3"/>
  <c r="JXL32" i="3"/>
  <c r="JXM32" i="3"/>
  <c r="JXN32" i="3"/>
  <c r="JXO32" i="3"/>
  <c r="JXP32" i="3"/>
  <c r="JXQ32" i="3"/>
  <c r="JXR32" i="3"/>
  <c r="JXS32" i="3"/>
  <c r="JXT32" i="3"/>
  <c r="JXU32" i="3"/>
  <c r="JXV32" i="3"/>
  <c r="JXW32" i="3"/>
  <c r="JXX32" i="3"/>
  <c r="JXY32" i="3"/>
  <c r="JXZ32" i="3"/>
  <c r="JYA32" i="3"/>
  <c r="JYB32" i="3"/>
  <c r="JYC32" i="3"/>
  <c r="JYD32" i="3"/>
  <c r="JYE32" i="3"/>
  <c r="JYF32" i="3"/>
  <c r="JYG32" i="3"/>
  <c r="JYH32" i="3"/>
  <c r="JYI32" i="3"/>
  <c r="JYJ32" i="3"/>
  <c r="JYK32" i="3"/>
  <c r="JYL32" i="3"/>
  <c r="JYM32" i="3"/>
  <c r="JYN32" i="3"/>
  <c r="JYO32" i="3"/>
  <c r="JYP32" i="3"/>
  <c r="JYQ32" i="3"/>
  <c r="JYR32" i="3"/>
  <c r="JYS32" i="3"/>
  <c r="JYT32" i="3"/>
  <c r="JYU32" i="3"/>
  <c r="JYV32" i="3"/>
  <c r="JYW32" i="3"/>
  <c r="JYX32" i="3"/>
  <c r="JYY32" i="3"/>
  <c r="JYZ32" i="3"/>
  <c r="JZA32" i="3"/>
  <c r="JZB32" i="3"/>
  <c r="JZC32" i="3"/>
  <c r="JZD32" i="3"/>
  <c r="JZE32" i="3"/>
  <c r="JZF32" i="3"/>
  <c r="JZG32" i="3"/>
  <c r="JZH32" i="3"/>
  <c r="JZI32" i="3"/>
  <c r="JZJ32" i="3"/>
  <c r="JZK32" i="3"/>
  <c r="JZL32" i="3"/>
  <c r="JZM32" i="3"/>
  <c r="JZN32" i="3"/>
  <c r="JZO32" i="3"/>
  <c r="JZP32" i="3"/>
  <c r="JZQ32" i="3"/>
  <c r="JZR32" i="3"/>
  <c r="JZS32" i="3"/>
  <c r="JZT32" i="3"/>
  <c r="JZU32" i="3"/>
  <c r="JZV32" i="3"/>
  <c r="JZW32" i="3"/>
  <c r="JZX32" i="3"/>
  <c r="JZY32" i="3"/>
  <c r="JZZ32" i="3"/>
  <c r="KAA32" i="3"/>
  <c r="KAB32" i="3"/>
  <c r="KAC32" i="3"/>
  <c r="KAD32" i="3"/>
  <c r="KAE32" i="3"/>
  <c r="KAF32" i="3"/>
  <c r="KAG32" i="3"/>
  <c r="KAH32" i="3"/>
  <c r="KAI32" i="3"/>
  <c r="KAJ32" i="3"/>
  <c r="KAK32" i="3"/>
  <c r="KAL32" i="3"/>
  <c r="KAM32" i="3"/>
  <c r="KAN32" i="3"/>
  <c r="KAO32" i="3"/>
  <c r="KAP32" i="3"/>
  <c r="KAQ32" i="3"/>
  <c r="KAR32" i="3"/>
  <c r="KAS32" i="3"/>
  <c r="KAT32" i="3"/>
  <c r="KAU32" i="3"/>
  <c r="KAV32" i="3"/>
  <c r="KAW32" i="3"/>
  <c r="KAX32" i="3"/>
  <c r="KAY32" i="3"/>
  <c r="KAZ32" i="3"/>
  <c r="KBA32" i="3"/>
  <c r="KBB32" i="3"/>
  <c r="KBC32" i="3"/>
  <c r="KBD32" i="3"/>
  <c r="KBE32" i="3"/>
  <c r="KBF32" i="3"/>
  <c r="KBG32" i="3"/>
  <c r="KBH32" i="3"/>
  <c r="KBI32" i="3"/>
  <c r="KBJ32" i="3"/>
  <c r="KBK32" i="3"/>
  <c r="KBL32" i="3"/>
  <c r="KBM32" i="3"/>
  <c r="KBN32" i="3"/>
  <c r="KBO32" i="3"/>
  <c r="KBP32" i="3"/>
  <c r="KBQ32" i="3"/>
  <c r="KBR32" i="3"/>
  <c r="KBS32" i="3"/>
  <c r="KBT32" i="3"/>
  <c r="KBU32" i="3"/>
  <c r="KBV32" i="3"/>
  <c r="KBW32" i="3"/>
  <c r="KBX32" i="3"/>
  <c r="KBY32" i="3"/>
  <c r="KBZ32" i="3"/>
  <c r="KCA32" i="3"/>
  <c r="KCB32" i="3"/>
  <c r="KCC32" i="3"/>
  <c r="KCD32" i="3"/>
  <c r="KCE32" i="3"/>
  <c r="KCF32" i="3"/>
  <c r="KCG32" i="3"/>
  <c r="KCH32" i="3"/>
  <c r="KCI32" i="3"/>
  <c r="KCJ32" i="3"/>
  <c r="KCK32" i="3"/>
  <c r="KCL32" i="3"/>
  <c r="KCM32" i="3"/>
  <c r="KCN32" i="3"/>
  <c r="KCO32" i="3"/>
  <c r="KCP32" i="3"/>
  <c r="KCQ32" i="3"/>
  <c r="KCR32" i="3"/>
  <c r="KCS32" i="3"/>
  <c r="KCT32" i="3"/>
  <c r="KCU32" i="3"/>
  <c r="KCV32" i="3"/>
  <c r="KCW32" i="3"/>
  <c r="KCX32" i="3"/>
  <c r="KCY32" i="3"/>
  <c r="KCZ32" i="3"/>
  <c r="KDA32" i="3"/>
  <c r="KDB32" i="3"/>
  <c r="KDC32" i="3"/>
  <c r="KDD32" i="3"/>
  <c r="KDE32" i="3"/>
  <c r="KDF32" i="3"/>
  <c r="KDG32" i="3"/>
  <c r="KDH32" i="3"/>
  <c r="KDI32" i="3"/>
  <c r="KDJ32" i="3"/>
  <c r="KDK32" i="3"/>
  <c r="KDL32" i="3"/>
  <c r="KDM32" i="3"/>
  <c r="KDN32" i="3"/>
  <c r="KDO32" i="3"/>
  <c r="KDP32" i="3"/>
  <c r="KDQ32" i="3"/>
  <c r="KDR32" i="3"/>
  <c r="KDS32" i="3"/>
  <c r="KDT32" i="3"/>
  <c r="KDU32" i="3"/>
  <c r="KDV32" i="3"/>
  <c r="KDW32" i="3"/>
  <c r="KDX32" i="3"/>
  <c r="KDY32" i="3"/>
  <c r="KDZ32" i="3"/>
  <c r="KEA32" i="3"/>
  <c r="KEB32" i="3"/>
  <c r="KEC32" i="3"/>
  <c r="KED32" i="3"/>
  <c r="KEE32" i="3"/>
  <c r="KEF32" i="3"/>
  <c r="KEG32" i="3"/>
  <c r="KEH32" i="3"/>
  <c r="KEI32" i="3"/>
  <c r="KEJ32" i="3"/>
  <c r="KEK32" i="3"/>
  <c r="KEL32" i="3"/>
  <c r="KEM32" i="3"/>
  <c r="KEN32" i="3"/>
  <c r="KEO32" i="3"/>
  <c r="KEP32" i="3"/>
  <c r="KEQ32" i="3"/>
  <c r="KER32" i="3"/>
  <c r="KES32" i="3"/>
  <c r="KET32" i="3"/>
  <c r="KEU32" i="3"/>
  <c r="KEV32" i="3"/>
  <c r="KEW32" i="3"/>
  <c r="KEX32" i="3"/>
  <c r="KEY32" i="3"/>
  <c r="KEZ32" i="3"/>
  <c r="KFA32" i="3"/>
  <c r="KFB32" i="3"/>
  <c r="KFC32" i="3"/>
  <c r="KFD32" i="3"/>
  <c r="KFE32" i="3"/>
  <c r="KFF32" i="3"/>
  <c r="KFG32" i="3"/>
  <c r="KFH32" i="3"/>
  <c r="KFI32" i="3"/>
  <c r="KFJ32" i="3"/>
  <c r="KFK32" i="3"/>
  <c r="KFL32" i="3"/>
  <c r="KFM32" i="3"/>
  <c r="KFN32" i="3"/>
  <c r="KFO32" i="3"/>
  <c r="KFP32" i="3"/>
  <c r="KFQ32" i="3"/>
  <c r="KFR32" i="3"/>
  <c r="KFS32" i="3"/>
  <c r="KFT32" i="3"/>
  <c r="KFU32" i="3"/>
  <c r="KFV32" i="3"/>
  <c r="KFW32" i="3"/>
  <c r="KFX32" i="3"/>
  <c r="KFY32" i="3"/>
  <c r="KFZ32" i="3"/>
  <c r="KGA32" i="3"/>
  <c r="KGB32" i="3"/>
  <c r="KGC32" i="3"/>
  <c r="KGD32" i="3"/>
  <c r="KGE32" i="3"/>
  <c r="KGF32" i="3"/>
  <c r="KGG32" i="3"/>
  <c r="KGH32" i="3"/>
  <c r="KGI32" i="3"/>
  <c r="KGJ32" i="3"/>
  <c r="KGK32" i="3"/>
  <c r="KGL32" i="3"/>
  <c r="KGM32" i="3"/>
  <c r="KGN32" i="3"/>
  <c r="KGO32" i="3"/>
  <c r="KGP32" i="3"/>
  <c r="KGQ32" i="3"/>
  <c r="KGR32" i="3"/>
  <c r="KGS32" i="3"/>
  <c r="KGT32" i="3"/>
  <c r="KGU32" i="3"/>
  <c r="KGV32" i="3"/>
  <c r="KGW32" i="3"/>
  <c r="KGX32" i="3"/>
  <c r="KGY32" i="3"/>
  <c r="KGZ32" i="3"/>
  <c r="KHA32" i="3"/>
  <c r="KHB32" i="3"/>
  <c r="KHC32" i="3"/>
  <c r="KHD32" i="3"/>
  <c r="KHE32" i="3"/>
  <c r="KHF32" i="3"/>
  <c r="KHG32" i="3"/>
  <c r="KHH32" i="3"/>
  <c r="KHI32" i="3"/>
  <c r="KHJ32" i="3"/>
  <c r="KHK32" i="3"/>
  <c r="KHL32" i="3"/>
  <c r="KHM32" i="3"/>
  <c r="KHN32" i="3"/>
  <c r="KHO32" i="3"/>
  <c r="KHP32" i="3"/>
  <c r="KHQ32" i="3"/>
  <c r="KHR32" i="3"/>
  <c r="KHS32" i="3"/>
  <c r="KHT32" i="3"/>
  <c r="KHU32" i="3"/>
  <c r="KHV32" i="3"/>
  <c r="KHW32" i="3"/>
  <c r="KHX32" i="3"/>
  <c r="KHY32" i="3"/>
  <c r="KHZ32" i="3"/>
  <c r="KIA32" i="3"/>
  <c r="KIB32" i="3"/>
  <c r="KIC32" i="3"/>
  <c r="KID32" i="3"/>
  <c r="KIE32" i="3"/>
  <c r="KIF32" i="3"/>
  <c r="KIG32" i="3"/>
  <c r="KIH32" i="3"/>
  <c r="KII32" i="3"/>
  <c r="KIJ32" i="3"/>
  <c r="KIK32" i="3"/>
  <c r="KIL32" i="3"/>
  <c r="KIM32" i="3"/>
  <c r="KIN32" i="3"/>
  <c r="KIO32" i="3"/>
  <c r="KIP32" i="3"/>
  <c r="KIQ32" i="3"/>
  <c r="KIR32" i="3"/>
  <c r="KIS32" i="3"/>
  <c r="KIT32" i="3"/>
  <c r="KIU32" i="3"/>
  <c r="KIV32" i="3"/>
  <c r="KIW32" i="3"/>
  <c r="KIX32" i="3"/>
  <c r="KIY32" i="3"/>
  <c r="KIZ32" i="3"/>
  <c r="KJA32" i="3"/>
  <c r="KJB32" i="3"/>
  <c r="KJC32" i="3"/>
  <c r="KJD32" i="3"/>
  <c r="KJE32" i="3"/>
  <c r="KJF32" i="3"/>
  <c r="KJG32" i="3"/>
  <c r="KJH32" i="3"/>
  <c r="KJI32" i="3"/>
  <c r="KJJ32" i="3"/>
  <c r="KJK32" i="3"/>
  <c r="KJL32" i="3"/>
  <c r="KJM32" i="3"/>
  <c r="KJN32" i="3"/>
  <c r="KJO32" i="3"/>
  <c r="KJP32" i="3"/>
  <c r="KJQ32" i="3"/>
  <c r="KJR32" i="3"/>
  <c r="KJS32" i="3"/>
  <c r="KJT32" i="3"/>
  <c r="KJU32" i="3"/>
  <c r="KJV32" i="3"/>
  <c r="KJW32" i="3"/>
  <c r="KJX32" i="3"/>
  <c r="KJY32" i="3"/>
  <c r="KJZ32" i="3"/>
  <c r="KKA32" i="3"/>
  <c r="KKB32" i="3"/>
  <c r="KKC32" i="3"/>
  <c r="KKD32" i="3"/>
  <c r="KKE32" i="3"/>
  <c r="KKF32" i="3"/>
  <c r="KKG32" i="3"/>
  <c r="KKH32" i="3"/>
  <c r="KKI32" i="3"/>
  <c r="KKJ32" i="3"/>
  <c r="KKK32" i="3"/>
  <c r="KKL32" i="3"/>
  <c r="KKM32" i="3"/>
  <c r="KKN32" i="3"/>
  <c r="KKO32" i="3"/>
  <c r="KKP32" i="3"/>
  <c r="KKQ32" i="3"/>
  <c r="KKR32" i="3"/>
  <c r="KKS32" i="3"/>
  <c r="KKT32" i="3"/>
  <c r="KKU32" i="3"/>
  <c r="KKV32" i="3"/>
  <c r="KKW32" i="3"/>
  <c r="KKX32" i="3"/>
  <c r="KKY32" i="3"/>
  <c r="KKZ32" i="3"/>
  <c r="KLA32" i="3"/>
  <c r="KLB32" i="3"/>
  <c r="KLC32" i="3"/>
  <c r="KLD32" i="3"/>
  <c r="KLE32" i="3"/>
  <c r="KLF32" i="3"/>
  <c r="KLG32" i="3"/>
  <c r="KLH32" i="3"/>
  <c r="KLI32" i="3"/>
  <c r="KLJ32" i="3"/>
  <c r="KLK32" i="3"/>
  <c r="KLL32" i="3"/>
  <c r="KLM32" i="3"/>
  <c r="KLN32" i="3"/>
  <c r="KLO32" i="3"/>
  <c r="KLP32" i="3"/>
  <c r="KLQ32" i="3"/>
  <c r="KLR32" i="3"/>
  <c r="KLS32" i="3"/>
  <c r="KLT32" i="3"/>
  <c r="KLU32" i="3"/>
  <c r="KLV32" i="3"/>
  <c r="KLW32" i="3"/>
  <c r="KLX32" i="3"/>
  <c r="KLY32" i="3"/>
  <c r="KLZ32" i="3"/>
  <c r="KMA32" i="3"/>
  <c r="KMB32" i="3"/>
  <c r="KMC32" i="3"/>
  <c r="KMD32" i="3"/>
  <c r="KME32" i="3"/>
  <c r="KMF32" i="3"/>
  <c r="KMG32" i="3"/>
  <c r="KMH32" i="3"/>
  <c r="KMI32" i="3"/>
  <c r="KMJ32" i="3"/>
  <c r="KMK32" i="3"/>
  <c r="KML32" i="3"/>
  <c r="KMM32" i="3"/>
  <c r="KMN32" i="3"/>
  <c r="KMO32" i="3"/>
  <c r="KMP32" i="3"/>
  <c r="KMQ32" i="3"/>
  <c r="KMR32" i="3"/>
  <c r="KMS32" i="3"/>
  <c r="KMT32" i="3"/>
  <c r="KMU32" i="3"/>
  <c r="KMV32" i="3"/>
  <c r="KMW32" i="3"/>
  <c r="KMX32" i="3"/>
  <c r="KMY32" i="3"/>
  <c r="KMZ32" i="3"/>
  <c r="KNA32" i="3"/>
  <c r="KNB32" i="3"/>
  <c r="KNC32" i="3"/>
  <c r="KND32" i="3"/>
  <c r="KNE32" i="3"/>
  <c r="KNF32" i="3"/>
  <c r="KNG32" i="3"/>
  <c r="KNH32" i="3"/>
  <c r="KNI32" i="3"/>
  <c r="KNJ32" i="3"/>
  <c r="KNK32" i="3"/>
  <c r="KNL32" i="3"/>
  <c r="KNM32" i="3"/>
  <c r="KNN32" i="3"/>
  <c r="KNO32" i="3"/>
  <c r="KNP32" i="3"/>
  <c r="KNQ32" i="3"/>
  <c r="KNR32" i="3"/>
  <c r="KNS32" i="3"/>
  <c r="KNT32" i="3"/>
  <c r="KNU32" i="3"/>
  <c r="KNV32" i="3"/>
  <c r="KNW32" i="3"/>
  <c r="KNX32" i="3"/>
  <c r="KNY32" i="3"/>
  <c r="KNZ32" i="3"/>
  <c r="KOA32" i="3"/>
  <c r="KOB32" i="3"/>
  <c r="KOC32" i="3"/>
  <c r="KOD32" i="3"/>
  <c r="KOE32" i="3"/>
  <c r="KOF32" i="3"/>
  <c r="KOG32" i="3"/>
  <c r="KOH32" i="3"/>
  <c r="KOI32" i="3"/>
  <c r="KOJ32" i="3"/>
  <c r="KOK32" i="3"/>
  <c r="KOL32" i="3"/>
  <c r="KOM32" i="3"/>
  <c r="KON32" i="3"/>
  <c r="KOO32" i="3"/>
  <c r="KOP32" i="3"/>
  <c r="KOQ32" i="3"/>
  <c r="KOR32" i="3"/>
  <c r="KOS32" i="3"/>
  <c r="KOT32" i="3"/>
  <c r="KOU32" i="3"/>
  <c r="KOV32" i="3"/>
  <c r="KOW32" i="3"/>
  <c r="KOX32" i="3"/>
  <c r="KOY32" i="3"/>
  <c r="KOZ32" i="3"/>
  <c r="KPA32" i="3"/>
  <c r="KPB32" i="3"/>
  <c r="KPC32" i="3"/>
  <c r="KPD32" i="3"/>
  <c r="KPE32" i="3"/>
  <c r="KPF32" i="3"/>
  <c r="KPG32" i="3"/>
  <c r="KPH32" i="3"/>
  <c r="KPI32" i="3"/>
  <c r="KPJ32" i="3"/>
  <c r="KPK32" i="3"/>
  <c r="KPL32" i="3"/>
  <c r="KPM32" i="3"/>
  <c r="KPN32" i="3"/>
  <c r="KPO32" i="3"/>
  <c r="KPP32" i="3"/>
  <c r="KPQ32" i="3"/>
  <c r="KPR32" i="3"/>
  <c r="KPS32" i="3"/>
  <c r="KPT32" i="3"/>
  <c r="KPU32" i="3"/>
  <c r="KPV32" i="3"/>
  <c r="KPW32" i="3"/>
  <c r="KPX32" i="3"/>
  <c r="KPY32" i="3"/>
  <c r="KPZ32" i="3"/>
  <c r="KQA32" i="3"/>
  <c r="KQB32" i="3"/>
  <c r="KQC32" i="3"/>
  <c r="KQD32" i="3"/>
  <c r="KQE32" i="3"/>
  <c r="KQF32" i="3"/>
  <c r="KQG32" i="3"/>
  <c r="KQH32" i="3"/>
  <c r="KQI32" i="3"/>
  <c r="KQJ32" i="3"/>
  <c r="KQK32" i="3"/>
  <c r="KQL32" i="3"/>
  <c r="KQM32" i="3"/>
  <c r="KQN32" i="3"/>
  <c r="KQO32" i="3"/>
  <c r="KQP32" i="3"/>
  <c r="KQQ32" i="3"/>
  <c r="KQR32" i="3"/>
  <c r="KQS32" i="3"/>
  <c r="KQT32" i="3"/>
  <c r="KQU32" i="3"/>
  <c r="KQV32" i="3"/>
  <c r="KQW32" i="3"/>
  <c r="KQX32" i="3"/>
  <c r="KQY32" i="3"/>
  <c r="KQZ32" i="3"/>
  <c r="KRA32" i="3"/>
  <c r="KRB32" i="3"/>
  <c r="KRC32" i="3"/>
  <c r="KRD32" i="3"/>
  <c r="KRE32" i="3"/>
  <c r="KRF32" i="3"/>
  <c r="KRG32" i="3"/>
  <c r="KRH32" i="3"/>
  <c r="KRI32" i="3"/>
  <c r="KRJ32" i="3"/>
  <c r="KRK32" i="3"/>
  <c r="KRL32" i="3"/>
  <c r="KRM32" i="3"/>
  <c r="KRN32" i="3"/>
  <c r="KRO32" i="3"/>
  <c r="KRP32" i="3"/>
  <c r="KRQ32" i="3"/>
  <c r="KRR32" i="3"/>
  <c r="KRS32" i="3"/>
  <c r="KRT32" i="3"/>
  <c r="KRU32" i="3"/>
  <c r="KRV32" i="3"/>
  <c r="KRW32" i="3"/>
  <c r="KRX32" i="3"/>
  <c r="KRY32" i="3"/>
  <c r="KRZ32" i="3"/>
  <c r="KSA32" i="3"/>
  <c r="KSB32" i="3"/>
  <c r="KSC32" i="3"/>
  <c r="KSD32" i="3"/>
  <c r="KSE32" i="3"/>
  <c r="KSF32" i="3"/>
  <c r="KSG32" i="3"/>
  <c r="KSH32" i="3"/>
  <c r="KSI32" i="3"/>
  <c r="KSJ32" i="3"/>
  <c r="KSK32" i="3"/>
  <c r="KSL32" i="3"/>
  <c r="KSM32" i="3"/>
  <c r="KSN32" i="3"/>
  <c r="KSO32" i="3"/>
  <c r="KSP32" i="3"/>
  <c r="KSQ32" i="3"/>
  <c r="KSR32" i="3"/>
  <c r="KSS32" i="3"/>
  <c r="KST32" i="3"/>
  <c r="KSU32" i="3"/>
  <c r="KSV32" i="3"/>
  <c r="KSW32" i="3"/>
  <c r="KSX32" i="3"/>
  <c r="KSY32" i="3"/>
  <c r="KSZ32" i="3"/>
  <c r="KTA32" i="3"/>
  <c r="KTB32" i="3"/>
  <c r="KTC32" i="3"/>
  <c r="KTD32" i="3"/>
  <c r="KTE32" i="3"/>
  <c r="KTF32" i="3"/>
  <c r="KTG32" i="3"/>
  <c r="KTH32" i="3"/>
  <c r="KTI32" i="3"/>
  <c r="KTJ32" i="3"/>
  <c r="KTK32" i="3"/>
  <c r="KTL32" i="3"/>
  <c r="KTM32" i="3"/>
  <c r="KTN32" i="3"/>
  <c r="KTO32" i="3"/>
  <c r="KTP32" i="3"/>
  <c r="KTQ32" i="3"/>
  <c r="KTR32" i="3"/>
  <c r="KTS32" i="3"/>
  <c r="KTT32" i="3"/>
  <c r="KTU32" i="3"/>
  <c r="KTV32" i="3"/>
  <c r="KTW32" i="3"/>
  <c r="KTX32" i="3"/>
  <c r="KTY32" i="3"/>
  <c r="KTZ32" i="3"/>
  <c r="KUA32" i="3"/>
  <c r="KUB32" i="3"/>
  <c r="KUC32" i="3"/>
  <c r="KUD32" i="3"/>
  <c r="KUE32" i="3"/>
  <c r="KUF32" i="3"/>
  <c r="KUG32" i="3"/>
  <c r="KUH32" i="3"/>
  <c r="KUI32" i="3"/>
  <c r="KUJ32" i="3"/>
  <c r="KUK32" i="3"/>
  <c r="KUL32" i="3"/>
  <c r="KUM32" i="3"/>
  <c r="KUN32" i="3"/>
  <c r="KUO32" i="3"/>
  <c r="KUP32" i="3"/>
  <c r="KUQ32" i="3"/>
  <c r="KUR32" i="3"/>
  <c r="KUS32" i="3"/>
  <c r="KUT32" i="3"/>
  <c r="KUU32" i="3"/>
  <c r="KUV32" i="3"/>
  <c r="KUW32" i="3"/>
  <c r="KUX32" i="3"/>
  <c r="KUY32" i="3"/>
  <c r="KUZ32" i="3"/>
  <c r="KVA32" i="3"/>
  <c r="KVB32" i="3"/>
  <c r="KVC32" i="3"/>
  <c r="KVD32" i="3"/>
  <c r="KVE32" i="3"/>
  <c r="KVF32" i="3"/>
  <c r="KVG32" i="3"/>
  <c r="KVH32" i="3"/>
  <c r="KVI32" i="3"/>
  <c r="KVJ32" i="3"/>
  <c r="KVK32" i="3"/>
  <c r="KVL32" i="3"/>
  <c r="KVM32" i="3"/>
  <c r="KVN32" i="3"/>
  <c r="KVO32" i="3"/>
  <c r="KVP32" i="3"/>
  <c r="KVQ32" i="3"/>
  <c r="KVR32" i="3"/>
  <c r="KVS32" i="3"/>
  <c r="KVT32" i="3"/>
  <c r="KVU32" i="3"/>
  <c r="KVV32" i="3"/>
  <c r="KVW32" i="3"/>
  <c r="KVX32" i="3"/>
  <c r="KVY32" i="3"/>
  <c r="KVZ32" i="3"/>
  <c r="KWA32" i="3"/>
  <c r="KWB32" i="3"/>
  <c r="KWC32" i="3"/>
  <c r="KWD32" i="3"/>
  <c r="KWE32" i="3"/>
  <c r="KWF32" i="3"/>
  <c r="KWG32" i="3"/>
  <c r="KWH32" i="3"/>
  <c r="KWI32" i="3"/>
  <c r="KWJ32" i="3"/>
  <c r="KWK32" i="3"/>
  <c r="KWL32" i="3"/>
  <c r="KWM32" i="3"/>
  <c r="KWN32" i="3"/>
  <c r="KWO32" i="3"/>
  <c r="KWP32" i="3"/>
  <c r="KWQ32" i="3"/>
  <c r="KWR32" i="3"/>
  <c r="KWS32" i="3"/>
  <c r="KWT32" i="3"/>
  <c r="KWU32" i="3"/>
  <c r="KWV32" i="3"/>
  <c r="KWW32" i="3"/>
  <c r="KWX32" i="3"/>
  <c r="KWY32" i="3"/>
  <c r="KWZ32" i="3"/>
  <c r="KXA32" i="3"/>
  <c r="KXB32" i="3"/>
  <c r="KXC32" i="3"/>
  <c r="KXD32" i="3"/>
  <c r="KXE32" i="3"/>
  <c r="KXF32" i="3"/>
  <c r="KXG32" i="3"/>
  <c r="KXH32" i="3"/>
  <c r="KXI32" i="3"/>
  <c r="KXJ32" i="3"/>
  <c r="KXK32" i="3"/>
  <c r="KXL32" i="3"/>
  <c r="KXM32" i="3"/>
  <c r="KXN32" i="3"/>
  <c r="KXO32" i="3"/>
  <c r="KXP32" i="3"/>
  <c r="KXQ32" i="3"/>
  <c r="KXR32" i="3"/>
  <c r="KXS32" i="3"/>
  <c r="KXT32" i="3"/>
  <c r="KXU32" i="3"/>
  <c r="KXV32" i="3"/>
  <c r="KXW32" i="3"/>
  <c r="KXX32" i="3"/>
  <c r="KXY32" i="3"/>
  <c r="KXZ32" i="3"/>
  <c r="KYA32" i="3"/>
  <c r="KYB32" i="3"/>
  <c r="KYC32" i="3"/>
  <c r="KYD32" i="3"/>
  <c r="KYE32" i="3"/>
  <c r="KYF32" i="3"/>
  <c r="KYG32" i="3"/>
  <c r="KYH32" i="3"/>
  <c r="KYI32" i="3"/>
  <c r="KYJ32" i="3"/>
  <c r="KYK32" i="3"/>
  <c r="KYL32" i="3"/>
  <c r="KYM32" i="3"/>
  <c r="KYN32" i="3"/>
  <c r="KYO32" i="3"/>
  <c r="KYP32" i="3"/>
  <c r="KYQ32" i="3"/>
  <c r="KYR32" i="3"/>
  <c r="KYS32" i="3"/>
  <c r="KYT32" i="3"/>
  <c r="KYU32" i="3"/>
  <c r="KYV32" i="3"/>
  <c r="KYW32" i="3"/>
  <c r="KYX32" i="3"/>
  <c r="KYY32" i="3"/>
  <c r="KYZ32" i="3"/>
  <c r="KZA32" i="3"/>
  <c r="KZB32" i="3"/>
  <c r="KZC32" i="3"/>
  <c r="KZD32" i="3"/>
  <c r="KZE32" i="3"/>
  <c r="KZF32" i="3"/>
  <c r="KZG32" i="3"/>
  <c r="KZH32" i="3"/>
  <c r="KZI32" i="3"/>
  <c r="KZJ32" i="3"/>
  <c r="KZK32" i="3"/>
  <c r="KZL32" i="3"/>
  <c r="KZM32" i="3"/>
  <c r="KZN32" i="3"/>
  <c r="KZO32" i="3"/>
  <c r="KZP32" i="3"/>
  <c r="KZQ32" i="3"/>
  <c r="KZR32" i="3"/>
  <c r="KZS32" i="3"/>
  <c r="KZT32" i="3"/>
  <c r="KZU32" i="3"/>
  <c r="KZV32" i="3"/>
  <c r="KZW32" i="3"/>
  <c r="KZX32" i="3"/>
  <c r="KZY32" i="3"/>
  <c r="KZZ32" i="3"/>
  <c r="LAA32" i="3"/>
  <c r="LAB32" i="3"/>
  <c r="LAC32" i="3"/>
  <c r="LAD32" i="3"/>
  <c r="LAE32" i="3"/>
  <c r="LAF32" i="3"/>
  <c r="LAG32" i="3"/>
  <c r="LAH32" i="3"/>
  <c r="LAI32" i="3"/>
  <c r="LAJ32" i="3"/>
  <c r="LAK32" i="3"/>
  <c r="LAL32" i="3"/>
  <c r="LAM32" i="3"/>
  <c r="LAN32" i="3"/>
  <c r="LAO32" i="3"/>
  <c r="LAP32" i="3"/>
  <c r="LAQ32" i="3"/>
  <c r="LAR32" i="3"/>
  <c r="LAS32" i="3"/>
  <c r="LAT32" i="3"/>
  <c r="LAU32" i="3"/>
  <c r="LAV32" i="3"/>
  <c r="LAW32" i="3"/>
  <c r="LAX32" i="3"/>
  <c r="LAY32" i="3"/>
  <c r="LAZ32" i="3"/>
  <c r="LBA32" i="3"/>
  <c r="LBB32" i="3"/>
  <c r="LBC32" i="3"/>
  <c r="LBD32" i="3"/>
  <c r="LBE32" i="3"/>
  <c r="LBF32" i="3"/>
  <c r="LBG32" i="3"/>
  <c r="LBH32" i="3"/>
  <c r="LBI32" i="3"/>
  <c r="LBJ32" i="3"/>
  <c r="LBK32" i="3"/>
  <c r="LBL32" i="3"/>
  <c r="LBM32" i="3"/>
  <c r="LBN32" i="3"/>
  <c r="LBO32" i="3"/>
  <c r="LBP32" i="3"/>
  <c r="LBQ32" i="3"/>
  <c r="LBR32" i="3"/>
  <c r="LBS32" i="3"/>
  <c r="LBT32" i="3"/>
  <c r="LBU32" i="3"/>
  <c r="LBV32" i="3"/>
  <c r="LBW32" i="3"/>
  <c r="LBX32" i="3"/>
  <c r="LBY32" i="3"/>
  <c r="LBZ32" i="3"/>
  <c r="LCA32" i="3"/>
  <c r="LCB32" i="3"/>
  <c r="LCC32" i="3"/>
  <c r="LCD32" i="3"/>
  <c r="LCE32" i="3"/>
  <c r="LCF32" i="3"/>
  <c r="LCG32" i="3"/>
  <c r="LCH32" i="3"/>
  <c r="LCI32" i="3"/>
  <c r="LCJ32" i="3"/>
  <c r="LCK32" i="3"/>
  <c r="LCL32" i="3"/>
  <c r="LCM32" i="3"/>
  <c r="LCN32" i="3"/>
  <c r="LCO32" i="3"/>
  <c r="LCP32" i="3"/>
  <c r="LCQ32" i="3"/>
  <c r="LCR32" i="3"/>
  <c r="LCS32" i="3"/>
  <c r="LCT32" i="3"/>
  <c r="LCU32" i="3"/>
  <c r="LCV32" i="3"/>
  <c r="LCW32" i="3"/>
  <c r="LCX32" i="3"/>
  <c r="LCY32" i="3"/>
  <c r="LCZ32" i="3"/>
  <c r="LDA32" i="3"/>
  <c r="LDB32" i="3"/>
  <c r="LDC32" i="3"/>
  <c r="LDD32" i="3"/>
  <c r="LDE32" i="3"/>
  <c r="LDF32" i="3"/>
  <c r="LDG32" i="3"/>
  <c r="LDH32" i="3"/>
  <c r="LDI32" i="3"/>
  <c r="LDJ32" i="3"/>
  <c r="LDK32" i="3"/>
  <c r="LDL32" i="3"/>
  <c r="LDM32" i="3"/>
  <c r="LDN32" i="3"/>
  <c r="LDO32" i="3"/>
  <c r="LDP32" i="3"/>
  <c r="LDQ32" i="3"/>
  <c r="LDR32" i="3"/>
  <c r="LDS32" i="3"/>
  <c r="LDT32" i="3"/>
  <c r="LDU32" i="3"/>
  <c r="LDV32" i="3"/>
  <c r="LDW32" i="3"/>
  <c r="LDX32" i="3"/>
  <c r="LDY32" i="3"/>
  <c r="LDZ32" i="3"/>
  <c r="LEA32" i="3"/>
  <c r="LEB32" i="3"/>
  <c r="LEC32" i="3"/>
  <c r="LED32" i="3"/>
  <c r="LEE32" i="3"/>
  <c r="LEF32" i="3"/>
  <c r="LEG32" i="3"/>
  <c r="LEH32" i="3"/>
  <c r="LEI32" i="3"/>
  <c r="LEJ32" i="3"/>
  <c r="LEK32" i="3"/>
  <c r="LEL32" i="3"/>
  <c r="LEM32" i="3"/>
  <c r="LEN32" i="3"/>
  <c r="LEO32" i="3"/>
  <c r="LEP32" i="3"/>
  <c r="LEQ32" i="3"/>
  <c r="LER32" i="3"/>
  <c r="LES32" i="3"/>
  <c r="LET32" i="3"/>
  <c r="LEU32" i="3"/>
  <c r="LEV32" i="3"/>
  <c r="LEW32" i="3"/>
  <c r="LEX32" i="3"/>
  <c r="LEY32" i="3"/>
  <c r="LEZ32" i="3"/>
  <c r="LFA32" i="3"/>
  <c r="LFB32" i="3"/>
  <c r="LFC32" i="3"/>
  <c r="LFD32" i="3"/>
  <c r="LFE32" i="3"/>
  <c r="LFF32" i="3"/>
  <c r="LFG32" i="3"/>
  <c r="LFH32" i="3"/>
  <c r="LFI32" i="3"/>
  <c r="LFJ32" i="3"/>
  <c r="LFK32" i="3"/>
  <c r="LFL32" i="3"/>
  <c r="LFM32" i="3"/>
  <c r="LFN32" i="3"/>
  <c r="LFO32" i="3"/>
  <c r="LFP32" i="3"/>
  <c r="LFQ32" i="3"/>
  <c r="LFR32" i="3"/>
  <c r="LFS32" i="3"/>
  <c r="LFT32" i="3"/>
  <c r="LFU32" i="3"/>
  <c r="LFV32" i="3"/>
  <c r="LFW32" i="3"/>
  <c r="LFX32" i="3"/>
  <c r="LFY32" i="3"/>
  <c r="LFZ32" i="3"/>
  <c r="LGA32" i="3"/>
  <c r="LGB32" i="3"/>
  <c r="LGC32" i="3"/>
  <c r="LGD32" i="3"/>
  <c r="LGE32" i="3"/>
  <c r="LGF32" i="3"/>
  <c r="LGG32" i="3"/>
  <c r="LGH32" i="3"/>
  <c r="LGI32" i="3"/>
  <c r="LGJ32" i="3"/>
  <c r="LGK32" i="3"/>
  <c r="LGL32" i="3"/>
  <c r="LGM32" i="3"/>
  <c r="LGN32" i="3"/>
  <c r="LGO32" i="3"/>
  <c r="LGP32" i="3"/>
  <c r="LGQ32" i="3"/>
  <c r="LGR32" i="3"/>
  <c r="LGS32" i="3"/>
  <c r="LGT32" i="3"/>
  <c r="LGU32" i="3"/>
  <c r="LGV32" i="3"/>
  <c r="LGW32" i="3"/>
  <c r="LGX32" i="3"/>
  <c r="LGY32" i="3"/>
  <c r="LGZ32" i="3"/>
  <c r="LHA32" i="3"/>
  <c r="LHB32" i="3"/>
  <c r="LHC32" i="3"/>
  <c r="LHD32" i="3"/>
  <c r="LHE32" i="3"/>
  <c r="LHF32" i="3"/>
  <c r="LHG32" i="3"/>
  <c r="LHH32" i="3"/>
  <c r="LHI32" i="3"/>
  <c r="LHJ32" i="3"/>
  <c r="LHK32" i="3"/>
  <c r="LHL32" i="3"/>
  <c r="LHM32" i="3"/>
  <c r="LHN32" i="3"/>
  <c r="LHO32" i="3"/>
  <c r="LHP32" i="3"/>
  <c r="LHQ32" i="3"/>
  <c r="LHR32" i="3"/>
  <c r="LHS32" i="3"/>
  <c r="LHT32" i="3"/>
  <c r="LHU32" i="3"/>
  <c r="LHV32" i="3"/>
  <c r="LHW32" i="3"/>
  <c r="LHX32" i="3"/>
  <c r="LHY32" i="3"/>
  <c r="LHZ32" i="3"/>
  <c r="LIA32" i="3"/>
  <c r="LIB32" i="3"/>
  <c r="LIC32" i="3"/>
  <c r="LID32" i="3"/>
  <c r="LIE32" i="3"/>
  <c r="LIF32" i="3"/>
  <c r="LIG32" i="3"/>
  <c r="LIH32" i="3"/>
  <c r="LII32" i="3"/>
  <c r="LIJ32" i="3"/>
  <c r="LIK32" i="3"/>
  <c r="LIL32" i="3"/>
  <c r="LIM32" i="3"/>
  <c r="LIN32" i="3"/>
  <c r="LIO32" i="3"/>
  <c r="LIP32" i="3"/>
  <c r="LIQ32" i="3"/>
  <c r="LIR32" i="3"/>
  <c r="LIS32" i="3"/>
  <c r="LIT32" i="3"/>
  <c r="LIU32" i="3"/>
  <c r="LIV32" i="3"/>
  <c r="LIW32" i="3"/>
  <c r="LIX32" i="3"/>
  <c r="LIY32" i="3"/>
  <c r="LIZ32" i="3"/>
  <c r="LJA32" i="3"/>
  <c r="LJB32" i="3"/>
  <c r="LJC32" i="3"/>
  <c r="LJD32" i="3"/>
  <c r="LJE32" i="3"/>
  <c r="LJF32" i="3"/>
  <c r="LJG32" i="3"/>
  <c r="LJH32" i="3"/>
  <c r="LJI32" i="3"/>
  <c r="LJJ32" i="3"/>
  <c r="LJK32" i="3"/>
  <c r="LJL32" i="3"/>
  <c r="LJM32" i="3"/>
  <c r="LJN32" i="3"/>
  <c r="LJO32" i="3"/>
  <c r="LJP32" i="3"/>
  <c r="LJQ32" i="3"/>
  <c r="LJR32" i="3"/>
  <c r="LJS32" i="3"/>
  <c r="LJT32" i="3"/>
  <c r="LJU32" i="3"/>
  <c r="LJV32" i="3"/>
  <c r="LJW32" i="3"/>
  <c r="LJX32" i="3"/>
  <c r="LJY32" i="3"/>
  <c r="LJZ32" i="3"/>
  <c r="LKA32" i="3"/>
  <c r="LKB32" i="3"/>
  <c r="LKC32" i="3"/>
  <c r="LKD32" i="3"/>
  <c r="LKE32" i="3"/>
  <c r="LKF32" i="3"/>
  <c r="LKG32" i="3"/>
  <c r="LKH32" i="3"/>
  <c r="LKI32" i="3"/>
  <c r="LKJ32" i="3"/>
  <c r="LKK32" i="3"/>
  <c r="LKL32" i="3"/>
  <c r="LKM32" i="3"/>
  <c r="LKN32" i="3"/>
  <c r="LKO32" i="3"/>
  <c r="LKP32" i="3"/>
  <c r="LKQ32" i="3"/>
  <c r="LKR32" i="3"/>
  <c r="LKS32" i="3"/>
  <c r="LKT32" i="3"/>
  <c r="LKU32" i="3"/>
  <c r="LKV32" i="3"/>
  <c r="LKW32" i="3"/>
  <c r="LKX32" i="3"/>
  <c r="LKY32" i="3"/>
  <c r="LKZ32" i="3"/>
  <c r="LLA32" i="3"/>
  <c r="LLB32" i="3"/>
  <c r="LLC32" i="3"/>
  <c r="LLD32" i="3"/>
  <c r="LLE32" i="3"/>
  <c r="LLF32" i="3"/>
  <c r="LLG32" i="3"/>
  <c r="LLH32" i="3"/>
  <c r="LLI32" i="3"/>
  <c r="LLJ32" i="3"/>
  <c r="LLK32" i="3"/>
  <c r="LLL32" i="3"/>
  <c r="LLM32" i="3"/>
  <c r="LLN32" i="3"/>
  <c r="LLO32" i="3"/>
  <c r="LLP32" i="3"/>
  <c r="LLQ32" i="3"/>
  <c r="LLR32" i="3"/>
  <c r="LLS32" i="3"/>
  <c r="LLT32" i="3"/>
  <c r="LLU32" i="3"/>
  <c r="LLV32" i="3"/>
  <c r="LLW32" i="3"/>
  <c r="LLX32" i="3"/>
  <c r="LLY32" i="3"/>
  <c r="LLZ32" i="3"/>
  <c r="LMA32" i="3"/>
  <c r="LMB32" i="3"/>
  <c r="LMC32" i="3"/>
  <c r="LMD32" i="3"/>
  <c r="LME32" i="3"/>
  <c r="LMF32" i="3"/>
  <c r="LMG32" i="3"/>
  <c r="LMH32" i="3"/>
  <c r="LMI32" i="3"/>
  <c r="LMJ32" i="3"/>
  <c r="LMK32" i="3"/>
  <c r="LML32" i="3"/>
  <c r="LMM32" i="3"/>
  <c r="LMN32" i="3"/>
  <c r="LMO32" i="3"/>
  <c r="LMP32" i="3"/>
  <c r="LMQ32" i="3"/>
  <c r="LMR32" i="3"/>
  <c r="LMS32" i="3"/>
  <c r="LMT32" i="3"/>
  <c r="LMU32" i="3"/>
  <c r="LMV32" i="3"/>
  <c r="LMW32" i="3"/>
  <c r="LMX32" i="3"/>
  <c r="LMY32" i="3"/>
  <c r="LMZ32" i="3"/>
  <c r="LNA32" i="3"/>
  <c r="LNB32" i="3"/>
  <c r="LNC32" i="3"/>
  <c r="LND32" i="3"/>
  <c r="LNE32" i="3"/>
  <c r="LNF32" i="3"/>
  <c r="LNG32" i="3"/>
  <c r="LNH32" i="3"/>
  <c r="LNI32" i="3"/>
  <c r="LNJ32" i="3"/>
  <c r="LNK32" i="3"/>
  <c r="LNL32" i="3"/>
  <c r="LNM32" i="3"/>
  <c r="LNN32" i="3"/>
  <c r="LNO32" i="3"/>
  <c r="LNP32" i="3"/>
  <c r="LNQ32" i="3"/>
  <c r="LNR32" i="3"/>
  <c r="LNS32" i="3"/>
  <c r="LNT32" i="3"/>
  <c r="LNU32" i="3"/>
  <c r="LNV32" i="3"/>
  <c r="LNW32" i="3"/>
  <c r="LNX32" i="3"/>
  <c r="LNY32" i="3"/>
  <c r="LNZ32" i="3"/>
  <c r="LOA32" i="3"/>
  <c r="LOB32" i="3"/>
  <c r="LOC32" i="3"/>
  <c r="LOD32" i="3"/>
  <c r="LOE32" i="3"/>
  <c r="LOF32" i="3"/>
  <c r="LOG32" i="3"/>
  <c r="LOH32" i="3"/>
  <c r="LOI32" i="3"/>
  <c r="LOJ32" i="3"/>
  <c r="LOK32" i="3"/>
  <c r="LOL32" i="3"/>
  <c r="LOM32" i="3"/>
  <c r="LON32" i="3"/>
  <c r="LOO32" i="3"/>
  <c r="LOP32" i="3"/>
  <c r="LOQ32" i="3"/>
  <c r="LOR32" i="3"/>
  <c r="LOS32" i="3"/>
  <c r="LOT32" i="3"/>
  <c r="LOU32" i="3"/>
  <c r="LOV32" i="3"/>
  <c r="LOW32" i="3"/>
  <c r="LOX32" i="3"/>
  <c r="LOY32" i="3"/>
  <c r="LOZ32" i="3"/>
  <c r="LPA32" i="3"/>
  <c r="LPB32" i="3"/>
  <c r="LPC32" i="3"/>
  <c r="LPD32" i="3"/>
  <c r="LPE32" i="3"/>
  <c r="LPF32" i="3"/>
  <c r="LPG32" i="3"/>
  <c r="LPH32" i="3"/>
  <c r="LPI32" i="3"/>
  <c r="LPJ32" i="3"/>
  <c r="LPK32" i="3"/>
  <c r="LPL32" i="3"/>
  <c r="LPM32" i="3"/>
  <c r="LPN32" i="3"/>
  <c r="LPO32" i="3"/>
  <c r="LPP32" i="3"/>
  <c r="LPQ32" i="3"/>
  <c r="LPR32" i="3"/>
  <c r="LPS32" i="3"/>
  <c r="LPT32" i="3"/>
  <c r="LPU32" i="3"/>
  <c r="LPV32" i="3"/>
  <c r="LPW32" i="3"/>
  <c r="LPX32" i="3"/>
  <c r="LPY32" i="3"/>
  <c r="LPZ32" i="3"/>
  <c r="LQA32" i="3"/>
  <c r="LQB32" i="3"/>
  <c r="LQC32" i="3"/>
  <c r="LQD32" i="3"/>
  <c r="LQE32" i="3"/>
  <c r="LQF32" i="3"/>
  <c r="LQG32" i="3"/>
  <c r="LQH32" i="3"/>
  <c r="LQI32" i="3"/>
  <c r="LQJ32" i="3"/>
  <c r="LQK32" i="3"/>
  <c r="LQL32" i="3"/>
  <c r="LQM32" i="3"/>
  <c r="LQN32" i="3"/>
  <c r="LQO32" i="3"/>
  <c r="LQP32" i="3"/>
  <c r="LQQ32" i="3"/>
  <c r="LQR32" i="3"/>
  <c r="LQS32" i="3"/>
  <c r="LQT32" i="3"/>
  <c r="LQU32" i="3"/>
  <c r="LQV32" i="3"/>
  <c r="LQW32" i="3"/>
  <c r="LQX32" i="3"/>
  <c r="LQY32" i="3"/>
  <c r="LQZ32" i="3"/>
  <c r="LRA32" i="3"/>
  <c r="LRB32" i="3"/>
  <c r="LRC32" i="3"/>
  <c r="LRD32" i="3"/>
  <c r="LRE32" i="3"/>
  <c r="LRF32" i="3"/>
  <c r="LRG32" i="3"/>
  <c r="LRH32" i="3"/>
  <c r="LRI32" i="3"/>
  <c r="LRJ32" i="3"/>
  <c r="LRK32" i="3"/>
  <c r="LRL32" i="3"/>
  <c r="LRM32" i="3"/>
  <c r="LRN32" i="3"/>
  <c r="LRO32" i="3"/>
  <c r="LRP32" i="3"/>
  <c r="LRQ32" i="3"/>
  <c r="LRR32" i="3"/>
  <c r="LRS32" i="3"/>
  <c r="LRT32" i="3"/>
  <c r="LRU32" i="3"/>
  <c r="LRV32" i="3"/>
  <c r="LRW32" i="3"/>
  <c r="LRX32" i="3"/>
  <c r="LRY32" i="3"/>
  <c r="LRZ32" i="3"/>
  <c r="LSA32" i="3"/>
  <c r="LSB32" i="3"/>
  <c r="LSC32" i="3"/>
  <c r="LSD32" i="3"/>
  <c r="LSE32" i="3"/>
  <c r="LSF32" i="3"/>
  <c r="LSG32" i="3"/>
  <c r="LSH32" i="3"/>
  <c r="LSI32" i="3"/>
  <c r="LSJ32" i="3"/>
  <c r="LSK32" i="3"/>
  <c r="LSL32" i="3"/>
  <c r="LSM32" i="3"/>
  <c r="LSN32" i="3"/>
  <c r="LSO32" i="3"/>
  <c r="LSP32" i="3"/>
  <c r="LSQ32" i="3"/>
  <c r="LSR32" i="3"/>
  <c r="LSS32" i="3"/>
  <c r="LST32" i="3"/>
  <c r="LSU32" i="3"/>
  <c r="LSV32" i="3"/>
  <c r="LSW32" i="3"/>
  <c r="LSX32" i="3"/>
  <c r="LSY32" i="3"/>
  <c r="LSZ32" i="3"/>
  <c r="LTA32" i="3"/>
  <c r="LTB32" i="3"/>
  <c r="LTC32" i="3"/>
  <c r="LTD32" i="3"/>
  <c r="LTE32" i="3"/>
  <c r="LTF32" i="3"/>
  <c r="LTG32" i="3"/>
  <c r="LTH32" i="3"/>
  <c r="LTI32" i="3"/>
  <c r="LTJ32" i="3"/>
  <c r="LTK32" i="3"/>
  <c r="LTL32" i="3"/>
  <c r="LTM32" i="3"/>
  <c r="LTN32" i="3"/>
  <c r="LTO32" i="3"/>
  <c r="LTP32" i="3"/>
  <c r="LTQ32" i="3"/>
  <c r="LTR32" i="3"/>
  <c r="LTS32" i="3"/>
  <c r="LTT32" i="3"/>
  <c r="LTU32" i="3"/>
  <c r="LTV32" i="3"/>
  <c r="LTW32" i="3"/>
  <c r="LTX32" i="3"/>
  <c r="LTY32" i="3"/>
  <c r="LTZ32" i="3"/>
  <c r="LUA32" i="3"/>
  <c r="LUB32" i="3"/>
  <c r="LUC32" i="3"/>
  <c r="LUD32" i="3"/>
  <c r="LUE32" i="3"/>
  <c r="LUF32" i="3"/>
  <c r="LUG32" i="3"/>
  <c r="LUH32" i="3"/>
  <c r="LUI32" i="3"/>
  <c r="LUJ32" i="3"/>
  <c r="LUK32" i="3"/>
  <c r="LUL32" i="3"/>
  <c r="LUM32" i="3"/>
  <c r="LUN32" i="3"/>
  <c r="LUO32" i="3"/>
  <c r="LUP32" i="3"/>
  <c r="LUQ32" i="3"/>
  <c r="LUR32" i="3"/>
  <c r="LUS32" i="3"/>
  <c r="LUT32" i="3"/>
  <c r="LUU32" i="3"/>
  <c r="LUV32" i="3"/>
  <c r="LUW32" i="3"/>
  <c r="LUX32" i="3"/>
  <c r="LUY32" i="3"/>
  <c r="LUZ32" i="3"/>
  <c r="LVA32" i="3"/>
  <c r="LVB32" i="3"/>
  <c r="LVC32" i="3"/>
  <c r="LVD32" i="3"/>
  <c r="LVE32" i="3"/>
  <c r="LVF32" i="3"/>
  <c r="LVG32" i="3"/>
  <c r="LVH32" i="3"/>
  <c r="LVI32" i="3"/>
  <c r="LVJ32" i="3"/>
  <c r="LVK32" i="3"/>
  <c r="LVL32" i="3"/>
  <c r="LVM32" i="3"/>
  <c r="LVN32" i="3"/>
  <c r="LVO32" i="3"/>
  <c r="LVP32" i="3"/>
  <c r="LVQ32" i="3"/>
  <c r="LVR32" i="3"/>
  <c r="LVS32" i="3"/>
  <c r="LVT32" i="3"/>
  <c r="LVU32" i="3"/>
  <c r="LVV32" i="3"/>
  <c r="LVW32" i="3"/>
  <c r="LVX32" i="3"/>
  <c r="LVY32" i="3"/>
  <c r="LVZ32" i="3"/>
  <c r="LWA32" i="3"/>
  <c r="LWB32" i="3"/>
  <c r="LWC32" i="3"/>
  <c r="LWD32" i="3"/>
  <c r="LWE32" i="3"/>
  <c r="LWF32" i="3"/>
  <c r="LWG32" i="3"/>
  <c r="LWH32" i="3"/>
  <c r="LWI32" i="3"/>
  <c r="LWJ32" i="3"/>
  <c r="LWK32" i="3"/>
  <c r="LWL32" i="3"/>
  <c r="LWM32" i="3"/>
  <c r="LWN32" i="3"/>
  <c r="LWO32" i="3"/>
  <c r="LWP32" i="3"/>
  <c r="LWQ32" i="3"/>
  <c r="LWR32" i="3"/>
  <c r="LWS32" i="3"/>
  <c r="LWT32" i="3"/>
  <c r="LWU32" i="3"/>
  <c r="LWV32" i="3"/>
  <c r="LWW32" i="3"/>
  <c r="LWX32" i="3"/>
  <c r="LWY32" i="3"/>
  <c r="LWZ32" i="3"/>
  <c r="LXA32" i="3"/>
  <c r="LXB32" i="3"/>
  <c r="LXC32" i="3"/>
  <c r="LXD32" i="3"/>
  <c r="LXE32" i="3"/>
  <c r="LXF32" i="3"/>
  <c r="LXG32" i="3"/>
  <c r="LXH32" i="3"/>
  <c r="LXI32" i="3"/>
  <c r="LXJ32" i="3"/>
  <c r="LXK32" i="3"/>
  <c r="LXL32" i="3"/>
  <c r="LXM32" i="3"/>
  <c r="LXN32" i="3"/>
  <c r="LXO32" i="3"/>
  <c r="LXP32" i="3"/>
  <c r="LXQ32" i="3"/>
  <c r="LXR32" i="3"/>
  <c r="LXS32" i="3"/>
  <c r="LXT32" i="3"/>
  <c r="LXU32" i="3"/>
  <c r="LXV32" i="3"/>
  <c r="LXW32" i="3"/>
  <c r="LXX32" i="3"/>
  <c r="LXY32" i="3"/>
  <c r="LXZ32" i="3"/>
  <c r="LYA32" i="3"/>
  <c r="LYB32" i="3"/>
  <c r="LYC32" i="3"/>
  <c r="LYD32" i="3"/>
  <c r="LYE32" i="3"/>
  <c r="LYF32" i="3"/>
  <c r="LYG32" i="3"/>
  <c r="LYH32" i="3"/>
  <c r="LYI32" i="3"/>
  <c r="LYJ32" i="3"/>
  <c r="LYK32" i="3"/>
  <c r="LYL32" i="3"/>
  <c r="LYM32" i="3"/>
  <c r="LYN32" i="3"/>
  <c r="LYO32" i="3"/>
  <c r="LYP32" i="3"/>
  <c r="LYQ32" i="3"/>
  <c r="LYR32" i="3"/>
  <c r="LYS32" i="3"/>
  <c r="LYT32" i="3"/>
  <c r="LYU32" i="3"/>
  <c r="LYV32" i="3"/>
  <c r="LYW32" i="3"/>
  <c r="LYX32" i="3"/>
  <c r="LYY32" i="3"/>
  <c r="LYZ32" i="3"/>
  <c r="LZA32" i="3"/>
  <c r="LZB32" i="3"/>
  <c r="LZC32" i="3"/>
  <c r="LZD32" i="3"/>
  <c r="LZE32" i="3"/>
  <c r="LZF32" i="3"/>
  <c r="LZG32" i="3"/>
  <c r="LZH32" i="3"/>
  <c r="LZI32" i="3"/>
  <c r="LZJ32" i="3"/>
  <c r="LZK32" i="3"/>
  <c r="LZL32" i="3"/>
  <c r="LZM32" i="3"/>
  <c r="LZN32" i="3"/>
  <c r="LZO32" i="3"/>
  <c r="LZP32" i="3"/>
  <c r="LZQ32" i="3"/>
  <c r="LZR32" i="3"/>
  <c r="LZS32" i="3"/>
  <c r="LZT32" i="3"/>
  <c r="LZU32" i="3"/>
  <c r="LZV32" i="3"/>
  <c r="LZW32" i="3"/>
  <c r="LZX32" i="3"/>
  <c r="LZY32" i="3"/>
  <c r="LZZ32" i="3"/>
  <c r="MAA32" i="3"/>
  <c r="MAB32" i="3"/>
  <c r="MAC32" i="3"/>
  <c r="MAD32" i="3"/>
  <c r="MAE32" i="3"/>
  <c r="MAF32" i="3"/>
  <c r="MAG32" i="3"/>
  <c r="MAH32" i="3"/>
  <c r="MAI32" i="3"/>
  <c r="MAJ32" i="3"/>
  <c r="MAK32" i="3"/>
  <c r="MAL32" i="3"/>
  <c r="MAM32" i="3"/>
  <c r="MAN32" i="3"/>
  <c r="MAO32" i="3"/>
  <c r="MAP32" i="3"/>
  <c r="MAQ32" i="3"/>
  <c r="MAR32" i="3"/>
  <c r="MAS32" i="3"/>
  <c r="MAT32" i="3"/>
  <c r="MAU32" i="3"/>
  <c r="MAV32" i="3"/>
  <c r="MAW32" i="3"/>
  <c r="MAX32" i="3"/>
  <c r="MAY32" i="3"/>
  <c r="MAZ32" i="3"/>
  <c r="MBA32" i="3"/>
  <c r="MBB32" i="3"/>
  <c r="MBC32" i="3"/>
  <c r="MBD32" i="3"/>
  <c r="MBE32" i="3"/>
  <c r="MBF32" i="3"/>
  <c r="MBG32" i="3"/>
  <c r="MBH32" i="3"/>
  <c r="MBI32" i="3"/>
  <c r="MBJ32" i="3"/>
  <c r="MBK32" i="3"/>
  <c r="MBL32" i="3"/>
  <c r="MBM32" i="3"/>
  <c r="MBN32" i="3"/>
  <c r="MBO32" i="3"/>
  <c r="MBP32" i="3"/>
  <c r="MBQ32" i="3"/>
  <c r="MBR32" i="3"/>
  <c r="MBS32" i="3"/>
  <c r="MBT32" i="3"/>
  <c r="MBU32" i="3"/>
  <c r="MBV32" i="3"/>
  <c r="MBW32" i="3"/>
  <c r="MBX32" i="3"/>
  <c r="MBY32" i="3"/>
  <c r="MBZ32" i="3"/>
  <c r="MCA32" i="3"/>
  <c r="MCB32" i="3"/>
  <c r="MCC32" i="3"/>
  <c r="MCD32" i="3"/>
  <c r="MCE32" i="3"/>
  <c r="MCF32" i="3"/>
  <c r="MCG32" i="3"/>
  <c r="MCH32" i="3"/>
  <c r="MCI32" i="3"/>
  <c r="MCJ32" i="3"/>
  <c r="MCK32" i="3"/>
  <c r="MCL32" i="3"/>
  <c r="MCM32" i="3"/>
  <c r="MCN32" i="3"/>
  <c r="MCO32" i="3"/>
  <c r="MCP32" i="3"/>
  <c r="MCQ32" i="3"/>
  <c r="MCR32" i="3"/>
  <c r="MCS32" i="3"/>
  <c r="MCT32" i="3"/>
  <c r="MCU32" i="3"/>
  <c r="MCV32" i="3"/>
  <c r="MCW32" i="3"/>
  <c r="MCX32" i="3"/>
  <c r="MCY32" i="3"/>
  <c r="MCZ32" i="3"/>
  <c r="MDA32" i="3"/>
  <c r="MDB32" i="3"/>
  <c r="MDC32" i="3"/>
  <c r="MDD32" i="3"/>
  <c r="MDE32" i="3"/>
  <c r="MDF32" i="3"/>
  <c r="MDG32" i="3"/>
  <c r="MDH32" i="3"/>
  <c r="MDI32" i="3"/>
  <c r="MDJ32" i="3"/>
  <c r="MDK32" i="3"/>
  <c r="MDL32" i="3"/>
  <c r="MDM32" i="3"/>
  <c r="MDN32" i="3"/>
  <c r="MDO32" i="3"/>
  <c r="MDP32" i="3"/>
  <c r="MDQ32" i="3"/>
  <c r="MDR32" i="3"/>
  <c r="MDS32" i="3"/>
  <c r="MDT32" i="3"/>
  <c r="MDU32" i="3"/>
  <c r="MDV32" i="3"/>
  <c r="MDW32" i="3"/>
  <c r="MDX32" i="3"/>
  <c r="MDY32" i="3"/>
  <c r="MDZ32" i="3"/>
  <c r="MEA32" i="3"/>
  <c r="MEB32" i="3"/>
  <c r="MEC32" i="3"/>
  <c r="MED32" i="3"/>
  <c r="MEE32" i="3"/>
  <c r="MEF32" i="3"/>
  <c r="MEG32" i="3"/>
  <c r="MEH32" i="3"/>
  <c r="MEI32" i="3"/>
  <c r="MEJ32" i="3"/>
  <c r="MEK32" i="3"/>
  <c r="MEL32" i="3"/>
  <c r="MEM32" i="3"/>
  <c r="MEN32" i="3"/>
  <c r="MEO32" i="3"/>
  <c r="MEP32" i="3"/>
  <c r="MEQ32" i="3"/>
  <c r="MER32" i="3"/>
  <c r="MES32" i="3"/>
  <c r="MET32" i="3"/>
  <c r="MEU32" i="3"/>
  <c r="MEV32" i="3"/>
  <c r="MEW32" i="3"/>
  <c r="MEX32" i="3"/>
  <c r="MEY32" i="3"/>
  <c r="MEZ32" i="3"/>
  <c r="MFA32" i="3"/>
  <c r="MFB32" i="3"/>
  <c r="MFC32" i="3"/>
  <c r="MFD32" i="3"/>
  <c r="MFE32" i="3"/>
  <c r="MFF32" i="3"/>
  <c r="MFG32" i="3"/>
  <c r="MFH32" i="3"/>
  <c r="MFI32" i="3"/>
  <c r="MFJ32" i="3"/>
  <c r="MFK32" i="3"/>
  <c r="MFL32" i="3"/>
  <c r="MFM32" i="3"/>
  <c r="MFN32" i="3"/>
  <c r="MFO32" i="3"/>
  <c r="MFP32" i="3"/>
  <c r="MFQ32" i="3"/>
  <c r="MFR32" i="3"/>
  <c r="MFS32" i="3"/>
  <c r="MFT32" i="3"/>
  <c r="MFU32" i="3"/>
  <c r="MFV32" i="3"/>
  <c r="MFW32" i="3"/>
  <c r="MFX32" i="3"/>
  <c r="MFY32" i="3"/>
  <c r="MFZ32" i="3"/>
  <c r="MGA32" i="3"/>
  <c r="MGB32" i="3"/>
  <c r="MGC32" i="3"/>
  <c r="MGD32" i="3"/>
  <c r="MGE32" i="3"/>
  <c r="MGF32" i="3"/>
  <c r="MGG32" i="3"/>
  <c r="MGH32" i="3"/>
  <c r="MGI32" i="3"/>
  <c r="MGJ32" i="3"/>
  <c r="MGK32" i="3"/>
  <c r="MGL32" i="3"/>
  <c r="MGM32" i="3"/>
  <c r="MGN32" i="3"/>
  <c r="MGO32" i="3"/>
  <c r="MGP32" i="3"/>
  <c r="MGQ32" i="3"/>
  <c r="MGR32" i="3"/>
  <c r="MGS32" i="3"/>
  <c r="MGT32" i="3"/>
  <c r="MGU32" i="3"/>
  <c r="MGV32" i="3"/>
  <c r="MGW32" i="3"/>
  <c r="MGX32" i="3"/>
  <c r="MGY32" i="3"/>
  <c r="MGZ32" i="3"/>
  <c r="MHA32" i="3"/>
  <c r="MHB32" i="3"/>
  <c r="MHC32" i="3"/>
  <c r="MHD32" i="3"/>
  <c r="MHE32" i="3"/>
  <c r="MHF32" i="3"/>
  <c r="MHG32" i="3"/>
  <c r="MHH32" i="3"/>
  <c r="MHI32" i="3"/>
  <c r="MHJ32" i="3"/>
  <c r="MHK32" i="3"/>
  <c r="MHL32" i="3"/>
  <c r="MHM32" i="3"/>
  <c r="MHN32" i="3"/>
  <c r="MHO32" i="3"/>
  <c r="MHP32" i="3"/>
  <c r="MHQ32" i="3"/>
  <c r="MHR32" i="3"/>
  <c r="MHS32" i="3"/>
  <c r="MHT32" i="3"/>
  <c r="MHU32" i="3"/>
  <c r="MHV32" i="3"/>
  <c r="MHW32" i="3"/>
  <c r="MHX32" i="3"/>
  <c r="MHY32" i="3"/>
  <c r="MHZ32" i="3"/>
  <c r="MIA32" i="3"/>
  <c r="MIB32" i="3"/>
  <c r="MIC32" i="3"/>
  <c r="MID32" i="3"/>
  <c r="MIE32" i="3"/>
  <c r="MIF32" i="3"/>
  <c r="MIG32" i="3"/>
  <c r="MIH32" i="3"/>
  <c r="MII32" i="3"/>
  <c r="MIJ32" i="3"/>
  <c r="MIK32" i="3"/>
  <c r="MIL32" i="3"/>
  <c r="MIM32" i="3"/>
  <c r="MIN32" i="3"/>
  <c r="MIO32" i="3"/>
  <c r="MIP32" i="3"/>
  <c r="MIQ32" i="3"/>
  <c r="MIR32" i="3"/>
  <c r="MIS32" i="3"/>
  <c r="MIT32" i="3"/>
  <c r="MIU32" i="3"/>
  <c r="MIV32" i="3"/>
  <c r="MIW32" i="3"/>
  <c r="MIX32" i="3"/>
  <c r="MIY32" i="3"/>
  <c r="MIZ32" i="3"/>
  <c r="MJA32" i="3"/>
  <c r="MJB32" i="3"/>
  <c r="MJC32" i="3"/>
  <c r="MJD32" i="3"/>
  <c r="MJE32" i="3"/>
  <c r="MJF32" i="3"/>
  <c r="MJG32" i="3"/>
  <c r="MJH32" i="3"/>
  <c r="MJI32" i="3"/>
  <c r="MJJ32" i="3"/>
  <c r="MJK32" i="3"/>
  <c r="MJL32" i="3"/>
  <c r="MJM32" i="3"/>
  <c r="MJN32" i="3"/>
  <c r="MJO32" i="3"/>
  <c r="MJP32" i="3"/>
  <c r="MJQ32" i="3"/>
  <c r="MJR32" i="3"/>
  <c r="MJS32" i="3"/>
  <c r="MJT32" i="3"/>
  <c r="MJU32" i="3"/>
  <c r="MJV32" i="3"/>
  <c r="MJW32" i="3"/>
  <c r="MJX32" i="3"/>
  <c r="MJY32" i="3"/>
  <c r="MJZ32" i="3"/>
  <c r="MKA32" i="3"/>
  <c r="MKB32" i="3"/>
  <c r="MKC32" i="3"/>
  <c r="MKD32" i="3"/>
  <c r="MKE32" i="3"/>
  <c r="MKF32" i="3"/>
  <c r="MKG32" i="3"/>
  <c r="MKH32" i="3"/>
  <c r="MKI32" i="3"/>
  <c r="MKJ32" i="3"/>
  <c r="MKK32" i="3"/>
  <c r="MKL32" i="3"/>
  <c r="MKM32" i="3"/>
  <c r="MKN32" i="3"/>
  <c r="MKO32" i="3"/>
  <c r="MKP32" i="3"/>
  <c r="MKQ32" i="3"/>
  <c r="MKR32" i="3"/>
  <c r="MKS32" i="3"/>
  <c r="MKT32" i="3"/>
  <c r="MKU32" i="3"/>
  <c r="MKV32" i="3"/>
  <c r="MKW32" i="3"/>
  <c r="MKX32" i="3"/>
  <c r="MKY32" i="3"/>
  <c r="MKZ32" i="3"/>
  <c r="MLA32" i="3"/>
  <c r="MLB32" i="3"/>
  <c r="MLC32" i="3"/>
  <c r="MLD32" i="3"/>
  <c r="MLE32" i="3"/>
  <c r="MLF32" i="3"/>
  <c r="MLG32" i="3"/>
  <c r="MLH32" i="3"/>
  <c r="MLI32" i="3"/>
  <c r="MLJ32" i="3"/>
  <c r="MLK32" i="3"/>
  <c r="MLL32" i="3"/>
  <c r="MLM32" i="3"/>
  <c r="MLN32" i="3"/>
  <c r="MLO32" i="3"/>
  <c r="MLP32" i="3"/>
  <c r="MLQ32" i="3"/>
  <c r="MLR32" i="3"/>
  <c r="MLS32" i="3"/>
  <c r="MLT32" i="3"/>
  <c r="MLU32" i="3"/>
  <c r="MLV32" i="3"/>
  <c r="MLW32" i="3"/>
  <c r="MLX32" i="3"/>
  <c r="MLY32" i="3"/>
  <c r="MLZ32" i="3"/>
  <c r="MMA32" i="3"/>
  <c r="MMB32" i="3"/>
  <c r="MMC32" i="3"/>
  <c r="MMD32" i="3"/>
  <c r="MME32" i="3"/>
  <c r="MMF32" i="3"/>
  <c r="MMG32" i="3"/>
  <c r="MMH32" i="3"/>
  <c r="MMI32" i="3"/>
  <c r="MMJ32" i="3"/>
  <c r="MMK32" i="3"/>
  <c r="MML32" i="3"/>
  <c r="MMM32" i="3"/>
  <c r="MMN32" i="3"/>
  <c r="MMO32" i="3"/>
  <c r="MMP32" i="3"/>
  <c r="MMQ32" i="3"/>
  <c r="MMR32" i="3"/>
  <c r="MMS32" i="3"/>
  <c r="MMT32" i="3"/>
  <c r="MMU32" i="3"/>
  <c r="MMV32" i="3"/>
  <c r="MMW32" i="3"/>
  <c r="MMX32" i="3"/>
  <c r="MMY32" i="3"/>
  <c r="MMZ32" i="3"/>
  <c r="MNA32" i="3"/>
  <c r="MNB32" i="3"/>
  <c r="MNC32" i="3"/>
  <c r="MND32" i="3"/>
  <c r="MNE32" i="3"/>
  <c r="MNF32" i="3"/>
  <c r="MNG32" i="3"/>
  <c r="MNH32" i="3"/>
  <c r="MNI32" i="3"/>
  <c r="MNJ32" i="3"/>
  <c r="MNK32" i="3"/>
  <c r="MNL32" i="3"/>
  <c r="MNM32" i="3"/>
  <c r="MNN32" i="3"/>
  <c r="MNO32" i="3"/>
  <c r="MNP32" i="3"/>
  <c r="MNQ32" i="3"/>
  <c r="MNR32" i="3"/>
  <c r="MNS32" i="3"/>
  <c r="MNT32" i="3"/>
  <c r="MNU32" i="3"/>
  <c r="MNV32" i="3"/>
  <c r="MNW32" i="3"/>
  <c r="MNX32" i="3"/>
  <c r="MNY32" i="3"/>
  <c r="MNZ32" i="3"/>
  <c r="MOA32" i="3"/>
  <c r="MOB32" i="3"/>
  <c r="MOC32" i="3"/>
  <c r="MOD32" i="3"/>
  <c r="MOE32" i="3"/>
  <c r="MOF32" i="3"/>
  <c r="MOG32" i="3"/>
  <c r="MOH32" i="3"/>
  <c r="MOI32" i="3"/>
  <c r="MOJ32" i="3"/>
  <c r="MOK32" i="3"/>
  <c r="MOL32" i="3"/>
  <c r="MOM32" i="3"/>
  <c r="MON32" i="3"/>
  <c r="MOO32" i="3"/>
  <c r="MOP32" i="3"/>
  <c r="MOQ32" i="3"/>
  <c r="MOR32" i="3"/>
  <c r="MOS32" i="3"/>
  <c r="MOT32" i="3"/>
  <c r="MOU32" i="3"/>
  <c r="MOV32" i="3"/>
  <c r="MOW32" i="3"/>
  <c r="MOX32" i="3"/>
  <c r="MOY32" i="3"/>
  <c r="MOZ32" i="3"/>
  <c r="MPA32" i="3"/>
  <c r="MPB32" i="3"/>
  <c r="MPC32" i="3"/>
  <c r="MPD32" i="3"/>
  <c r="MPE32" i="3"/>
  <c r="MPF32" i="3"/>
  <c r="MPG32" i="3"/>
  <c r="MPH32" i="3"/>
  <c r="MPI32" i="3"/>
  <c r="MPJ32" i="3"/>
  <c r="MPK32" i="3"/>
  <c r="MPL32" i="3"/>
  <c r="MPM32" i="3"/>
  <c r="MPN32" i="3"/>
  <c r="MPO32" i="3"/>
  <c r="MPP32" i="3"/>
  <c r="MPQ32" i="3"/>
  <c r="MPR32" i="3"/>
  <c r="MPS32" i="3"/>
  <c r="MPT32" i="3"/>
  <c r="MPU32" i="3"/>
  <c r="MPV32" i="3"/>
  <c r="MPW32" i="3"/>
  <c r="MPX32" i="3"/>
  <c r="MPY32" i="3"/>
  <c r="MPZ32" i="3"/>
  <c r="MQA32" i="3"/>
  <c r="MQB32" i="3"/>
  <c r="MQC32" i="3"/>
  <c r="MQD32" i="3"/>
  <c r="MQE32" i="3"/>
  <c r="MQF32" i="3"/>
  <c r="MQG32" i="3"/>
  <c r="MQH32" i="3"/>
  <c r="MQI32" i="3"/>
  <c r="MQJ32" i="3"/>
  <c r="MQK32" i="3"/>
  <c r="MQL32" i="3"/>
  <c r="MQM32" i="3"/>
  <c r="MQN32" i="3"/>
  <c r="MQO32" i="3"/>
  <c r="MQP32" i="3"/>
  <c r="MQQ32" i="3"/>
  <c r="MQR32" i="3"/>
  <c r="MQS32" i="3"/>
  <c r="MQT32" i="3"/>
  <c r="MQU32" i="3"/>
  <c r="MQV32" i="3"/>
  <c r="MQW32" i="3"/>
  <c r="MQX32" i="3"/>
  <c r="MQY32" i="3"/>
  <c r="MQZ32" i="3"/>
  <c r="MRA32" i="3"/>
  <c r="MRB32" i="3"/>
  <c r="MRC32" i="3"/>
  <c r="MRD32" i="3"/>
  <c r="MRE32" i="3"/>
  <c r="MRF32" i="3"/>
  <c r="MRG32" i="3"/>
  <c r="MRH32" i="3"/>
  <c r="MRI32" i="3"/>
  <c r="MRJ32" i="3"/>
  <c r="MRK32" i="3"/>
  <c r="MRL32" i="3"/>
  <c r="MRM32" i="3"/>
  <c r="MRN32" i="3"/>
  <c r="MRO32" i="3"/>
  <c r="MRP32" i="3"/>
  <c r="MRQ32" i="3"/>
  <c r="MRR32" i="3"/>
  <c r="MRS32" i="3"/>
  <c r="MRT32" i="3"/>
  <c r="MRU32" i="3"/>
  <c r="MRV32" i="3"/>
  <c r="MRW32" i="3"/>
  <c r="MRX32" i="3"/>
  <c r="MRY32" i="3"/>
  <c r="MRZ32" i="3"/>
  <c r="MSA32" i="3"/>
  <c r="MSB32" i="3"/>
  <c r="MSC32" i="3"/>
  <c r="MSD32" i="3"/>
  <c r="MSE32" i="3"/>
  <c r="MSF32" i="3"/>
  <c r="MSG32" i="3"/>
  <c r="MSH32" i="3"/>
  <c r="MSI32" i="3"/>
  <c r="MSJ32" i="3"/>
  <c r="MSK32" i="3"/>
  <c r="MSL32" i="3"/>
  <c r="MSM32" i="3"/>
  <c r="MSN32" i="3"/>
  <c r="MSO32" i="3"/>
  <c r="MSP32" i="3"/>
  <c r="MSQ32" i="3"/>
  <c r="MSR32" i="3"/>
  <c r="MSS32" i="3"/>
  <c r="MST32" i="3"/>
  <c r="MSU32" i="3"/>
  <c r="MSV32" i="3"/>
  <c r="MSW32" i="3"/>
  <c r="MSX32" i="3"/>
  <c r="MSY32" i="3"/>
  <c r="MSZ32" i="3"/>
  <c r="MTA32" i="3"/>
  <c r="MTB32" i="3"/>
  <c r="MTC32" i="3"/>
  <c r="MTD32" i="3"/>
  <c r="MTE32" i="3"/>
  <c r="MTF32" i="3"/>
  <c r="MTG32" i="3"/>
  <c r="MTH32" i="3"/>
  <c r="MTI32" i="3"/>
  <c r="MTJ32" i="3"/>
  <c r="MTK32" i="3"/>
  <c r="MTL32" i="3"/>
  <c r="MTM32" i="3"/>
  <c r="MTN32" i="3"/>
  <c r="MTO32" i="3"/>
  <c r="MTP32" i="3"/>
  <c r="MTQ32" i="3"/>
  <c r="MTR32" i="3"/>
  <c r="MTS32" i="3"/>
  <c r="MTT32" i="3"/>
  <c r="MTU32" i="3"/>
  <c r="MTV32" i="3"/>
  <c r="MTW32" i="3"/>
  <c r="MTX32" i="3"/>
  <c r="MTY32" i="3"/>
  <c r="MTZ32" i="3"/>
  <c r="MUA32" i="3"/>
  <c r="MUB32" i="3"/>
  <c r="MUC32" i="3"/>
  <c r="MUD32" i="3"/>
  <c r="MUE32" i="3"/>
  <c r="MUF32" i="3"/>
  <c r="MUG32" i="3"/>
  <c r="MUH32" i="3"/>
  <c r="MUI32" i="3"/>
  <c r="MUJ32" i="3"/>
  <c r="MUK32" i="3"/>
  <c r="MUL32" i="3"/>
  <c r="MUM32" i="3"/>
  <c r="MUN32" i="3"/>
  <c r="MUO32" i="3"/>
  <c r="MUP32" i="3"/>
  <c r="MUQ32" i="3"/>
  <c r="MUR32" i="3"/>
  <c r="MUS32" i="3"/>
  <c r="MUT32" i="3"/>
  <c r="MUU32" i="3"/>
  <c r="MUV32" i="3"/>
  <c r="MUW32" i="3"/>
  <c r="MUX32" i="3"/>
  <c r="MUY32" i="3"/>
  <c r="MUZ32" i="3"/>
  <c r="MVA32" i="3"/>
  <c r="MVB32" i="3"/>
  <c r="MVC32" i="3"/>
  <c r="MVD32" i="3"/>
  <c r="MVE32" i="3"/>
  <c r="MVF32" i="3"/>
  <c r="MVG32" i="3"/>
  <c r="MVH32" i="3"/>
  <c r="MVI32" i="3"/>
  <c r="MVJ32" i="3"/>
  <c r="MVK32" i="3"/>
  <c r="MVL32" i="3"/>
  <c r="MVM32" i="3"/>
  <c r="MVN32" i="3"/>
  <c r="MVO32" i="3"/>
  <c r="MVP32" i="3"/>
  <c r="MVQ32" i="3"/>
  <c r="MVR32" i="3"/>
  <c r="MVS32" i="3"/>
  <c r="MVT32" i="3"/>
  <c r="MVU32" i="3"/>
  <c r="MVV32" i="3"/>
  <c r="MVW32" i="3"/>
  <c r="MVX32" i="3"/>
  <c r="MVY32" i="3"/>
  <c r="MVZ32" i="3"/>
  <c r="MWA32" i="3"/>
  <c r="MWB32" i="3"/>
  <c r="MWC32" i="3"/>
  <c r="MWD32" i="3"/>
  <c r="MWE32" i="3"/>
  <c r="MWF32" i="3"/>
  <c r="MWG32" i="3"/>
  <c r="MWH32" i="3"/>
  <c r="MWI32" i="3"/>
  <c r="MWJ32" i="3"/>
  <c r="MWK32" i="3"/>
  <c r="MWL32" i="3"/>
  <c r="MWM32" i="3"/>
  <c r="MWN32" i="3"/>
  <c r="MWO32" i="3"/>
  <c r="MWP32" i="3"/>
  <c r="MWQ32" i="3"/>
  <c r="MWR32" i="3"/>
  <c r="MWS32" i="3"/>
  <c r="MWT32" i="3"/>
  <c r="MWU32" i="3"/>
  <c r="MWV32" i="3"/>
  <c r="MWW32" i="3"/>
  <c r="MWX32" i="3"/>
  <c r="MWY32" i="3"/>
  <c r="MWZ32" i="3"/>
  <c r="MXA32" i="3"/>
  <c r="MXB32" i="3"/>
  <c r="MXC32" i="3"/>
  <c r="MXD32" i="3"/>
  <c r="MXE32" i="3"/>
  <c r="MXF32" i="3"/>
  <c r="MXG32" i="3"/>
  <c r="MXH32" i="3"/>
  <c r="MXI32" i="3"/>
  <c r="MXJ32" i="3"/>
  <c r="MXK32" i="3"/>
  <c r="MXL32" i="3"/>
  <c r="MXM32" i="3"/>
  <c r="MXN32" i="3"/>
  <c r="MXO32" i="3"/>
  <c r="MXP32" i="3"/>
  <c r="MXQ32" i="3"/>
  <c r="MXR32" i="3"/>
  <c r="MXS32" i="3"/>
  <c r="MXT32" i="3"/>
  <c r="MXU32" i="3"/>
  <c r="MXV32" i="3"/>
  <c r="MXW32" i="3"/>
  <c r="MXX32" i="3"/>
  <c r="MXY32" i="3"/>
  <c r="MXZ32" i="3"/>
  <c r="MYA32" i="3"/>
  <c r="MYB32" i="3"/>
  <c r="MYC32" i="3"/>
  <c r="MYD32" i="3"/>
  <c r="MYE32" i="3"/>
  <c r="MYF32" i="3"/>
  <c r="MYG32" i="3"/>
  <c r="MYH32" i="3"/>
  <c r="MYI32" i="3"/>
  <c r="MYJ32" i="3"/>
  <c r="MYK32" i="3"/>
  <c r="MYL32" i="3"/>
  <c r="MYM32" i="3"/>
  <c r="MYN32" i="3"/>
  <c r="MYO32" i="3"/>
  <c r="MYP32" i="3"/>
  <c r="MYQ32" i="3"/>
  <c r="MYR32" i="3"/>
  <c r="MYS32" i="3"/>
  <c r="MYT32" i="3"/>
  <c r="MYU32" i="3"/>
  <c r="MYV32" i="3"/>
  <c r="MYW32" i="3"/>
  <c r="MYX32" i="3"/>
  <c r="MYY32" i="3"/>
  <c r="MYZ32" i="3"/>
  <c r="MZA32" i="3"/>
  <c r="MZB32" i="3"/>
  <c r="MZC32" i="3"/>
  <c r="MZD32" i="3"/>
  <c r="MZE32" i="3"/>
  <c r="MZF32" i="3"/>
  <c r="MZG32" i="3"/>
  <c r="MZH32" i="3"/>
  <c r="MZI32" i="3"/>
  <c r="MZJ32" i="3"/>
  <c r="MZK32" i="3"/>
  <c r="MZL32" i="3"/>
  <c r="MZM32" i="3"/>
  <c r="MZN32" i="3"/>
  <c r="MZO32" i="3"/>
  <c r="MZP32" i="3"/>
  <c r="MZQ32" i="3"/>
  <c r="MZR32" i="3"/>
  <c r="MZS32" i="3"/>
  <c r="MZT32" i="3"/>
  <c r="MZU32" i="3"/>
  <c r="MZV32" i="3"/>
  <c r="MZW32" i="3"/>
  <c r="MZX32" i="3"/>
  <c r="MZY32" i="3"/>
  <c r="MZZ32" i="3"/>
  <c r="NAA32" i="3"/>
  <c r="NAB32" i="3"/>
  <c r="NAC32" i="3"/>
  <c r="NAD32" i="3"/>
  <c r="NAE32" i="3"/>
  <c r="NAF32" i="3"/>
  <c r="NAG32" i="3"/>
  <c r="NAH32" i="3"/>
  <c r="NAI32" i="3"/>
  <c r="NAJ32" i="3"/>
  <c r="NAK32" i="3"/>
  <c r="NAL32" i="3"/>
  <c r="NAM32" i="3"/>
  <c r="NAN32" i="3"/>
  <c r="NAO32" i="3"/>
  <c r="NAP32" i="3"/>
  <c r="NAQ32" i="3"/>
  <c r="NAR32" i="3"/>
  <c r="NAS32" i="3"/>
  <c r="NAT32" i="3"/>
  <c r="NAU32" i="3"/>
  <c r="NAV32" i="3"/>
  <c r="NAW32" i="3"/>
  <c r="NAX32" i="3"/>
  <c r="NAY32" i="3"/>
  <c r="NAZ32" i="3"/>
  <c r="NBA32" i="3"/>
  <c r="NBB32" i="3"/>
  <c r="NBC32" i="3"/>
  <c r="NBD32" i="3"/>
  <c r="NBE32" i="3"/>
  <c r="NBF32" i="3"/>
  <c r="NBG32" i="3"/>
  <c r="NBH32" i="3"/>
  <c r="NBI32" i="3"/>
  <c r="NBJ32" i="3"/>
  <c r="NBK32" i="3"/>
  <c r="NBL32" i="3"/>
  <c r="NBM32" i="3"/>
  <c r="NBN32" i="3"/>
  <c r="NBO32" i="3"/>
  <c r="NBP32" i="3"/>
  <c r="NBQ32" i="3"/>
  <c r="NBR32" i="3"/>
  <c r="NBS32" i="3"/>
  <c r="NBT32" i="3"/>
  <c r="NBU32" i="3"/>
  <c r="NBV32" i="3"/>
  <c r="NBW32" i="3"/>
  <c r="NBX32" i="3"/>
  <c r="NBY32" i="3"/>
  <c r="NBZ32" i="3"/>
  <c r="NCA32" i="3"/>
  <c r="NCB32" i="3"/>
  <c r="NCC32" i="3"/>
  <c r="NCD32" i="3"/>
  <c r="NCE32" i="3"/>
  <c r="NCF32" i="3"/>
  <c r="NCG32" i="3"/>
  <c r="NCH32" i="3"/>
  <c r="NCI32" i="3"/>
  <c r="NCJ32" i="3"/>
  <c r="NCK32" i="3"/>
  <c r="NCL32" i="3"/>
  <c r="NCM32" i="3"/>
  <c r="NCN32" i="3"/>
  <c r="NCO32" i="3"/>
  <c r="NCP32" i="3"/>
  <c r="NCQ32" i="3"/>
  <c r="NCR32" i="3"/>
  <c r="NCS32" i="3"/>
  <c r="NCT32" i="3"/>
  <c r="NCU32" i="3"/>
  <c r="NCV32" i="3"/>
  <c r="NCW32" i="3"/>
  <c r="NCX32" i="3"/>
  <c r="NCY32" i="3"/>
  <c r="NCZ32" i="3"/>
  <c r="NDA32" i="3"/>
  <c r="NDB32" i="3"/>
  <c r="NDC32" i="3"/>
  <c r="NDD32" i="3"/>
  <c r="NDE32" i="3"/>
  <c r="NDF32" i="3"/>
  <c r="NDG32" i="3"/>
  <c r="NDH32" i="3"/>
  <c r="NDI32" i="3"/>
  <c r="NDJ32" i="3"/>
  <c r="NDK32" i="3"/>
  <c r="NDL32" i="3"/>
  <c r="NDM32" i="3"/>
  <c r="NDN32" i="3"/>
  <c r="NDO32" i="3"/>
  <c r="NDP32" i="3"/>
  <c r="NDQ32" i="3"/>
  <c r="NDR32" i="3"/>
  <c r="NDS32" i="3"/>
  <c r="NDT32" i="3"/>
  <c r="NDU32" i="3"/>
  <c r="NDV32" i="3"/>
  <c r="NDW32" i="3"/>
  <c r="NDX32" i="3"/>
  <c r="NDY32" i="3"/>
  <c r="NDZ32" i="3"/>
  <c r="NEA32" i="3"/>
  <c r="NEB32" i="3"/>
  <c r="NEC32" i="3"/>
  <c r="NED32" i="3"/>
  <c r="NEE32" i="3"/>
  <c r="NEF32" i="3"/>
  <c r="NEG32" i="3"/>
  <c r="NEH32" i="3"/>
  <c r="NEI32" i="3"/>
  <c r="NEJ32" i="3"/>
  <c r="NEK32" i="3"/>
  <c r="NEL32" i="3"/>
  <c r="NEM32" i="3"/>
  <c r="NEN32" i="3"/>
  <c r="NEO32" i="3"/>
  <c r="NEP32" i="3"/>
  <c r="NEQ32" i="3"/>
  <c r="NER32" i="3"/>
  <c r="NES32" i="3"/>
  <c r="NET32" i="3"/>
  <c r="NEU32" i="3"/>
  <c r="NEV32" i="3"/>
  <c r="NEW32" i="3"/>
  <c r="NEX32" i="3"/>
  <c r="NEY32" i="3"/>
  <c r="NEZ32" i="3"/>
  <c r="NFA32" i="3"/>
  <c r="NFB32" i="3"/>
  <c r="NFC32" i="3"/>
  <c r="NFD32" i="3"/>
  <c r="NFE32" i="3"/>
  <c r="NFF32" i="3"/>
  <c r="NFG32" i="3"/>
  <c r="NFH32" i="3"/>
  <c r="NFI32" i="3"/>
  <c r="NFJ32" i="3"/>
  <c r="NFK32" i="3"/>
  <c r="NFL32" i="3"/>
  <c r="NFM32" i="3"/>
  <c r="NFN32" i="3"/>
  <c r="NFO32" i="3"/>
  <c r="NFP32" i="3"/>
  <c r="NFQ32" i="3"/>
  <c r="NFR32" i="3"/>
  <c r="NFS32" i="3"/>
  <c r="NFT32" i="3"/>
  <c r="NFU32" i="3"/>
  <c r="NFV32" i="3"/>
  <c r="NFW32" i="3"/>
  <c r="NFX32" i="3"/>
  <c r="NFY32" i="3"/>
  <c r="NFZ32" i="3"/>
  <c r="NGA32" i="3"/>
  <c r="NGB32" i="3"/>
  <c r="NGC32" i="3"/>
  <c r="NGD32" i="3"/>
  <c r="NGE32" i="3"/>
  <c r="NGF32" i="3"/>
  <c r="NGG32" i="3"/>
  <c r="NGH32" i="3"/>
  <c r="NGI32" i="3"/>
  <c r="NGJ32" i="3"/>
  <c r="NGK32" i="3"/>
  <c r="NGL32" i="3"/>
  <c r="NGM32" i="3"/>
  <c r="NGN32" i="3"/>
  <c r="NGO32" i="3"/>
  <c r="NGP32" i="3"/>
  <c r="NGQ32" i="3"/>
  <c r="NGR32" i="3"/>
  <c r="NGS32" i="3"/>
  <c r="NGT32" i="3"/>
  <c r="NGU32" i="3"/>
  <c r="NGV32" i="3"/>
  <c r="NGW32" i="3"/>
  <c r="NGX32" i="3"/>
  <c r="NGY32" i="3"/>
  <c r="NGZ32" i="3"/>
  <c r="NHA32" i="3"/>
  <c r="NHB32" i="3"/>
  <c r="NHC32" i="3"/>
  <c r="NHD32" i="3"/>
  <c r="NHE32" i="3"/>
  <c r="NHF32" i="3"/>
  <c r="NHG32" i="3"/>
  <c r="NHH32" i="3"/>
  <c r="NHI32" i="3"/>
  <c r="NHJ32" i="3"/>
  <c r="NHK32" i="3"/>
  <c r="NHL32" i="3"/>
  <c r="NHM32" i="3"/>
  <c r="NHN32" i="3"/>
  <c r="NHO32" i="3"/>
  <c r="NHP32" i="3"/>
  <c r="NHQ32" i="3"/>
  <c r="NHR32" i="3"/>
  <c r="NHS32" i="3"/>
  <c r="NHT32" i="3"/>
  <c r="NHU32" i="3"/>
  <c r="NHV32" i="3"/>
  <c r="NHW32" i="3"/>
  <c r="NHX32" i="3"/>
  <c r="NHY32" i="3"/>
  <c r="NHZ32" i="3"/>
  <c r="NIA32" i="3"/>
  <c r="NIB32" i="3"/>
  <c r="NIC32" i="3"/>
  <c r="NID32" i="3"/>
  <c r="NIE32" i="3"/>
  <c r="NIF32" i="3"/>
  <c r="NIG32" i="3"/>
  <c r="NIH32" i="3"/>
  <c r="NII32" i="3"/>
  <c r="NIJ32" i="3"/>
  <c r="NIK32" i="3"/>
  <c r="NIL32" i="3"/>
  <c r="NIM32" i="3"/>
  <c r="NIN32" i="3"/>
  <c r="NIO32" i="3"/>
  <c r="NIP32" i="3"/>
  <c r="NIQ32" i="3"/>
  <c r="NIR32" i="3"/>
  <c r="NIS32" i="3"/>
  <c r="NIT32" i="3"/>
  <c r="NIU32" i="3"/>
  <c r="NIV32" i="3"/>
  <c r="NIW32" i="3"/>
  <c r="NIX32" i="3"/>
  <c r="NIY32" i="3"/>
  <c r="NIZ32" i="3"/>
  <c r="NJA32" i="3"/>
  <c r="NJB32" i="3"/>
  <c r="NJC32" i="3"/>
  <c r="NJD32" i="3"/>
  <c r="NJE32" i="3"/>
  <c r="NJF32" i="3"/>
  <c r="NJG32" i="3"/>
  <c r="NJH32" i="3"/>
  <c r="NJI32" i="3"/>
  <c r="NJJ32" i="3"/>
  <c r="NJK32" i="3"/>
  <c r="NJL32" i="3"/>
  <c r="NJM32" i="3"/>
  <c r="NJN32" i="3"/>
  <c r="NJO32" i="3"/>
  <c r="NJP32" i="3"/>
  <c r="NJQ32" i="3"/>
  <c r="NJR32" i="3"/>
  <c r="NJS32" i="3"/>
  <c r="NJT32" i="3"/>
  <c r="NJU32" i="3"/>
  <c r="NJV32" i="3"/>
  <c r="NJW32" i="3"/>
  <c r="NJX32" i="3"/>
  <c r="NJY32" i="3"/>
  <c r="NJZ32" i="3"/>
  <c r="NKA32" i="3"/>
  <c r="NKB32" i="3"/>
  <c r="NKC32" i="3"/>
  <c r="NKD32" i="3"/>
  <c r="NKE32" i="3"/>
  <c r="NKF32" i="3"/>
  <c r="NKG32" i="3"/>
  <c r="NKH32" i="3"/>
  <c r="NKI32" i="3"/>
  <c r="NKJ32" i="3"/>
  <c r="NKK32" i="3"/>
  <c r="NKL32" i="3"/>
  <c r="NKM32" i="3"/>
  <c r="NKN32" i="3"/>
  <c r="NKO32" i="3"/>
  <c r="NKP32" i="3"/>
  <c r="NKQ32" i="3"/>
  <c r="NKR32" i="3"/>
  <c r="NKS32" i="3"/>
  <c r="NKT32" i="3"/>
  <c r="NKU32" i="3"/>
  <c r="NKV32" i="3"/>
  <c r="NKW32" i="3"/>
  <c r="NKX32" i="3"/>
  <c r="NKY32" i="3"/>
  <c r="NKZ32" i="3"/>
  <c r="NLA32" i="3"/>
  <c r="NLB32" i="3"/>
  <c r="NLC32" i="3"/>
  <c r="NLD32" i="3"/>
  <c r="NLE32" i="3"/>
  <c r="NLF32" i="3"/>
  <c r="NLG32" i="3"/>
  <c r="NLH32" i="3"/>
  <c r="NLI32" i="3"/>
  <c r="NLJ32" i="3"/>
  <c r="NLK32" i="3"/>
  <c r="NLL32" i="3"/>
  <c r="NLM32" i="3"/>
  <c r="NLN32" i="3"/>
  <c r="NLO32" i="3"/>
  <c r="NLP32" i="3"/>
  <c r="NLQ32" i="3"/>
  <c r="NLR32" i="3"/>
  <c r="NLS32" i="3"/>
  <c r="NLT32" i="3"/>
  <c r="NLU32" i="3"/>
  <c r="NLV32" i="3"/>
  <c r="NLW32" i="3"/>
  <c r="NLX32" i="3"/>
  <c r="NLY32" i="3"/>
  <c r="NLZ32" i="3"/>
  <c r="NMA32" i="3"/>
  <c r="NMB32" i="3"/>
  <c r="NMC32" i="3"/>
  <c r="NMD32" i="3"/>
  <c r="NME32" i="3"/>
  <c r="NMF32" i="3"/>
  <c r="NMG32" i="3"/>
  <c r="NMH32" i="3"/>
  <c r="NMI32" i="3"/>
  <c r="NMJ32" i="3"/>
  <c r="NMK32" i="3"/>
  <c r="NML32" i="3"/>
  <c r="NMM32" i="3"/>
  <c r="NMN32" i="3"/>
  <c r="NMO32" i="3"/>
  <c r="NMP32" i="3"/>
  <c r="NMQ32" i="3"/>
  <c r="NMR32" i="3"/>
  <c r="NMS32" i="3"/>
  <c r="NMT32" i="3"/>
  <c r="NMU32" i="3"/>
  <c r="NMV32" i="3"/>
  <c r="NMW32" i="3"/>
  <c r="NMX32" i="3"/>
  <c r="NMY32" i="3"/>
  <c r="NMZ32" i="3"/>
  <c r="NNA32" i="3"/>
  <c r="NNB32" i="3"/>
  <c r="NNC32" i="3"/>
  <c r="NND32" i="3"/>
  <c r="NNE32" i="3"/>
  <c r="NNF32" i="3"/>
  <c r="NNG32" i="3"/>
  <c r="NNH32" i="3"/>
  <c r="NNI32" i="3"/>
  <c r="NNJ32" i="3"/>
  <c r="NNK32" i="3"/>
  <c r="NNL32" i="3"/>
  <c r="NNM32" i="3"/>
  <c r="NNN32" i="3"/>
  <c r="NNO32" i="3"/>
  <c r="NNP32" i="3"/>
  <c r="NNQ32" i="3"/>
  <c r="NNR32" i="3"/>
  <c r="NNS32" i="3"/>
  <c r="NNT32" i="3"/>
  <c r="NNU32" i="3"/>
  <c r="NNV32" i="3"/>
  <c r="NNW32" i="3"/>
  <c r="NNX32" i="3"/>
  <c r="NNY32" i="3"/>
  <c r="NNZ32" i="3"/>
  <c r="NOA32" i="3"/>
  <c r="NOB32" i="3"/>
  <c r="NOC32" i="3"/>
  <c r="NOD32" i="3"/>
  <c r="NOE32" i="3"/>
  <c r="NOF32" i="3"/>
  <c r="NOG32" i="3"/>
  <c r="NOH32" i="3"/>
  <c r="NOI32" i="3"/>
  <c r="NOJ32" i="3"/>
  <c r="NOK32" i="3"/>
  <c r="NOL32" i="3"/>
  <c r="NOM32" i="3"/>
  <c r="NON32" i="3"/>
  <c r="NOO32" i="3"/>
  <c r="NOP32" i="3"/>
  <c r="NOQ32" i="3"/>
  <c r="NOR32" i="3"/>
  <c r="NOS32" i="3"/>
  <c r="NOT32" i="3"/>
  <c r="NOU32" i="3"/>
  <c r="NOV32" i="3"/>
  <c r="NOW32" i="3"/>
  <c r="NOX32" i="3"/>
  <c r="NOY32" i="3"/>
  <c r="NOZ32" i="3"/>
  <c r="NPA32" i="3"/>
  <c r="NPB32" i="3"/>
  <c r="NPC32" i="3"/>
  <c r="NPD32" i="3"/>
  <c r="NPE32" i="3"/>
  <c r="NPF32" i="3"/>
  <c r="NPG32" i="3"/>
  <c r="NPH32" i="3"/>
  <c r="NPI32" i="3"/>
  <c r="NPJ32" i="3"/>
  <c r="NPK32" i="3"/>
  <c r="NPL32" i="3"/>
  <c r="NPM32" i="3"/>
  <c r="NPN32" i="3"/>
  <c r="NPO32" i="3"/>
  <c r="NPP32" i="3"/>
  <c r="NPQ32" i="3"/>
  <c r="NPR32" i="3"/>
  <c r="NPS32" i="3"/>
  <c r="NPT32" i="3"/>
  <c r="NPU32" i="3"/>
  <c r="NPV32" i="3"/>
  <c r="NPW32" i="3"/>
  <c r="NPX32" i="3"/>
  <c r="NPY32" i="3"/>
  <c r="NPZ32" i="3"/>
  <c r="NQA32" i="3"/>
  <c r="NQB32" i="3"/>
  <c r="NQC32" i="3"/>
  <c r="NQD32" i="3"/>
  <c r="NQE32" i="3"/>
  <c r="NQF32" i="3"/>
  <c r="NQG32" i="3"/>
  <c r="NQH32" i="3"/>
  <c r="NQI32" i="3"/>
  <c r="NQJ32" i="3"/>
  <c r="NQK32" i="3"/>
  <c r="NQL32" i="3"/>
  <c r="NQM32" i="3"/>
  <c r="NQN32" i="3"/>
  <c r="NQO32" i="3"/>
  <c r="NQP32" i="3"/>
  <c r="NQQ32" i="3"/>
  <c r="NQR32" i="3"/>
  <c r="NQS32" i="3"/>
  <c r="NQT32" i="3"/>
  <c r="NQU32" i="3"/>
  <c r="NQV32" i="3"/>
  <c r="NQW32" i="3"/>
  <c r="NQX32" i="3"/>
  <c r="NQY32" i="3"/>
  <c r="NQZ32" i="3"/>
  <c r="NRA32" i="3"/>
  <c r="NRB32" i="3"/>
  <c r="NRC32" i="3"/>
  <c r="NRD32" i="3"/>
  <c r="NRE32" i="3"/>
  <c r="NRF32" i="3"/>
  <c r="NRG32" i="3"/>
  <c r="NRH32" i="3"/>
  <c r="NRI32" i="3"/>
  <c r="NRJ32" i="3"/>
  <c r="NRK32" i="3"/>
  <c r="NRL32" i="3"/>
  <c r="NRM32" i="3"/>
  <c r="NRN32" i="3"/>
  <c r="NRO32" i="3"/>
  <c r="NRP32" i="3"/>
  <c r="NRQ32" i="3"/>
  <c r="NRR32" i="3"/>
  <c r="NRS32" i="3"/>
  <c r="NRT32" i="3"/>
  <c r="NRU32" i="3"/>
  <c r="NRV32" i="3"/>
  <c r="NRW32" i="3"/>
  <c r="NRX32" i="3"/>
  <c r="NRY32" i="3"/>
  <c r="NRZ32" i="3"/>
  <c r="NSA32" i="3"/>
  <c r="NSB32" i="3"/>
  <c r="NSC32" i="3"/>
  <c r="NSD32" i="3"/>
  <c r="NSE32" i="3"/>
  <c r="NSF32" i="3"/>
  <c r="NSG32" i="3"/>
  <c r="NSH32" i="3"/>
  <c r="NSI32" i="3"/>
  <c r="NSJ32" i="3"/>
  <c r="NSK32" i="3"/>
  <c r="NSL32" i="3"/>
  <c r="NSM32" i="3"/>
  <c r="NSN32" i="3"/>
  <c r="NSO32" i="3"/>
  <c r="NSP32" i="3"/>
  <c r="NSQ32" i="3"/>
  <c r="NSR32" i="3"/>
  <c r="NSS32" i="3"/>
  <c r="NST32" i="3"/>
  <c r="NSU32" i="3"/>
  <c r="NSV32" i="3"/>
  <c r="NSW32" i="3"/>
  <c r="NSX32" i="3"/>
  <c r="NSY32" i="3"/>
  <c r="NSZ32" i="3"/>
  <c r="NTA32" i="3"/>
  <c r="NTB32" i="3"/>
  <c r="NTC32" i="3"/>
  <c r="NTD32" i="3"/>
  <c r="NTE32" i="3"/>
  <c r="NTF32" i="3"/>
  <c r="NTG32" i="3"/>
  <c r="NTH32" i="3"/>
  <c r="NTI32" i="3"/>
  <c r="NTJ32" i="3"/>
  <c r="NTK32" i="3"/>
  <c r="NTL32" i="3"/>
  <c r="NTM32" i="3"/>
  <c r="NTN32" i="3"/>
  <c r="NTO32" i="3"/>
  <c r="NTP32" i="3"/>
  <c r="NTQ32" i="3"/>
  <c r="NTR32" i="3"/>
  <c r="NTS32" i="3"/>
  <c r="NTT32" i="3"/>
  <c r="NTU32" i="3"/>
  <c r="NTV32" i="3"/>
  <c r="NTW32" i="3"/>
  <c r="NTX32" i="3"/>
  <c r="NTY32" i="3"/>
  <c r="NTZ32" i="3"/>
  <c r="NUA32" i="3"/>
  <c r="NUB32" i="3"/>
  <c r="NUC32" i="3"/>
  <c r="NUD32" i="3"/>
  <c r="NUE32" i="3"/>
  <c r="NUF32" i="3"/>
  <c r="NUG32" i="3"/>
  <c r="NUH32" i="3"/>
  <c r="NUI32" i="3"/>
  <c r="NUJ32" i="3"/>
  <c r="NUK32" i="3"/>
  <c r="NUL32" i="3"/>
  <c r="NUM32" i="3"/>
  <c r="NUN32" i="3"/>
  <c r="NUO32" i="3"/>
  <c r="NUP32" i="3"/>
  <c r="NUQ32" i="3"/>
  <c r="NUR32" i="3"/>
  <c r="NUS32" i="3"/>
  <c r="NUT32" i="3"/>
  <c r="NUU32" i="3"/>
  <c r="NUV32" i="3"/>
  <c r="NUW32" i="3"/>
  <c r="NUX32" i="3"/>
  <c r="NUY32" i="3"/>
  <c r="NUZ32" i="3"/>
  <c r="NVA32" i="3"/>
  <c r="NVB32" i="3"/>
  <c r="NVC32" i="3"/>
  <c r="NVD32" i="3"/>
  <c r="NVE32" i="3"/>
  <c r="NVF32" i="3"/>
  <c r="NVG32" i="3"/>
  <c r="NVH32" i="3"/>
  <c r="NVI32" i="3"/>
  <c r="NVJ32" i="3"/>
  <c r="NVK32" i="3"/>
  <c r="NVL32" i="3"/>
  <c r="NVM32" i="3"/>
  <c r="NVN32" i="3"/>
  <c r="NVO32" i="3"/>
  <c r="NVP32" i="3"/>
  <c r="NVQ32" i="3"/>
  <c r="NVR32" i="3"/>
  <c r="NVS32" i="3"/>
  <c r="NVT32" i="3"/>
  <c r="NVU32" i="3"/>
  <c r="NVV32" i="3"/>
  <c r="NVW32" i="3"/>
  <c r="NVX32" i="3"/>
  <c r="NVY32" i="3"/>
  <c r="NVZ32" i="3"/>
  <c r="NWA32" i="3"/>
  <c r="NWB32" i="3"/>
  <c r="NWC32" i="3"/>
  <c r="NWD32" i="3"/>
  <c r="NWE32" i="3"/>
  <c r="NWF32" i="3"/>
  <c r="NWG32" i="3"/>
  <c r="NWH32" i="3"/>
  <c r="NWI32" i="3"/>
  <c r="NWJ32" i="3"/>
  <c r="NWK32" i="3"/>
  <c r="NWL32" i="3"/>
  <c r="NWM32" i="3"/>
  <c r="NWN32" i="3"/>
  <c r="NWO32" i="3"/>
  <c r="NWP32" i="3"/>
  <c r="NWQ32" i="3"/>
  <c r="NWR32" i="3"/>
  <c r="NWS32" i="3"/>
  <c r="NWT32" i="3"/>
  <c r="NWU32" i="3"/>
  <c r="NWV32" i="3"/>
  <c r="NWW32" i="3"/>
  <c r="NWX32" i="3"/>
  <c r="NWY32" i="3"/>
  <c r="NWZ32" i="3"/>
  <c r="NXA32" i="3"/>
  <c r="NXB32" i="3"/>
  <c r="NXC32" i="3"/>
  <c r="NXD32" i="3"/>
  <c r="NXE32" i="3"/>
  <c r="NXF32" i="3"/>
  <c r="NXG32" i="3"/>
  <c r="NXH32" i="3"/>
  <c r="NXI32" i="3"/>
  <c r="NXJ32" i="3"/>
  <c r="NXK32" i="3"/>
  <c r="NXL32" i="3"/>
  <c r="NXM32" i="3"/>
  <c r="NXN32" i="3"/>
  <c r="NXO32" i="3"/>
  <c r="NXP32" i="3"/>
  <c r="NXQ32" i="3"/>
  <c r="NXR32" i="3"/>
  <c r="NXS32" i="3"/>
  <c r="NXT32" i="3"/>
  <c r="NXU32" i="3"/>
  <c r="NXV32" i="3"/>
  <c r="NXW32" i="3"/>
  <c r="NXX32" i="3"/>
  <c r="NXY32" i="3"/>
  <c r="NXZ32" i="3"/>
  <c r="NYA32" i="3"/>
  <c r="NYB32" i="3"/>
  <c r="NYC32" i="3"/>
  <c r="NYD32" i="3"/>
  <c r="NYE32" i="3"/>
  <c r="NYF32" i="3"/>
  <c r="NYG32" i="3"/>
  <c r="NYH32" i="3"/>
  <c r="NYI32" i="3"/>
  <c r="NYJ32" i="3"/>
  <c r="NYK32" i="3"/>
  <c r="NYL32" i="3"/>
  <c r="NYM32" i="3"/>
  <c r="NYN32" i="3"/>
  <c r="NYO32" i="3"/>
  <c r="NYP32" i="3"/>
  <c r="NYQ32" i="3"/>
  <c r="NYR32" i="3"/>
  <c r="NYS32" i="3"/>
  <c r="NYT32" i="3"/>
  <c r="NYU32" i="3"/>
  <c r="NYV32" i="3"/>
  <c r="NYW32" i="3"/>
  <c r="NYX32" i="3"/>
  <c r="NYY32" i="3"/>
  <c r="NYZ32" i="3"/>
  <c r="NZA32" i="3"/>
  <c r="NZB32" i="3"/>
  <c r="NZC32" i="3"/>
  <c r="NZD32" i="3"/>
  <c r="NZE32" i="3"/>
  <c r="NZF32" i="3"/>
  <c r="NZG32" i="3"/>
  <c r="NZH32" i="3"/>
  <c r="NZI32" i="3"/>
  <c r="NZJ32" i="3"/>
  <c r="NZK32" i="3"/>
  <c r="NZL32" i="3"/>
  <c r="NZM32" i="3"/>
  <c r="NZN32" i="3"/>
  <c r="NZO32" i="3"/>
  <c r="NZP32" i="3"/>
  <c r="NZQ32" i="3"/>
  <c r="NZR32" i="3"/>
  <c r="NZS32" i="3"/>
  <c r="NZT32" i="3"/>
  <c r="NZU32" i="3"/>
  <c r="NZV32" i="3"/>
  <c r="NZW32" i="3"/>
  <c r="NZX32" i="3"/>
  <c r="NZY32" i="3"/>
  <c r="NZZ32" i="3"/>
  <c r="OAA32" i="3"/>
  <c r="OAB32" i="3"/>
  <c r="OAC32" i="3"/>
  <c r="OAD32" i="3"/>
  <c r="OAE32" i="3"/>
  <c r="OAF32" i="3"/>
  <c r="OAG32" i="3"/>
  <c r="OAH32" i="3"/>
  <c r="OAI32" i="3"/>
  <c r="OAJ32" i="3"/>
  <c r="OAK32" i="3"/>
  <c r="OAL32" i="3"/>
  <c r="OAM32" i="3"/>
  <c r="OAN32" i="3"/>
  <c r="OAO32" i="3"/>
  <c r="OAP32" i="3"/>
  <c r="OAQ32" i="3"/>
  <c r="OAR32" i="3"/>
  <c r="OAS32" i="3"/>
  <c r="OAT32" i="3"/>
  <c r="OAU32" i="3"/>
  <c r="OAV32" i="3"/>
  <c r="OAW32" i="3"/>
  <c r="OAX32" i="3"/>
  <c r="OAY32" i="3"/>
  <c r="OAZ32" i="3"/>
  <c r="OBA32" i="3"/>
  <c r="OBB32" i="3"/>
  <c r="OBC32" i="3"/>
  <c r="OBD32" i="3"/>
  <c r="OBE32" i="3"/>
  <c r="OBF32" i="3"/>
  <c r="OBG32" i="3"/>
  <c r="OBH32" i="3"/>
  <c r="OBI32" i="3"/>
  <c r="OBJ32" i="3"/>
  <c r="OBK32" i="3"/>
  <c r="OBL32" i="3"/>
  <c r="OBM32" i="3"/>
  <c r="OBN32" i="3"/>
  <c r="OBO32" i="3"/>
  <c r="OBP32" i="3"/>
  <c r="OBQ32" i="3"/>
  <c r="OBR32" i="3"/>
  <c r="OBS32" i="3"/>
  <c r="OBT32" i="3"/>
  <c r="OBU32" i="3"/>
  <c r="OBV32" i="3"/>
  <c r="OBW32" i="3"/>
  <c r="OBX32" i="3"/>
  <c r="OBY32" i="3"/>
  <c r="OBZ32" i="3"/>
  <c r="OCA32" i="3"/>
  <c r="OCB32" i="3"/>
  <c r="OCC32" i="3"/>
  <c r="OCD32" i="3"/>
  <c r="OCE32" i="3"/>
  <c r="OCF32" i="3"/>
  <c r="OCG32" i="3"/>
  <c r="OCH32" i="3"/>
  <c r="OCI32" i="3"/>
  <c r="OCJ32" i="3"/>
  <c r="OCK32" i="3"/>
  <c r="OCL32" i="3"/>
  <c r="OCM32" i="3"/>
  <c r="OCN32" i="3"/>
  <c r="OCO32" i="3"/>
  <c r="OCP32" i="3"/>
  <c r="OCQ32" i="3"/>
  <c r="OCR32" i="3"/>
  <c r="OCS32" i="3"/>
  <c r="OCT32" i="3"/>
  <c r="OCU32" i="3"/>
  <c r="OCV32" i="3"/>
  <c r="OCW32" i="3"/>
  <c r="OCX32" i="3"/>
  <c r="OCY32" i="3"/>
  <c r="OCZ32" i="3"/>
  <c r="ODA32" i="3"/>
  <c r="ODB32" i="3"/>
  <c r="ODC32" i="3"/>
  <c r="ODD32" i="3"/>
  <c r="ODE32" i="3"/>
  <c r="ODF32" i="3"/>
  <c r="ODG32" i="3"/>
  <c r="ODH32" i="3"/>
  <c r="ODI32" i="3"/>
  <c r="ODJ32" i="3"/>
  <c r="ODK32" i="3"/>
  <c r="ODL32" i="3"/>
  <c r="ODM32" i="3"/>
  <c r="ODN32" i="3"/>
  <c r="ODO32" i="3"/>
  <c r="ODP32" i="3"/>
  <c r="ODQ32" i="3"/>
  <c r="ODR32" i="3"/>
  <c r="ODS32" i="3"/>
  <c r="ODT32" i="3"/>
  <c r="ODU32" i="3"/>
  <c r="ODV32" i="3"/>
  <c r="ODW32" i="3"/>
  <c r="ODX32" i="3"/>
  <c r="ODY32" i="3"/>
  <c r="ODZ32" i="3"/>
  <c r="OEA32" i="3"/>
  <c r="OEB32" i="3"/>
  <c r="OEC32" i="3"/>
  <c r="OED32" i="3"/>
  <c r="OEE32" i="3"/>
  <c r="OEF32" i="3"/>
  <c r="OEG32" i="3"/>
  <c r="OEH32" i="3"/>
  <c r="OEI32" i="3"/>
  <c r="OEJ32" i="3"/>
  <c r="OEK32" i="3"/>
  <c r="OEL32" i="3"/>
  <c r="OEM32" i="3"/>
  <c r="OEN32" i="3"/>
  <c r="OEO32" i="3"/>
  <c r="OEP32" i="3"/>
  <c r="OEQ32" i="3"/>
  <c r="OER32" i="3"/>
  <c r="OES32" i="3"/>
  <c r="OET32" i="3"/>
  <c r="OEU32" i="3"/>
  <c r="OEV32" i="3"/>
  <c r="OEW32" i="3"/>
  <c r="OEX32" i="3"/>
  <c r="OEY32" i="3"/>
  <c r="OEZ32" i="3"/>
  <c r="OFA32" i="3"/>
  <c r="OFB32" i="3"/>
  <c r="OFC32" i="3"/>
  <c r="OFD32" i="3"/>
  <c r="OFE32" i="3"/>
  <c r="OFF32" i="3"/>
  <c r="OFG32" i="3"/>
  <c r="OFH32" i="3"/>
  <c r="OFI32" i="3"/>
  <c r="OFJ32" i="3"/>
  <c r="OFK32" i="3"/>
  <c r="OFL32" i="3"/>
  <c r="OFM32" i="3"/>
  <c r="OFN32" i="3"/>
  <c r="OFO32" i="3"/>
  <c r="OFP32" i="3"/>
  <c r="OFQ32" i="3"/>
  <c r="OFR32" i="3"/>
  <c r="OFS32" i="3"/>
  <c r="OFT32" i="3"/>
  <c r="OFU32" i="3"/>
  <c r="OFV32" i="3"/>
  <c r="OFW32" i="3"/>
  <c r="OFX32" i="3"/>
  <c r="OFY32" i="3"/>
  <c r="OFZ32" i="3"/>
  <c r="OGA32" i="3"/>
  <c r="OGB32" i="3"/>
  <c r="OGC32" i="3"/>
  <c r="OGD32" i="3"/>
  <c r="OGE32" i="3"/>
  <c r="OGF32" i="3"/>
  <c r="OGG32" i="3"/>
  <c r="OGH32" i="3"/>
  <c r="OGI32" i="3"/>
  <c r="OGJ32" i="3"/>
  <c r="OGK32" i="3"/>
  <c r="OGL32" i="3"/>
  <c r="OGM32" i="3"/>
  <c r="OGN32" i="3"/>
  <c r="OGO32" i="3"/>
  <c r="OGP32" i="3"/>
  <c r="OGQ32" i="3"/>
  <c r="OGR32" i="3"/>
  <c r="OGS32" i="3"/>
  <c r="OGT32" i="3"/>
  <c r="OGU32" i="3"/>
  <c r="OGV32" i="3"/>
  <c r="OGW32" i="3"/>
  <c r="OGX32" i="3"/>
  <c r="OGY32" i="3"/>
  <c r="OGZ32" i="3"/>
  <c r="OHA32" i="3"/>
  <c r="OHB32" i="3"/>
  <c r="OHC32" i="3"/>
  <c r="OHD32" i="3"/>
  <c r="OHE32" i="3"/>
  <c r="OHF32" i="3"/>
  <c r="OHG32" i="3"/>
  <c r="OHH32" i="3"/>
  <c r="OHI32" i="3"/>
  <c r="OHJ32" i="3"/>
  <c r="OHK32" i="3"/>
  <c r="OHL32" i="3"/>
  <c r="OHM32" i="3"/>
  <c r="OHN32" i="3"/>
  <c r="OHO32" i="3"/>
  <c r="OHP32" i="3"/>
  <c r="OHQ32" i="3"/>
  <c r="OHR32" i="3"/>
  <c r="OHS32" i="3"/>
  <c r="OHT32" i="3"/>
  <c r="OHU32" i="3"/>
  <c r="OHV32" i="3"/>
  <c r="OHW32" i="3"/>
  <c r="OHX32" i="3"/>
  <c r="OHY32" i="3"/>
  <c r="OHZ32" i="3"/>
  <c r="OIA32" i="3"/>
  <c r="OIB32" i="3"/>
  <c r="OIC32" i="3"/>
  <c r="OID32" i="3"/>
  <c r="OIE32" i="3"/>
  <c r="OIF32" i="3"/>
  <c r="OIG32" i="3"/>
  <c r="OIH32" i="3"/>
  <c r="OII32" i="3"/>
  <c r="OIJ32" i="3"/>
  <c r="OIK32" i="3"/>
  <c r="OIL32" i="3"/>
  <c r="OIM32" i="3"/>
  <c r="OIN32" i="3"/>
  <c r="OIO32" i="3"/>
  <c r="OIP32" i="3"/>
  <c r="OIQ32" i="3"/>
  <c r="OIR32" i="3"/>
  <c r="OIS32" i="3"/>
  <c r="OIT32" i="3"/>
  <c r="OIU32" i="3"/>
  <c r="OIV32" i="3"/>
  <c r="OIW32" i="3"/>
  <c r="OIX32" i="3"/>
  <c r="OIY32" i="3"/>
  <c r="OIZ32" i="3"/>
  <c r="OJA32" i="3"/>
  <c r="OJB32" i="3"/>
  <c r="OJC32" i="3"/>
  <c r="OJD32" i="3"/>
  <c r="OJE32" i="3"/>
  <c r="OJF32" i="3"/>
  <c r="OJG32" i="3"/>
  <c r="OJH32" i="3"/>
  <c r="OJI32" i="3"/>
  <c r="OJJ32" i="3"/>
  <c r="OJK32" i="3"/>
  <c r="OJL32" i="3"/>
  <c r="OJM32" i="3"/>
  <c r="OJN32" i="3"/>
  <c r="OJO32" i="3"/>
  <c r="OJP32" i="3"/>
  <c r="OJQ32" i="3"/>
  <c r="OJR32" i="3"/>
  <c r="OJS32" i="3"/>
  <c r="OJT32" i="3"/>
  <c r="OJU32" i="3"/>
  <c r="OJV32" i="3"/>
  <c r="OJW32" i="3"/>
  <c r="OJX32" i="3"/>
  <c r="OJY32" i="3"/>
  <c r="OJZ32" i="3"/>
  <c r="OKA32" i="3"/>
  <c r="OKB32" i="3"/>
  <c r="OKC32" i="3"/>
  <c r="OKD32" i="3"/>
  <c r="OKE32" i="3"/>
  <c r="OKF32" i="3"/>
  <c r="OKG32" i="3"/>
  <c r="OKH32" i="3"/>
  <c r="OKI32" i="3"/>
  <c r="OKJ32" i="3"/>
  <c r="OKK32" i="3"/>
  <c r="OKL32" i="3"/>
  <c r="OKM32" i="3"/>
  <c r="OKN32" i="3"/>
  <c r="OKO32" i="3"/>
  <c r="OKP32" i="3"/>
  <c r="OKQ32" i="3"/>
  <c r="OKR32" i="3"/>
  <c r="OKS32" i="3"/>
  <c r="OKT32" i="3"/>
  <c r="OKU32" i="3"/>
  <c r="OKV32" i="3"/>
  <c r="OKW32" i="3"/>
  <c r="OKX32" i="3"/>
  <c r="OKY32" i="3"/>
  <c r="OKZ32" i="3"/>
  <c r="OLA32" i="3"/>
  <c r="OLB32" i="3"/>
  <c r="OLC32" i="3"/>
  <c r="OLD32" i="3"/>
  <c r="OLE32" i="3"/>
  <c r="OLF32" i="3"/>
  <c r="OLG32" i="3"/>
  <c r="OLH32" i="3"/>
  <c r="OLI32" i="3"/>
  <c r="OLJ32" i="3"/>
  <c r="OLK32" i="3"/>
  <c r="OLL32" i="3"/>
  <c r="OLM32" i="3"/>
  <c r="OLN32" i="3"/>
  <c r="OLO32" i="3"/>
  <c r="OLP32" i="3"/>
  <c r="OLQ32" i="3"/>
  <c r="OLR32" i="3"/>
  <c r="OLS32" i="3"/>
  <c r="OLT32" i="3"/>
  <c r="OLU32" i="3"/>
  <c r="OLV32" i="3"/>
  <c r="OLW32" i="3"/>
  <c r="OLX32" i="3"/>
  <c r="OLY32" i="3"/>
  <c r="OLZ32" i="3"/>
  <c r="OMA32" i="3"/>
  <c r="OMB32" i="3"/>
  <c r="OMC32" i="3"/>
  <c r="OMD32" i="3"/>
  <c r="OME32" i="3"/>
  <c r="OMF32" i="3"/>
  <c r="OMG32" i="3"/>
  <c r="OMH32" i="3"/>
  <c r="OMI32" i="3"/>
  <c r="OMJ32" i="3"/>
  <c r="OMK32" i="3"/>
  <c r="OML32" i="3"/>
  <c r="OMM32" i="3"/>
  <c r="OMN32" i="3"/>
  <c r="OMO32" i="3"/>
  <c r="OMP32" i="3"/>
  <c r="OMQ32" i="3"/>
  <c r="OMR32" i="3"/>
  <c r="OMS32" i="3"/>
  <c r="OMT32" i="3"/>
  <c r="OMU32" i="3"/>
  <c r="OMV32" i="3"/>
  <c r="OMW32" i="3"/>
  <c r="OMX32" i="3"/>
  <c r="OMY32" i="3"/>
  <c r="OMZ32" i="3"/>
  <c r="ONA32" i="3"/>
  <c r="ONB32" i="3"/>
  <c r="ONC32" i="3"/>
  <c r="OND32" i="3"/>
  <c r="ONE32" i="3"/>
  <c r="ONF32" i="3"/>
  <c r="ONG32" i="3"/>
  <c r="ONH32" i="3"/>
  <c r="ONI32" i="3"/>
  <c r="ONJ32" i="3"/>
  <c r="ONK32" i="3"/>
  <c r="ONL32" i="3"/>
  <c r="ONM32" i="3"/>
  <c r="ONN32" i="3"/>
  <c r="ONO32" i="3"/>
  <c r="ONP32" i="3"/>
  <c r="ONQ32" i="3"/>
  <c r="ONR32" i="3"/>
  <c r="ONS32" i="3"/>
  <c r="ONT32" i="3"/>
  <c r="ONU32" i="3"/>
  <c r="ONV32" i="3"/>
  <c r="ONW32" i="3"/>
  <c r="ONX32" i="3"/>
  <c r="ONY32" i="3"/>
  <c r="ONZ32" i="3"/>
  <c r="OOA32" i="3"/>
  <c r="OOB32" i="3"/>
  <c r="OOC32" i="3"/>
  <c r="OOD32" i="3"/>
  <c r="OOE32" i="3"/>
  <c r="OOF32" i="3"/>
  <c r="OOG32" i="3"/>
  <c r="OOH32" i="3"/>
  <c r="OOI32" i="3"/>
  <c r="OOJ32" i="3"/>
  <c r="OOK32" i="3"/>
  <c r="OOL32" i="3"/>
  <c r="OOM32" i="3"/>
  <c r="OON32" i="3"/>
  <c r="OOO32" i="3"/>
  <c r="OOP32" i="3"/>
  <c r="OOQ32" i="3"/>
  <c r="OOR32" i="3"/>
  <c r="OOS32" i="3"/>
  <c r="OOT32" i="3"/>
  <c r="OOU32" i="3"/>
  <c r="OOV32" i="3"/>
  <c r="OOW32" i="3"/>
  <c r="OOX32" i="3"/>
  <c r="OOY32" i="3"/>
  <c r="OOZ32" i="3"/>
  <c r="OPA32" i="3"/>
  <c r="OPB32" i="3"/>
  <c r="OPC32" i="3"/>
  <c r="OPD32" i="3"/>
  <c r="OPE32" i="3"/>
  <c r="OPF32" i="3"/>
  <c r="OPG32" i="3"/>
  <c r="OPH32" i="3"/>
  <c r="OPI32" i="3"/>
  <c r="OPJ32" i="3"/>
  <c r="OPK32" i="3"/>
  <c r="OPL32" i="3"/>
  <c r="OPM32" i="3"/>
  <c r="OPN32" i="3"/>
  <c r="OPO32" i="3"/>
  <c r="OPP32" i="3"/>
  <c r="OPQ32" i="3"/>
  <c r="OPR32" i="3"/>
  <c r="OPS32" i="3"/>
  <c r="OPT32" i="3"/>
  <c r="OPU32" i="3"/>
  <c r="OPV32" i="3"/>
  <c r="OPW32" i="3"/>
  <c r="OPX32" i="3"/>
  <c r="OPY32" i="3"/>
  <c r="OPZ32" i="3"/>
  <c r="OQA32" i="3"/>
  <c r="OQB32" i="3"/>
  <c r="OQC32" i="3"/>
  <c r="OQD32" i="3"/>
  <c r="OQE32" i="3"/>
  <c r="OQF32" i="3"/>
  <c r="OQG32" i="3"/>
  <c r="OQH32" i="3"/>
  <c r="OQI32" i="3"/>
  <c r="OQJ32" i="3"/>
  <c r="OQK32" i="3"/>
  <c r="OQL32" i="3"/>
  <c r="OQM32" i="3"/>
  <c r="OQN32" i="3"/>
  <c r="OQO32" i="3"/>
  <c r="OQP32" i="3"/>
  <c r="OQQ32" i="3"/>
  <c r="OQR32" i="3"/>
  <c r="OQS32" i="3"/>
  <c r="OQT32" i="3"/>
  <c r="OQU32" i="3"/>
  <c r="OQV32" i="3"/>
  <c r="OQW32" i="3"/>
  <c r="OQX32" i="3"/>
  <c r="OQY32" i="3"/>
  <c r="OQZ32" i="3"/>
  <c r="ORA32" i="3"/>
  <c r="ORB32" i="3"/>
  <c r="ORC32" i="3"/>
  <c r="ORD32" i="3"/>
  <c r="ORE32" i="3"/>
  <c r="ORF32" i="3"/>
  <c r="ORG32" i="3"/>
  <c r="ORH32" i="3"/>
  <c r="ORI32" i="3"/>
  <c r="ORJ32" i="3"/>
  <c r="ORK32" i="3"/>
  <c r="ORL32" i="3"/>
  <c r="ORM32" i="3"/>
  <c r="ORN32" i="3"/>
  <c r="ORO32" i="3"/>
  <c r="ORP32" i="3"/>
  <c r="ORQ32" i="3"/>
  <c r="ORR32" i="3"/>
  <c r="ORS32" i="3"/>
  <c r="ORT32" i="3"/>
  <c r="ORU32" i="3"/>
  <c r="ORV32" i="3"/>
  <c r="ORW32" i="3"/>
  <c r="ORX32" i="3"/>
  <c r="ORY32" i="3"/>
  <c r="ORZ32" i="3"/>
  <c r="OSA32" i="3"/>
  <c r="OSB32" i="3"/>
  <c r="OSC32" i="3"/>
  <c r="OSD32" i="3"/>
  <c r="OSE32" i="3"/>
  <c r="OSF32" i="3"/>
  <c r="OSG32" i="3"/>
  <c r="OSH32" i="3"/>
  <c r="OSI32" i="3"/>
  <c r="OSJ32" i="3"/>
  <c r="OSK32" i="3"/>
  <c r="OSL32" i="3"/>
  <c r="OSM32" i="3"/>
  <c r="OSN32" i="3"/>
  <c r="OSO32" i="3"/>
  <c r="OSP32" i="3"/>
  <c r="OSQ32" i="3"/>
  <c r="OSR32" i="3"/>
  <c r="OSS32" i="3"/>
  <c r="OST32" i="3"/>
  <c r="OSU32" i="3"/>
  <c r="OSV32" i="3"/>
  <c r="OSW32" i="3"/>
  <c r="OSX32" i="3"/>
  <c r="OSY32" i="3"/>
  <c r="OSZ32" i="3"/>
  <c r="OTA32" i="3"/>
  <c r="OTB32" i="3"/>
  <c r="OTC32" i="3"/>
  <c r="OTD32" i="3"/>
  <c r="OTE32" i="3"/>
  <c r="OTF32" i="3"/>
  <c r="OTG32" i="3"/>
  <c r="OTH32" i="3"/>
  <c r="OTI32" i="3"/>
  <c r="OTJ32" i="3"/>
  <c r="OTK32" i="3"/>
  <c r="OTL32" i="3"/>
  <c r="OTM32" i="3"/>
  <c r="OTN32" i="3"/>
  <c r="OTO32" i="3"/>
  <c r="OTP32" i="3"/>
  <c r="OTQ32" i="3"/>
  <c r="OTR32" i="3"/>
  <c r="OTS32" i="3"/>
  <c r="OTT32" i="3"/>
  <c r="OTU32" i="3"/>
  <c r="OTV32" i="3"/>
  <c r="OTW32" i="3"/>
  <c r="OTX32" i="3"/>
  <c r="OTY32" i="3"/>
  <c r="OTZ32" i="3"/>
  <c r="OUA32" i="3"/>
  <c r="OUB32" i="3"/>
  <c r="OUC32" i="3"/>
  <c r="OUD32" i="3"/>
  <c r="OUE32" i="3"/>
  <c r="OUF32" i="3"/>
  <c r="OUG32" i="3"/>
  <c r="OUH32" i="3"/>
  <c r="OUI32" i="3"/>
  <c r="OUJ32" i="3"/>
  <c r="OUK32" i="3"/>
  <c r="OUL32" i="3"/>
  <c r="OUM32" i="3"/>
  <c r="OUN32" i="3"/>
  <c r="OUO32" i="3"/>
  <c r="OUP32" i="3"/>
  <c r="OUQ32" i="3"/>
  <c r="OUR32" i="3"/>
  <c r="OUS32" i="3"/>
  <c r="OUT32" i="3"/>
  <c r="OUU32" i="3"/>
  <c r="OUV32" i="3"/>
  <c r="OUW32" i="3"/>
  <c r="OUX32" i="3"/>
  <c r="OUY32" i="3"/>
  <c r="OUZ32" i="3"/>
  <c r="OVA32" i="3"/>
  <c r="OVB32" i="3"/>
  <c r="OVC32" i="3"/>
  <c r="OVD32" i="3"/>
  <c r="OVE32" i="3"/>
  <c r="OVF32" i="3"/>
  <c r="OVG32" i="3"/>
  <c r="OVH32" i="3"/>
  <c r="OVI32" i="3"/>
  <c r="OVJ32" i="3"/>
  <c r="OVK32" i="3"/>
  <c r="OVL32" i="3"/>
  <c r="OVM32" i="3"/>
  <c r="OVN32" i="3"/>
  <c r="OVO32" i="3"/>
  <c r="OVP32" i="3"/>
  <c r="OVQ32" i="3"/>
  <c r="OVR32" i="3"/>
  <c r="OVS32" i="3"/>
  <c r="OVT32" i="3"/>
  <c r="OVU32" i="3"/>
  <c r="OVV32" i="3"/>
  <c r="OVW32" i="3"/>
  <c r="OVX32" i="3"/>
  <c r="OVY32" i="3"/>
  <c r="OVZ32" i="3"/>
  <c r="OWA32" i="3"/>
  <c r="OWB32" i="3"/>
  <c r="OWC32" i="3"/>
  <c r="OWD32" i="3"/>
  <c r="OWE32" i="3"/>
  <c r="OWF32" i="3"/>
  <c r="OWG32" i="3"/>
  <c r="OWH32" i="3"/>
  <c r="OWI32" i="3"/>
  <c r="OWJ32" i="3"/>
  <c r="OWK32" i="3"/>
  <c r="OWL32" i="3"/>
  <c r="OWM32" i="3"/>
  <c r="OWN32" i="3"/>
  <c r="OWO32" i="3"/>
  <c r="OWP32" i="3"/>
  <c r="OWQ32" i="3"/>
  <c r="OWR32" i="3"/>
  <c r="OWS32" i="3"/>
  <c r="OWT32" i="3"/>
  <c r="OWU32" i="3"/>
  <c r="OWV32" i="3"/>
  <c r="OWW32" i="3"/>
  <c r="OWX32" i="3"/>
  <c r="OWY32" i="3"/>
  <c r="OWZ32" i="3"/>
  <c r="OXA32" i="3"/>
  <c r="OXB32" i="3"/>
  <c r="OXC32" i="3"/>
  <c r="OXD32" i="3"/>
  <c r="OXE32" i="3"/>
  <c r="OXF32" i="3"/>
  <c r="OXG32" i="3"/>
  <c r="OXH32" i="3"/>
  <c r="OXI32" i="3"/>
  <c r="OXJ32" i="3"/>
  <c r="OXK32" i="3"/>
  <c r="OXL32" i="3"/>
  <c r="OXM32" i="3"/>
  <c r="OXN32" i="3"/>
  <c r="OXO32" i="3"/>
  <c r="OXP32" i="3"/>
  <c r="OXQ32" i="3"/>
  <c r="OXR32" i="3"/>
  <c r="OXS32" i="3"/>
  <c r="OXT32" i="3"/>
  <c r="OXU32" i="3"/>
  <c r="OXV32" i="3"/>
  <c r="OXW32" i="3"/>
  <c r="OXX32" i="3"/>
  <c r="OXY32" i="3"/>
  <c r="OXZ32" i="3"/>
  <c r="OYA32" i="3"/>
  <c r="OYB32" i="3"/>
  <c r="OYC32" i="3"/>
  <c r="OYD32" i="3"/>
  <c r="OYE32" i="3"/>
  <c r="OYF32" i="3"/>
  <c r="OYG32" i="3"/>
  <c r="OYH32" i="3"/>
  <c r="OYI32" i="3"/>
  <c r="OYJ32" i="3"/>
  <c r="OYK32" i="3"/>
  <c r="OYL32" i="3"/>
  <c r="OYM32" i="3"/>
  <c r="OYN32" i="3"/>
  <c r="OYO32" i="3"/>
  <c r="OYP32" i="3"/>
  <c r="OYQ32" i="3"/>
  <c r="OYR32" i="3"/>
  <c r="OYS32" i="3"/>
  <c r="OYT32" i="3"/>
  <c r="OYU32" i="3"/>
  <c r="OYV32" i="3"/>
  <c r="OYW32" i="3"/>
  <c r="OYX32" i="3"/>
  <c r="OYY32" i="3"/>
  <c r="OYZ32" i="3"/>
  <c r="OZA32" i="3"/>
  <c r="OZB32" i="3"/>
  <c r="OZC32" i="3"/>
  <c r="OZD32" i="3"/>
  <c r="OZE32" i="3"/>
  <c r="OZF32" i="3"/>
  <c r="OZG32" i="3"/>
  <c r="OZH32" i="3"/>
  <c r="OZI32" i="3"/>
  <c r="OZJ32" i="3"/>
  <c r="OZK32" i="3"/>
  <c r="OZL32" i="3"/>
  <c r="OZM32" i="3"/>
  <c r="OZN32" i="3"/>
  <c r="OZO32" i="3"/>
  <c r="OZP32" i="3"/>
  <c r="OZQ32" i="3"/>
  <c r="OZR32" i="3"/>
  <c r="OZS32" i="3"/>
  <c r="OZT32" i="3"/>
  <c r="OZU32" i="3"/>
  <c r="OZV32" i="3"/>
  <c r="OZW32" i="3"/>
  <c r="OZX32" i="3"/>
  <c r="OZY32" i="3"/>
  <c r="OZZ32" i="3"/>
  <c r="PAA32" i="3"/>
  <c r="PAB32" i="3"/>
  <c r="PAC32" i="3"/>
  <c r="PAD32" i="3"/>
  <c r="PAE32" i="3"/>
  <c r="PAF32" i="3"/>
  <c r="PAG32" i="3"/>
  <c r="PAH32" i="3"/>
  <c r="PAI32" i="3"/>
  <c r="PAJ32" i="3"/>
  <c r="PAK32" i="3"/>
  <c r="PAL32" i="3"/>
  <c r="PAM32" i="3"/>
  <c r="PAN32" i="3"/>
  <c r="PAO32" i="3"/>
  <c r="PAP32" i="3"/>
  <c r="PAQ32" i="3"/>
  <c r="PAR32" i="3"/>
  <c r="PAS32" i="3"/>
  <c r="PAT32" i="3"/>
  <c r="PAU32" i="3"/>
  <c r="PAV32" i="3"/>
  <c r="PAW32" i="3"/>
  <c r="PAX32" i="3"/>
  <c r="PAY32" i="3"/>
  <c r="PAZ32" i="3"/>
  <c r="PBA32" i="3"/>
  <c r="PBB32" i="3"/>
  <c r="PBC32" i="3"/>
  <c r="PBD32" i="3"/>
  <c r="PBE32" i="3"/>
  <c r="PBF32" i="3"/>
  <c r="PBG32" i="3"/>
  <c r="PBH32" i="3"/>
  <c r="PBI32" i="3"/>
  <c r="PBJ32" i="3"/>
  <c r="PBK32" i="3"/>
  <c r="PBL32" i="3"/>
  <c r="PBM32" i="3"/>
  <c r="PBN32" i="3"/>
  <c r="PBO32" i="3"/>
  <c r="PBP32" i="3"/>
  <c r="PBQ32" i="3"/>
  <c r="PBR32" i="3"/>
  <c r="PBS32" i="3"/>
  <c r="PBT32" i="3"/>
  <c r="PBU32" i="3"/>
  <c r="PBV32" i="3"/>
  <c r="PBW32" i="3"/>
  <c r="PBX32" i="3"/>
  <c r="PBY32" i="3"/>
  <c r="PBZ32" i="3"/>
  <c r="PCA32" i="3"/>
  <c r="PCB32" i="3"/>
  <c r="PCC32" i="3"/>
  <c r="PCD32" i="3"/>
  <c r="PCE32" i="3"/>
  <c r="PCF32" i="3"/>
  <c r="PCG32" i="3"/>
  <c r="PCH32" i="3"/>
  <c r="PCI32" i="3"/>
  <c r="PCJ32" i="3"/>
  <c r="PCK32" i="3"/>
  <c r="PCL32" i="3"/>
  <c r="PCM32" i="3"/>
  <c r="PCN32" i="3"/>
  <c r="PCO32" i="3"/>
  <c r="PCP32" i="3"/>
  <c r="PCQ32" i="3"/>
  <c r="PCR32" i="3"/>
  <c r="PCS32" i="3"/>
  <c r="PCT32" i="3"/>
  <c r="PCU32" i="3"/>
  <c r="PCV32" i="3"/>
  <c r="PCW32" i="3"/>
  <c r="PCX32" i="3"/>
  <c r="PCY32" i="3"/>
  <c r="PCZ32" i="3"/>
  <c r="PDA32" i="3"/>
  <c r="PDB32" i="3"/>
  <c r="PDC32" i="3"/>
  <c r="PDD32" i="3"/>
  <c r="PDE32" i="3"/>
  <c r="PDF32" i="3"/>
  <c r="PDG32" i="3"/>
  <c r="PDH32" i="3"/>
  <c r="PDI32" i="3"/>
  <c r="PDJ32" i="3"/>
  <c r="PDK32" i="3"/>
  <c r="PDL32" i="3"/>
  <c r="PDM32" i="3"/>
  <c r="PDN32" i="3"/>
  <c r="PDO32" i="3"/>
  <c r="PDP32" i="3"/>
  <c r="PDQ32" i="3"/>
  <c r="PDR32" i="3"/>
  <c r="PDS32" i="3"/>
  <c r="PDT32" i="3"/>
  <c r="PDU32" i="3"/>
  <c r="PDV32" i="3"/>
  <c r="PDW32" i="3"/>
  <c r="PDX32" i="3"/>
  <c r="PDY32" i="3"/>
  <c r="PDZ32" i="3"/>
  <c r="PEA32" i="3"/>
  <c r="PEB32" i="3"/>
  <c r="PEC32" i="3"/>
  <c r="PED32" i="3"/>
  <c r="PEE32" i="3"/>
  <c r="PEF32" i="3"/>
  <c r="PEG32" i="3"/>
  <c r="PEH32" i="3"/>
  <c r="PEI32" i="3"/>
  <c r="PEJ32" i="3"/>
  <c r="PEK32" i="3"/>
  <c r="PEL32" i="3"/>
  <c r="PEM32" i="3"/>
  <c r="PEN32" i="3"/>
  <c r="PEO32" i="3"/>
  <c r="PEP32" i="3"/>
  <c r="PEQ32" i="3"/>
  <c r="PER32" i="3"/>
  <c r="PES32" i="3"/>
  <c r="PET32" i="3"/>
  <c r="PEU32" i="3"/>
  <c r="PEV32" i="3"/>
  <c r="PEW32" i="3"/>
  <c r="PEX32" i="3"/>
  <c r="PEY32" i="3"/>
  <c r="PEZ32" i="3"/>
  <c r="PFA32" i="3"/>
  <c r="PFB32" i="3"/>
  <c r="PFC32" i="3"/>
  <c r="PFD32" i="3"/>
  <c r="PFE32" i="3"/>
  <c r="PFF32" i="3"/>
  <c r="PFG32" i="3"/>
  <c r="PFH32" i="3"/>
  <c r="PFI32" i="3"/>
  <c r="PFJ32" i="3"/>
  <c r="PFK32" i="3"/>
  <c r="PFL32" i="3"/>
  <c r="PFM32" i="3"/>
  <c r="PFN32" i="3"/>
  <c r="PFO32" i="3"/>
  <c r="PFP32" i="3"/>
  <c r="PFQ32" i="3"/>
  <c r="PFR32" i="3"/>
  <c r="PFS32" i="3"/>
  <c r="PFT32" i="3"/>
  <c r="PFU32" i="3"/>
  <c r="PFV32" i="3"/>
  <c r="PFW32" i="3"/>
  <c r="PFX32" i="3"/>
  <c r="PFY32" i="3"/>
  <c r="PFZ32" i="3"/>
  <c r="PGA32" i="3"/>
  <c r="PGB32" i="3"/>
  <c r="PGC32" i="3"/>
  <c r="PGD32" i="3"/>
  <c r="PGE32" i="3"/>
  <c r="PGF32" i="3"/>
  <c r="PGG32" i="3"/>
  <c r="PGH32" i="3"/>
  <c r="PGI32" i="3"/>
  <c r="PGJ32" i="3"/>
  <c r="PGK32" i="3"/>
  <c r="PGL32" i="3"/>
  <c r="PGM32" i="3"/>
  <c r="PGN32" i="3"/>
  <c r="PGO32" i="3"/>
  <c r="PGP32" i="3"/>
  <c r="PGQ32" i="3"/>
  <c r="PGR32" i="3"/>
  <c r="PGS32" i="3"/>
  <c r="PGT32" i="3"/>
  <c r="PGU32" i="3"/>
  <c r="PGV32" i="3"/>
  <c r="PGW32" i="3"/>
  <c r="PGX32" i="3"/>
  <c r="PGY32" i="3"/>
  <c r="PGZ32" i="3"/>
  <c r="PHA32" i="3"/>
  <c r="PHB32" i="3"/>
  <c r="PHC32" i="3"/>
  <c r="PHD32" i="3"/>
  <c r="PHE32" i="3"/>
  <c r="PHF32" i="3"/>
  <c r="PHG32" i="3"/>
  <c r="PHH32" i="3"/>
  <c r="PHI32" i="3"/>
  <c r="PHJ32" i="3"/>
  <c r="PHK32" i="3"/>
  <c r="PHL32" i="3"/>
  <c r="PHM32" i="3"/>
  <c r="PHN32" i="3"/>
  <c r="PHO32" i="3"/>
  <c r="PHP32" i="3"/>
  <c r="PHQ32" i="3"/>
  <c r="PHR32" i="3"/>
  <c r="PHS32" i="3"/>
  <c r="PHT32" i="3"/>
  <c r="PHU32" i="3"/>
  <c r="PHV32" i="3"/>
  <c r="PHW32" i="3"/>
  <c r="PHX32" i="3"/>
  <c r="PHY32" i="3"/>
  <c r="PHZ32" i="3"/>
  <c r="PIA32" i="3"/>
  <c r="PIB32" i="3"/>
  <c r="PIC32" i="3"/>
  <c r="PID32" i="3"/>
  <c r="PIE32" i="3"/>
  <c r="PIF32" i="3"/>
  <c r="PIG32" i="3"/>
  <c r="PIH32" i="3"/>
  <c r="PII32" i="3"/>
  <c r="PIJ32" i="3"/>
  <c r="PIK32" i="3"/>
  <c r="PIL32" i="3"/>
  <c r="PIM32" i="3"/>
  <c r="PIN32" i="3"/>
  <c r="PIO32" i="3"/>
  <c r="PIP32" i="3"/>
  <c r="PIQ32" i="3"/>
  <c r="PIR32" i="3"/>
  <c r="PIS32" i="3"/>
  <c r="PIT32" i="3"/>
  <c r="PIU32" i="3"/>
  <c r="PIV32" i="3"/>
  <c r="PIW32" i="3"/>
  <c r="PIX32" i="3"/>
  <c r="PIY32" i="3"/>
  <c r="PIZ32" i="3"/>
  <c r="PJA32" i="3"/>
  <c r="PJB32" i="3"/>
  <c r="PJC32" i="3"/>
  <c r="PJD32" i="3"/>
  <c r="PJE32" i="3"/>
  <c r="PJF32" i="3"/>
  <c r="PJG32" i="3"/>
  <c r="PJH32" i="3"/>
  <c r="PJI32" i="3"/>
  <c r="PJJ32" i="3"/>
  <c r="PJK32" i="3"/>
  <c r="PJL32" i="3"/>
  <c r="PJM32" i="3"/>
  <c r="PJN32" i="3"/>
  <c r="PJO32" i="3"/>
  <c r="PJP32" i="3"/>
  <c r="PJQ32" i="3"/>
  <c r="PJR32" i="3"/>
  <c r="PJS32" i="3"/>
  <c r="PJT32" i="3"/>
  <c r="PJU32" i="3"/>
  <c r="PJV32" i="3"/>
  <c r="PJW32" i="3"/>
  <c r="PJX32" i="3"/>
  <c r="PJY32" i="3"/>
  <c r="PJZ32" i="3"/>
  <c r="PKA32" i="3"/>
  <c r="PKB32" i="3"/>
  <c r="PKC32" i="3"/>
  <c r="PKD32" i="3"/>
  <c r="PKE32" i="3"/>
  <c r="PKF32" i="3"/>
  <c r="PKG32" i="3"/>
  <c r="PKH32" i="3"/>
  <c r="PKI32" i="3"/>
  <c r="PKJ32" i="3"/>
  <c r="PKK32" i="3"/>
  <c r="PKL32" i="3"/>
  <c r="PKM32" i="3"/>
  <c r="PKN32" i="3"/>
  <c r="PKO32" i="3"/>
  <c r="PKP32" i="3"/>
  <c r="PKQ32" i="3"/>
  <c r="PKR32" i="3"/>
  <c r="PKS32" i="3"/>
  <c r="PKT32" i="3"/>
  <c r="PKU32" i="3"/>
  <c r="PKV32" i="3"/>
  <c r="PKW32" i="3"/>
  <c r="PKX32" i="3"/>
  <c r="PKY32" i="3"/>
  <c r="PKZ32" i="3"/>
  <c r="PLA32" i="3"/>
  <c r="PLB32" i="3"/>
  <c r="PLC32" i="3"/>
  <c r="PLD32" i="3"/>
  <c r="PLE32" i="3"/>
  <c r="PLF32" i="3"/>
  <c r="PLG32" i="3"/>
  <c r="PLH32" i="3"/>
  <c r="PLI32" i="3"/>
  <c r="PLJ32" i="3"/>
  <c r="PLK32" i="3"/>
  <c r="PLL32" i="3"/>
  <c r="PLM32" i="3"/>
  <c r="PLN32" i="3"/>
  <c r="PLO32" i="3"/>
  <c r="PLP32" i="3"/>
  <c r="PLQ32" i="3"/>
  <c r="PLR32" i="3"/>
  <c r="PLS32" i="3"/>
  <c r="PLT32" i="3"/>
  <c r="PLU32" i="3"/>
  <c r="PLV32" i="3"/>
  <c r="PLW32" i="3"/>
  <c r="PLX32" i="3"/>
  <c r="PLY32" i="3"/>
  <c r="PLZ32" i="3"/>
  <c r="PMA32" i="3"/>
  <c r="PMB32" i="3"/>
  <c r="PMC32" i="3"/>
  <c r="PMD32" i="3"/>
  <c r="PME32" i="3"/>
  <c r="PMF32" i="3"/>
  <c r="PMG32" i="3"/>
  <c r="PMH32" i="3"/>
  <c r="PMI32" i="3"/>
  <c r="PMJ32" i="3"/>
  <c r="PMK32" i="3"/>
  <c r="PML32" i="3"/>
  <c r="PMM32" i="3"/>
  <c r="PMN32" i="3"/>
  <c r="PMO32" i="3"/>
  <c r="PMP32" i="3"/>
  <c r="PMQ32" i="3"/>
  <c r="PMR32" i="3"/>
  <c r="PMS32" i="3"/>
  <c r="PMT32" i="3"/>
  <c r="PMU32" i="3"/>
  <c r="PMV32" i="3"/>
  <c r="PMW32" i="3"/>
  <c r="PMX32" i="3"/>
  <c r="PMY32" i="3"/>
  <c r="PMZ32" i="3"/>
  <c r="PNA32" i="3"/>
  <c r="PNB32" i="3"/>
  <c r="PNC32" i="3"/>
  <c r="PND32" i="3"/>
  <c r="PNE32" i="3"/>
  <c r="PNF32" i="3"/>
  <c r="PNG32" i="3"/>
  <c r="PNH32" i="3"/>
  <c r="PNI32" i="3"/>
  <c r="PNJ32" i="3"/>
  <c r="PNK32" i="3"/>
  <c r="PNL32" i="3"/>
  <c r="PNM32" i="3"/>
  <c r="PNN32" i="3"/>
  <c r="PNO32" i="3"/>
  <c r="PNP32" i="3"/>
  <c r="PNQ32" i="3"/>
  <c r="PNR32" i="3"/>
  <c r="PNS32" i="3"/>
  <c r="PNT32" i="3"/>
  <c r="PNU32" i="3"/>
  <c r="PNV32" i="3"/>
  <c r="PNW32" i="3"/>
  <c r="PNX32" i="3"/>
  <c r="PNY32" i="3"/>
  <c r="PNZ32" i="3"/>
  <c r="POA32" i="3"/>
  <c r="POB32" i="3"/>
  <c r="POC32" i="3"/>
  <c r="POD32" i="3"/>
  <c r="POE32" i="3"/>
  <c r="POF32" i="3"/>
  <c r="POG32" i="3"/>
  <c r="POH32" i="3"/>
  <c r="POI32" i="3"/>
  <c r="POJ32" i="3"/>
  <c r="POK32" i="3"/>
  <c r="POL32" i="3"/>
  <c r="POM32" i="3"/>
  <c r="PON32" i="3"/>
  <c r="POO32" i="3"/>
  <c r="POP32" i="3"/>
  <c r="POQ32" i="3"/>
  <c r="POR32" i="3"/>
  <c r="POS32" i="3"/>
  <c r="POT32" i="3"/>
  <c r="POU32" i="3"/>
  <c r="POV32" i="3"/>
  <c r="POW32" i="3"/>
  <c r="POX32" i="3"/>
  <c r="POY32" i="3"/>
  <c r="POZ32" i="3"/>
  <c r="PPA32" i="3"/>
  <c r="PPB32" i="3"/>
  <c r="PPC32" i="3"/>
  <c r="PPD32" i="3"/>
  <c r="PPE32" i="3"/>
  <c r="PPF32" i="3"/>
  <c r="PPG32" i="3"/>
  <c r="PPH32" i="3"/>
  <c r="PPI32" i="3"/>
  <c r="PPJ32" i="3"/>
  <c r="PPK32" i="3"/>
  <c r="PPL32" i="3"/>
  <c r="PPM32" i="3"/>
  <c r="PPN32" i="3"/>
  <c r="PPO32" i="3"/>
  <c r="PPP32" i="3"/>
  <c r="PPQ32" i="3"/>
  <c r="PPR32" i="3"/>
  <c r="PPS32" i="3"/>
  <c r="PPT32" i="3"/>
  <c r="PPU32" i="3"/>
  <c r="PPV32" i="3"/>
  <c r="PPW32" i="3"/>
  <c r="PPX32" i="3"/>
  <c r="PPY32" i="3"/>
  <c r="PPZ32" i="3"/>
  <c r="PQA32" i="3"/>
  <c r="PQB32" i="3"/>
  <c r="PQC32" i="3"/>
  <c r="PQD32" i="3"/>
  <c r="PQE32" i="3"/>
  <c r="PQF32" i="3"/>
  <c r="PQG32" i="3"/>
  <c r="PQH32" i="3"/>
  <c r="PQI32" i="3"/>
  <c r="PQJ32" i="3"/>
  <c r="PQK32" i="3"/>
  <c r="PQL32" i="3"/>
  <c r="PQM32" i="3"/>
  <c r="PQN32" i="3"/>
  <c r="PQO32" i="3"/>
  <c r="PQP32" i="3"/>
  <c r="PQQ32" i="3"/>
  <c r="PQR32" i="3"/>
  <c r="PQS32" i="3"/>
  <c r="PQT32" i="3"/>
  <c r="PQU32" i="3"/>
  <c r="PQV32" i="3"/>
  <c r="PQW32" i="3"/>
  <c r="PQX32" i="3"/>
  <c r="PQY32" i="3"/>
  <c r="PQZ32" i="3"/>
  <c r="PRA32" i="3"/>
  <c r="PRB32" i="3"/>
  <c r="PRC32" i="3"/>
  <c r="PRD32" i="3"/>
  <c r="PRE32" i="3"/>
  <c r="PRF32" i="3"/>
  <c r="PRG32" i="3"/>
  <c r="PRH32" i="3"/>
  <c r="PRI32" i="3"/>
  <c r="PRJ32" i="3"/>
  <c r="PRK32" i="3"/>
  <c r="PRL32" i="3"/>
  <c r="PRM32" i="3"/>
  <c r="PRN32" i="3"/>
  <c r="PRO32" i="3"/>
  <c r="PRP32" i="3"/>
  <c r="PRQ32" i="3"/>
  <c r="PRR32" i="3"/>
  <c r="PRS32" i="3"/>
  <c r="PRT32" i="3"/>
  <c r="PRU32" i="3"/>
  <c r="PRV32" i="3"/>
  <c r="PRW32" i="3"/>
  <c r="PRX32" i="3"/>
  <c r="PRY32" i="3"/>
  <c r="PRZ32" i="3"/>
  <c r="PSA32" i="3"/>
  <c r="PSB32" i="3"/>
  <c r="PSC32" i="3"/>
  <c r="PSD32" i="3"/>
  <c r="PSE32" i="3"/>
  <c r="PSF32" i="3"/>
  <c r="PSG32" i="3"/>
  <c r="PSH32" i="3"/>
  <c r="PSI32" i="3"/>
  <c r="PSJ32" i="3"/>
  <c r="PSK32" i="3"/>
  <c r="PSL32" i="3"/>
  <c r="PSM32" i="3"/>
  <c r="PSN32" i="3"/>
  <c r="PSO32" i="3"/>
  <c r="PSP32" i="3"/>
  <c r="PSQ32" i="3"/>
  <c r="PSR32" i="3"/>
  <c r="PSS32" i="3"/>
  <c r="PST32" i="3"/>
  <c r="PSU32" i="3"/>
  <c r="PSV32" i="3"/>
  <c r="PSW32" i="3"/>
  <c r="PSX32" i="3"/>
  <c r="PSY32" i="3"/>
  <c r="PSZ32" i="3"/>
  <c r="PTA32" i="3"/>
  <c r="PTB32" i="3"/>
  <c r="PTC32" i="3"/>
  <c r="PTD32" i="3"/>
  <c r="PTE32" i="3"/>
  <c r="PTF32" i="3"/>
  <c r="PTG32" i="3"/>
  <c r="PTH32" i="3"/>
  <c r="PTI32" i="3"/>
  <c r="PTJ32" i="3"/>
  <c r="PTK32" i="3"/>
  <c r="PTL32" i="3"/>
  <c r="PTM32" i="3"/>
  <c r="PTN32" i="3"/>
  <c r="PTO32" i="3"/>
  <c r="PTP32" i="3"/>
  <c r="PTQ32" i="3"/>
  <c r="PTR32" i="3"/>
  <c r="PTS32" i="3"/>
  <c r="PTT32" i="3"/>
  <c r="PTU32" i="3"/>
  <c r="PTV32" i="3"/>
  <c r="PTW32" i="3"/>
  <c r="PTX32" i="3"/>
  <c r="PTY32" i="3"/>
  <c r="PTZ32" i="3"/>
  <c r="PUA32" i="3"/>
  <c r="PUB32" i="3"/>
  <c r="PUC32" i="3"/>
  <c r="PUD32" i="3"/>
  <c r="PUE32" i="3"/>
  <c r="PUF32" i="3"/>
  <c r="PUG32" i="3"/>
  <c r="PUH32" i="3"/>
  <c r="PUI32" i="3"/>
  <c r="PUJ32" i="3"/>
  <c r="PUK32" i="3"/>
  <c r="PUL32" i="3"/>
  <c r="PUM32" i="3"/>
  <c r="PUN32" i="3"/>
  <c r="PUO32" i="3"/>
  <c r="PUP32" i="3"/>
  <c r="PUQ32" i="3"/>
  <c r="PUR32" i="3"/>
  <c r="PUS32" i="3"/>
  <c r="PUT32" i="3"/>
  <c r="PUU32" i="3"/>
  <c r="PUV32" i="3"/>
  <c r="PUW32" i="3"/>
  <c r="PUX32" i="3"/>
  <c r="PUY32" i="3"/>
  <c r="PUZ32" i="3"/>
  <c r="PVA32" i="3"/>
  <c r="PVB32" i="3"/>
  <c r="PVC32" i="3"/>
  <c r="PVD32" i="3"/>
  <c r="PVE32" i="3"/>
  <c r="PVF32" i="3"/>
  <c r="PVG32" i="3"/>
  <c r="PVH32" i="3"/>
  <c r="PVI32" i="3"/>
  <c r="PVJ32" i="3"/>
  <c r="PVK32" i="3"/>
  <c r="PVL32" i="3"/>
  <c r="PVM32" i="3"/>
  <c r="PVN32" i="3"/>
  <c r="PVO32" i="3"/>
  <c r="PVP32" i="3"/>
  <c r="PVQ32" i="3"/>
  <c r="PVR32" i="3"/>
  <c r="PVS32" i="3"/>
  <c r="PVT32" i="3"/>
  <c r="PVU32" i="3"/>
  <c r="PVV32" i="3"/>
  <c r="PVW32" i="3"/>
  <c r="PVX32" i="3"/>
  <c r="PVY32" i="3"/>
  <c r="PVZ32" i="3"/>
  <c r="PWA32" i="3"/>
  <c r="PWB32" i="3"/>
  <c r="PWC32" i="3"/>
  <c r="PWD32" i="3"/>
  <c r="PWE32" i="3"/>
  <c r="PWF32" i="3"/>
  <c r="PWG32" i="3"/>
  <c r="PWH32" i="3"/>
  <c r="PWI32" i="3"/>
  <c r="PWJ32" i="3"/>
  <c r="PWK32" i="3"/>
  <c r="PWL32" i="3"/>
  <c r="PWM32" i="3"/>
  <c r="PWN32" i="3"/>
  <c r="PWO32" i="3"/>
  <c r="PWP32" i="3"/>
  <c r="PWQ32" i="3"/>
  <c r="PWR32" i="3"/>
  <c r="PWS32" i="3"/>
  <c r="PWT32" i="3"/>
  <c r="PWU32" i="3"/>
  <c r="PWV32" i="3"/>
  <c r="PWW32" i="3"/>
  <c r="PWX32" i="3"/>
  <c r="PWY32" i="3"/>
  <c r="PWZ32" i="3"/>
  <c r="PXA32" i="3"/>
  <c r="PXB32" i="3"/>
  <c r="PXC32" i="3"/>
  <c r="PXD32" i="3"/>
  <c r="PXE32" i="3"/>
  <c r="PXF32" i="3"/>
  <c r="PXG32" i="3"/>
  <c r="PXH32" i="3"/>
  <c r="PXI32" i="3"/>
  <c r="PXJ32" i="3"/>
  <c r="PXK32" i="3"/>
  <c r="PXL32" i="3"/>
  <c r="PXM32" i="3"/>
  <c r="PXN32" i="3"/>
  <c r="PXO32" i="3"/>
  <c r="PXP32" i="3"/>
  <c r="PXQ32" i="3"/>
  <c r="PXR32" i="3"/>
  <c r="PXS32" i="3"/>
  <c r="PXT32" i="3"/>
  <c r="PXU32" i="3"/>
  <c r="PXV32" i="3"/>
  <c r="PXW32" i="3"/>
  <c r="PXX32" i="3"/>
  <c r="PXY32" i="3"/>
  <c r="PXZ32" i="3"/>
  <c r="PYA32" i="3"/>
  <c r="PYB32" i="3"/>
  <c r="PYC32" i="3"/>
  <c r="PYD32" i="3"/>
  <c r="PYE32" i="3"/>
  <c r="PYF32" i="3"/>
  <c r="PYG32" i="3"/>
  <c r="PYH32" i="3"/>
  <c r="PYI32" i="3"/>
  <c r="PYJ32" i="3"/>
  <c r="PYK32" i="3"/>
  <c r="PYL32" i="3"/>
  <c r="PYM32" i="3"/>
  <c r="PYN32" i="3"/>
  <c r="PYO32" i="3"/>
  <c r="PYP32" i="3"/>
  <c r="PYQ32" i="3"/>
  <c r="PYR32" i="3"/>
  <c r="PYS32" i="3"/>
  <c r="PYT32" i="3"/>
  <c r="PYU32" i="3"/>
  <c r="PYV32" i="3"/>
  <c r="PYW32" i="3"/>
  <c r="PYX32" i="3"/>
  <c r="PYY32" i="3"/>
  <c r="PYZ32" i="3"/>
  <c r="PZA32" i="3"/>
  <c r="PZB32" i="3"/>
  <c r="PZC32" i="3"/>
  <c r="PZD32" i="3"/>
  <c r="PZE32" i="3"/>
  <c r="PZF32" i="3"/>
  <c r="PZG32" i="3"/>
  <c r="PZH32" i="3"/>
  <c r="PZI32" i="3"/>
  <c r="PZJ32" i="3"/>
  <c r="PZK32" i="3"/>
  <c r="PZL32" i="3"/>
  <c r="PZM32" i="3"/>
  <c r="PZN32" i="3"/>
  <c r="PZO32" i="3"/>
  <c r="PZP32" i="3"/>
  <c r="PZQ32" i="3"/>
  <c r="PZR32" i="3"/>
  <c r="PZS32" i="3"/>
  <c r="PZT32" i="3"/>
  <c r="PZU32" i="3"/>
  <c r="PZV32" i="3"/>
  <c r="PZW32" i="3"/>
  <c r="PZX32" i="3"/>
  <c r="PZY32" i="3"/>
  <c r="PZZ32" i="3"/>
  <c r="QAA32" i="3"/>
  <c r="QAB32" i="3"/>
  <c r="QAC32" i="3"/>
  <c r="QAD32" i="3"/>
  <c r="QAE32" i="3"/>
  <c r="QAF32" i="3"/>
  <c r="QAG32" i="3"/>
  <c r="QAH32" i="3"/>
  <c r="QAI32" i="3"/>
  <c r="QAJ32" i="3"/>
  <c r="QAK32" i="3"/>
  <c r="QAL32" i="3"/>
  <c r="QAM32" i="3"/>
  <c r="QAN32" i="3"/>
  <c r="QAO32" i="3"/>
  <c r="QAP32" i="3"/>
  <c r="QAQ32" i="3"/>
  <c r="QAR32" i="3"/>
  <c r="QAS32" i="3"/>
  <c r="QAT32" i="3"/>
  <c r="QAU32" i="3"/>
  <c r="QAV32" i="3"/>
  <c r="QAW32" i="3"/>
  <c r="QAX32" i="3"/>
  <c r="QAY32" i="3"/>
  <c r="QAZ32" i="3"/>
  <c r="QBA32" i="3"/>
  <c r="QBB32" i="3"/>
  <c r="QBC32" i="3"/>
  <c r="QBD32" i="3"/>
  <c r="QBE32" i="3"/>
  <c r="QBF32" i="3"/>
  <c r="QBG32" i="3"/>
  <c r="QBH32" i="3"/>
  <c r="QBI32" i="3"/>
  <c r="QBJ32" i="3"/>
  <c r="QBK32" i="3"/>
  <c r="QBL32" i="3"/>
  <c r="QBM32" i="3"/>
  <c r="QBN32" i="3"/>
  <c r="QBO32" i="3"/>
  <c r="QBP32" i="3"/>
  <c r="QBQ32" i="3"/>
  <c r="QBR32" i="3"/>
  <c r="QBS32" i="3"/>
  <c r="QBT32" i="3"/>
  <c r="QBU32" i="3"/>
  <c r="QBV32" i="3"/>
  <c r="QBW32" i="3"/>
  <c r="QBX32" i="3"/>
  <c r="QBY32" i="3"/>
  <c r="QBZ32" i="3"/>
  <c r="QCA32" i="3"/>
  <c r="QCB32" i="3"/>
  <c r="QCC32" i="3"/>
  <c r="QCD32" i="3"/>
  <c r="QCE32" i="3"/>
  <c r="QCF32" i="3"/>
  <c r="QCG32" i="3"/>
  <c r="QCH32" i="3"/>
  <c r="QCI32" i="3"/>
  <c r="QCJ32" i="3"/>
  <c r="QCK32" i="3"/>
  <c r="QCL32" i="3"/>
  <c r="QCM32" i="3"/>
  <c r="QCN32" i="3"/>
  <c r="QCO32" i="3"/>
  <c r="QCP32" i="3"/>
  <c r="QCQ32" i="3"/>
  <c r="QCR32" i="3"/>
  <c r="QCS32" i="3"/>
  <c r="QCT32" i="3"/>
  <c r="QCU32" i="3"/>
  <c r="QCV32" i="3"/>
  <c r="QCW32" i="3"/>
  <c r="QCX32" i="3"/>
  <c r="QCY32" i="3"/>
  <c r="QCZ32" i="3"/>
  <c r="QDA32" i="3"/>
  <c r="QDB32" i="3"/>
  <c r="QDC32" i="3"/>
  <c r="QDD32" i="3"/>
  <c r="QDE32" i="3"/>
  <c r="QDF32" i="3"/>
  <c r="QDG32" i="3"/>
  <c r="QDH32" i="3"/>
  <c r="QDI32" i="3"/>
  <c r="QDJ32" i="3"/>
  <c r="QDK32" i="3"/>
  <c r="QDL32" i="3"/>
  <c r="QDM32" i="3"/>
  <c r="QDN32" i="3"/>
  <c r="QDO32" i="3"/>
  <c r="QDP32" i="3"/>
  <c r="QDQ32" i="3"/>
  <c r="QDR32" i="3"/>
  <c r="QDS32" i="3"/>
  <c r="QDT32" i="3"/>
  <c r="QDU32" i="3"/>
  <c r="QDV32" i="3"/>
  <c r="QDW32" i="3"/>
  <c r="QDX32" i="3"/>
  <c r="QDY32" i="3"/>
  <c r="QDZ32" i="3"/>
  <c r="QEA32" i="3"/>
  <c r="QEB32" i="3"/>
  <c r="QEC32" i="3"/>
  <c r="QED32" i="3"/>
  <c r="QEE32" i="3"/>
  <c r="QEF32" i="3"/>
  <c r="QEG32" i="3"/>
  <c r="QEH32" i="3"/>
  <c r="QEI32" i="3"/>
  <c r="QEJ32" i="3"/>
  <c r="QEK32" i="3"/>
  <c r="QEL32" i="3"/>
  <c r="QEM32" i="3"/>
  <c r="QEN32" i="3"/>
  <c r="QEO32" i="3"/>
  <c r="QEP32" i="3"/>
  <c r="QEQ32" i="3"/>
  <c r="QER32" i="3"/>
  <c r="QES32" i="3"/>
  <c r="QET32" i="3"/>
  <c r="QEU32" i="3"/>
  <c r="QEV32" i="3"/>
  <c r="QEW32" i="3"/>
  <c r="QEX32" i="3"/>
  <c r="QEY32" i="3"/>
  <c r="QEZ32" i="3"/>
  <c r="QFA32" i="3"/>
  <c r="QFB32" i="3"/>
  <c r="QFC32" i="3"/>
  <c r="QFD32" i="3"/>
  <c r="QFE32" i="3"/>
  <c r="QFF32" i="3"/>
  <c r="QFG32" i="3"/>
  <c r="QFH32" i="3"/>
  <c r="QFI32" i="3"/>
  <c r="QFJ32" i="3"/>
  <c r="QFK32" i="3"/>
  <c r="QFL32" i="3"/>
  <c r="QFM32" i="3"/>
  <c r="QFN32" i="3"/>
  <c r="QFO32" i="3"/>
  <c r="QFP32" i="3"/>
  <c r="QFQ32" i="3"/>
  <c r="QFR32" i="3"/>
  <c r="QFS32" i="3"/>
  <c r="QFT32" i="3"/>
  <c r="QFU32" i="3"/>
  <c r="QFV32" i="3"/>
  <c r="QFW32" i="3"/>
  <c r="QFX32" i="3"/>
  <c r="QFY32" i="3"/>
  <c r="QFZ32" i="3"/>
  <c r="QGA32" i="3"/>
  <c r="QGB32" i="3"/>
  <c r="QGC32" i="3"/>
  <c r="QGD32" i="3"/>
  <c r="QGE32" i="3"/>
  <c r="QGF32" i="3"/>
  <c r="QGG32" i="3"/>
  <c r="QGH32" i="3"/>
  <c r="QGI32" i="3"/>
  <c r="QGJ32" i="3"/>
  <c r="QGK32" i="3"/>
  <c r="QGL32" i="3"/>
  <c r="QGM32" i="3"/>
  <c r="QGN32" i="3"/>
  <c r="QGO32" i="3"/>
  <c r="QGP32" i="3"/>
  <c r="QGQ32" i="3"/>
  <c r="QGR32" i="3"/>
  <c r="QGS32" i="3"/>
  <c r="QGT32" i="3"/>
  <c r="QGU32" i="3"/>
  <c r="QGV32" i="3"/>
  <c r="QGW32" i="3"/>
  <c r="QGX32" i="3"/>
  <c r="QGY32" i="3"/>
  <c r="QGZ32" i="3"/>
  <c r="QHA32" i="3"/>
  <c r="QHB32" i="3"/>
  <c r="QHC32" i="3"/>
  <c r="QHD32" i="3"/>
  <c r="QHE32" i="3"/>
  <c r="QHF32" i="3"/>
  <c r="QHG32" i="3"/>
  <c r="QHH32" i="3"/>
  <c r="QHI32" i="3"/>
  <c r="QHJ32" i="3"/>
  <c r="QHK32" i="3"/>
  <c r="QHL32" i="3"/>
  <c r="QHM32" i="3"/>
  <c r="QHN32" i="3"/>
  <c r="QHO32" i="3"/>
  <c r="QHP32" i="3"/>
  <c r="QHQ32" i="3"/>
  <c r="QHR32" i="3"/>
  <c r="QHS32" i="3"/>
  <c r="QHT32" i="3"/>
  <c r="QHU32" i="3"/>
  <c r="QHV32" i="3"/>
  <c r="QHW32" i="3"/>
  <c r="QHX32" i="3"/>
  <c r="QHY32" i="3"/>
  <c r="QHZ32" i="3"/>
  <c r="QIA32" i="3"/>
  <c r="QIB32" i="3"/>
  <c r="QIC32" i="3"/>
  <c r="QID32" i="3"/>
  <c r="QIE32" i="3"/>
  <c r="QIF32" i="3"/>
  <c r="QIG32" i="3"/>
  <c r="QIH32" i="3"/>
  <c r="QII32" i="3"/>
  <c r="QIJ32" i="3"/>
  <c r="QIK32" i="3"/>
  <c r="QIL32" i="3"/>
  <c r="QIM32" i="3"/>
  <c r="QIN32" i="3"/>
  <c r="QIO32" i="3"/>
  <c r="QIP32" i="3"/>
  <c r="QIQ32" i="3"/>
  <c r="QIR32" i="3"/>
  <c r="QIS32" i="3"/>
  <c r="QIT32" i="3"/>
  <c r="QIU32" i="3"/>
  <c r="QIV32" i="3"/>
  <c r="QIW32" i="3"/>
  <c r="QIX32" i="3"/>
  <c r="QIY32" i="3"/>
  <c r="QIZ32" i="3"/>
  <c r="QJA32" i="3"/>
  <c r="QJB32" i="3"/>
  <c r="QJC32" i="3"/>
  <c r="QJD32" i="3"/>
  <c r="QJE32" i="3"/>
  <c r="QJF32" i="3"/>
  <c r="QJG32" i="3"/>
  <c r="QJH32" i="3"/>
  <c r="QJI32" i="3"/>
  <c r="QJJ32" i="3"/>
  <c r="QJK32" i="3"/>
  <c r="QJL32" i="3"/>
  <c r="QJM32" i="3"/>
  <c r="QJN32" i="3"/>
  <c r="QJO32" i="3"/>
  <c r="QJP32" i="3"/>
  <c r="QJQ32" i="3"/>
  <c r="QJR32" i="3"/>
  <c r="QJS32" i="3"/>
  <c r="QJT32" i="3"/>
  <c r="QJU32" i="3"/>
  <c r="QJV32" i="3"/>
  <c r="QJW32" i="3"/>
  <c r="QJX32" i="3"/>
  <c r="QJY32" i="3"/>
  <c r="QJZ32" i="3"/>
  <c r="QKA32" i="3"/>
  <c r="QKB32" i="3"/>
  <c r="QKC32" i="3"/>
  <c r="QKD32" i="3"/>
  <c r="QKE32" i="3"/>
  <c r="QKF32" i="3"/>
  <c r="QKG32" i="3"/>
  <c r="QKH32" i="3"/>
  <c r="QKI32" i="3"/>
  <c r="QKJ32" i="3"/>
  <c r="QKK32" i="3"/>
  <c r="QKL32" i="3"/>
  <c r="QKM32" i="3"/>
  <c r="QKN32" i="3"/>
  <c r="QKO32" i="3"/>
  <c r="QKP32" i="3"/>
  <c r="QKQ32" i="3"/>
  <c r="QKR32" i="3"/>
  <c r="QKS32" i="3"/>
  <c r="QKT32" i="3"/>
  <c r="QKU32" i="3"/>
  <c r="QKV32" i="3"/>
  <c r="QKW32" i="3"/>
  <c r="QKX32" i="3"/>
  <c r="QKY32" i="3"/>
  <c r="QKZ32" i="3"/>
  <c r="QLA32" i="3"/>
  <c r="QLB32" i="3"/>
  <c r="QLC32" i="3"/>
  <c r="QLD32" i="3"/>
  <c r="QLE32" i="3"/>
  <c r="QLF32" i="3"/>
  <c r="QLG32" i="3"/>
  <c r="QLH32" i="3"/>
  <c r="QLI32" i="3"/>
  <c r="QLJ32" i="3"/>
  <c r="QLK32" i="3"/>
  <c r="QLL32" i="3"/>
  <c r="QLM32" i="3"/>
  <c r="QLN32" i="3"/>
  <c r="QLO32" i="3"/>
  <c r="QLP32" i="3"/>
  <c r="QLQ32" i="3"/>
  <c r="QLR32" i="3"/>
  <c r="QLS32" i="3"/>
  <c r="QLT32" i="3"/>
  <c r="QLU32" i="3"/>
  <c r="QLV32" i="3"/>
  <c r="QLW32" i="3"/>
  <c r="QLX32" i="3"/>
  <c r="QLY32" i="3"/>
  <c r="QLZ32" i="3"/>
  <c r="QMA32" i="3"/>
  <c r="QMB32" i="3"/>
  <c r="QMC32" i="3"/>
  <c r="QMD32" i="3"/>
  <c r="QME32" i="3"/>
  <c r="QMF32" i="3"/>
  <c r="QMG32" i="3"/>
  <c r="QMH32" i="3"/>
  <c r="QMI32" i="3"/>
  <c r="QMJ32" i="3"/>
  <c r="QMK32" i="3"/>
  <c r="QML32" i="3"/>
  <c r="QMM32" i="3"/>
  <c r="QMN32" i="3"/>
  <c r="QMO32" i="3"/>
  <c r="QMP32" i="3"/>
  <c r="QMQ32" i="3"/>
  <c r="QMR32" i="3"/>
  <c r="QMS32" i="3"/>
  <c r="QMT32" i="3"/>
  <c r="QMU32" i="3"/>
  <c r="QMV32" i="3"/>
  <c r="QMW32" i="3"/>
  <c r="QMX32" i="3"/>
  <c r="QMY32" i="3"/>
  <c r="QMZ32" i="3"/>
  <c r="QNA32" i="3"/>
  <c r="QNB32" i="3"/>
  <c r="QNC32" i="3"/>
  <c r="QND32" i="3"/>
  <c r="QNE32" i="3"/>
  <c r="QNF32" i="3"/>
  <c r="QNG32" i="3"/>
  <c r="QNH32" i="3"/>
  <c r="QNI32" i="3"/>
  <c r="QNJ32" i="3"/>
  <c r="QNK32" i="3"/>
  <c r="QNL32" i="3"/>
  <c r="QNM32" i="3"/>
  <c r="QNN32" i="3"/>
  <c r="QNO32" i="3"/>
  <c r="QNP32" i="3"/>
  <c r="QNQ32" i="3"/>
  <c r="QNR32" i="3"/>
  <c r="QNS32" i="3"/>
  <c r="QNT32" i="3"/>
  <c r="QNU32" i="3"/>
  <c r="QNV32" i="3"/>
  <c r="QNW32" i="3"/>
  <c r="QNX32" i="3"/>
  <c r="QNY32" i="3"/>
  <c r="QNZ32" i="3"/>
  <c r="QOA32" i="3"/>
  <c r="QOB32" i="3"/>
  <c r="QOC32" i="3"/>
  <c r="QOD32" i="3"/>
  <c r="QOE32" i="3"/>
  <c r="QOF32" i="3"/>
  <c r="QOG32" i="3"/>
  <c r="QOH32" i="3"/>
  <c r="QOI32" i="3"/>
  <c r="QOJ32" i="3"/>
  <c r="QOK32" i="3"/>
  <c r="QOL32" i="3"/>
  <c r="QOM32" i="3"/>
  <c r="QON32" i="3"/>
  <c r="QOO32" i="3"/>
  <c r="QOP32" i="3"/>
  <c r="QOQ32" i="3"/>
  <c r="QOR32" i="3"/>
  <c r="QOS32" i="3"/>
  <c r="QOT32" i="3"/>
  <c r="QOU32" i="3"/>
  <c r="QOV32" i="3"/>
  <c r="QOW32" i="3"/>
  <c r="QOX32" i="3"/>
  <c r="QOY32" i="3"/>
  <c r="QOZ32" i="3"/>
  <c r="QPA32" i="3"/>
  <c r="QPB32" i="3"/>
  <c r="QPC32" i="3"/>
  <c r="QPD32" i="3"/>
  <c r="QPE32" i="3"/>
  <c r="QPF32" i="3"/>
  <c r="QPG32" i="3"/>
  <c r="QPH32" i="3"/>
  <c r="QPI32" i="3"/>
  <c r="QPJ32" i="3"/>
  <c r="QPK32" i="3"/>
  <c r="QPL32" i="3"/>
  <c r="QPM32" i="3"/>
  <c r="QPN32" i="3"/>
  <c r="QPO32" i="3"/>
  <c r="QPP32" i="3"/>
  <c r="QPQ32" i="3"/>
  <c r="QPR32" i="3"/>
  <c r="QPS32" i="3"/>
  <c r="QPT32" i="3"/>
  <c r="QPU32" i="3"/>
  <c r="QPV32" i="3"/>
  <c r="QPW32" i="3"/>
  <c r="QPX32" i="3"/>
  <c r="QPY32" i="3"/>
  <c r="QPZ32" i="3"/>
  <c r="QQA32" i="3"/>
  <c r="QQB32" i="3"/>
  <c r="QQC32" i="3"/>
  <c r="QQD32" i="3"/>
  <c r="QQE32" i="3"/>
  <c r="QQF32" i="3"/>
  <c r="QQG32" i="3"/>
  <c r="QQH32" i="3"/>
  <c r="QQI32" i="3"/>
  <c r="QQJ32" i="3"/>
  <c r="QQK32" i="3"/>
  <c r="QQL32" i="3"/>
  <c r="QQM32" i="3"/>
  <c r="QQN32" i="3"/>
  <c r="QQO32" i="3"/>
  <c r="QQP32" i="3"/>
  <c r="QQQ32" i="3"/>
  <c r="QQR32" i="3"/>
  <c r="QQS32" i="3"/>
  <c r="QQT32" i="3"/>
  <c r="QQU32" i="3"/>
  <c r="QQV32" i="3"/>
  <c r="QQW32" i="3"/>
  <c r="QQX32" i="3"/>
  <c r="QQY32" i="3"/>
  <c r="QQZ32" i="3"/>
  <c r="QRA32" i="3"/>
  <c r="QRB32" i="3"/>
  <c r="QRC32" i="3"/>
  <c r="QRD32" i="3"/>
  <c r="QRE32" i="3"/>
  <c r="QRF32" i="3"/>
  <c r="QRG32" i="3"/>
  <c r="QRH32" i="3"/>
  <c r="QRI32" i="3"/>
  <c r="QRJ32" i="3"/>
  <c r="QRK32" i="3"/>
  <c r="QRL32" i="3"/>
  <c r="QRM32" i="3"/>
  <c r="QRN32" i="3"/>
  <c r="QRO32" i="3"/>
  <c r="QRP32" i="3"/>
  <c r="QRQ32" i="3"/>
  <c r="QRR32" i="3"/>
  <c r="QRS32" i="3"/>
  <c r="QRT32" i="3"/>
  <c r="QRU32" i="3"/>
  <c r="QRV32" i="3"/>
  <c r="QRW32" i="3"/>
  <c r="QRX32" i="3"/>
  <c r="QRY32" i="3"/>
  <c r="QRZ32" i="3"/>
  <c r="QSA32" i="3"/>
  <c r="QSB32" i="3"/>
  <c r="QSC32" i="3"/>
  <c r="QSD32" i="3"/>
  <c r="QSE32" i="3"/>
  <c r="QSF32" i="3"/>
  <c r="QSG32" i="3"/>
  <c r="QSH32" i="3"/>
  <c r="QSI32" i="3"/>
  <c r="QSJ32" i="3"/>
  <c r="QSK32" i="3"/>
  <c r="QSL32" i="3"/>
  <c r="QSM32" i="3"/>
  <c r="QSN32" i="3"/>
  <c r="QSO32" i="3"/>
  <c r="QSP32" i="3"/>
  <c r="QSQ32" i="3"/>
  <c r="QSR32" i="3"/>
  <c r="QSS32" i="3"/>
  <c r="QST32" i="3"/>
  <c r="QSU32" i="3"/>
  <c r="QSV32" i="3"/>
  <c r="QSW32" i="3"/>
  <c r="QSX32" i="3"/>
  <c r="QSY32" i="3"/>
  <c r="QSZ32" i="3"/>
  <c r="QTA32" i="3"/>
  <c r="QTB32" i="3"/>
  <c r="QTC32" i="3"/>
  <c r="QTD32" i="3"/>
  <c r="QTE32" i="3"/>
  <c r="QTF32" i="3"/>
  <c r="QTG32" i="3"/>
  <c r="QTH32" i="3"/>
  <c r="QTI32" i="3"/>
  <c r="QTJ32" i="3"/>
  <c r="QTK32" i="3"/>
  <c r="QTL32" i="3"/>
  <c r="QTM32" i="3"/>
  <c r="QTN32" i="3"/>
  <c r="QTO32" i="3"/>
  <c r="QTP32" i="3"/>
  <c r="QTQ32" i="3"/>
  <c r="QTR32" i="3"/>
  <c r="QTS32" i="3"/>
  <c r="QTT32" i="3"/>
  <c r="QTU32" i="3"/>
  <c r="QTV32" i="3"/>
  <c r="QTW32" i="3"/>
  <c r="QTX32" i="3"/>
  <c r="QTY32" i="3"/>
  <c r="QTZ32" i="3"/>
  <c r="QUA32" i="3"/>
  <c r="QUB32" i="3"/>
  <c r="QUC32" i="3"/>
  <c r="QUD32" i="3"/>
  <c r="QUE32" i="3"/>
  <c r="QUF32" i="3"/>
  <c r="QUG32" i="3"/>
  <c r="QUH32" i="3"/>
  <c r="QUI32" i="3"/>
  <c r="QUJ32" i="3"/>
  <c r="QUK32" i="3"/>
  <c r="QUL32" i="3"/>
  <c r="QUM32" i="3"/>
  <c r="QUN32" i="3"/>
  <c r="QUO32" i="3"/>
  <c r="QUP32" i="3"/>
  <c r="QUQ32" i="3"/>
  <c r="QUR32" i="3"/>
  <c r="QUS32" i="3"/>
  <c r="QUT32" i="3"/>
  <c r="QUU32" i="3"/>
  <c r="QUV32" i="3"/>
  <c r="QUW32" i="3"/>
  <c r="QUX32" i="3"/>
  <c r="QUY32" i="3"/>
  <c r="QUZ32" i="3"/>
  <c r="QVA32" i="3"/>
  <c r="QVB32" i="3"/>
  <c r="QVC32" i="3"/>
  <c r="QVD32" i="3"/>
  <c r="QVE32" i="3"/>
  <c r="QVF32" i="3"/>
  <c r="QVG32" i="3"/>
  <c r="QVH32" i="3"/>
  <c r="QVI32" i="3"/>
  <c r="QVJ32" i="3"/>
  <c r="QVK32" i="3"/>
  <c r="QVL32" i="3"/>
  <c r="QVM32" i="3"/>
  <c r="QVN32" i="3"/>
  <c r="QVO32" i="3"/>
  <c r="QVP32" i="3"/>
  <c r="QVQ32" i="3"/>
  <c r="QVR32" i="3"/>
  <c r="QVS32" i="3"/>
  <c r="QVT32" i="3"/>
  <c r="QVU32" i="3"/>
  <c r="QVV32" i="3"/>
  <c r="QVW32" i="3"/>
  <c r="QVX32" i="3"/>
  <c r="QVY32" i="3"/>
  <c r="QVZ32" i="3"/>
  <c r="QWA32" i="3"/>
  <c r="QWB32" i="3"/>
  <c r="QWC32" i="3"/>
  <c r="QWD32" i="3"/>
  <c r="QWE32" i="3"/>
  <c r="QWF32" i="3"/>
  <c r="QWG32" i="3"/>
  <c r="QWH32" i="3"/>
  <c r="QWI32" i="3"/>
  <c r="QWJ32" i="3"/>
  <c r="QWK32" i="3"/>
  <c r="QWL32" i="3"/>
  <c r="QWM32" i="3"/>
  <c r="QWN32" i="3"/>
  <c r="QWO32" i="3"/>
  <c r="QWP32" i="3"/>
  <c r="QWQ32" i="3"/>
  <c r="QWR32" i="3"/>
  <c r="QWS32" i="3"/>
  <c r="QWT32" i="3"/>
  <c r="QWU32" i="3"/>
  <c r="QWV32" i="3"/>
  <c r="QWW32" i="3"/>
  <c r="QWX32" i="3"/>
  <c r="QWY32" i="3"/>
  <c r="QWZ32" i="3"/>
  <c r="QXA32" i="3"/>
  <c r="QXB32" i="3"/>
  <c r="QXC32" i="3"/>
  <c r="QXD32" i="3"/>
  <c r="QXE32" i="3"/>
  <c r="QXF32" i="3"/>
  <c r="QXG32" i="3"/>
  <c r="QXH32" i="3"/>
  <c r="QXI32" i="3"/>
  <c r="QXJ32" i="3"/>
  <c r="QXK32" i="3"/>
  <c r="QXL32" i="3"/>
  <c r="QXM32" i="3"/>
  <c r="QXN32" i="3"/>
  <c r="QXO32" i="3"/>
  <c r="QXP32" i="3"/>
  <c r="QXQ32" i="3"/>
  <c r="QXR32" i="3"/>
  <c r="QXS32" i="3"/>
  <c r="QXT32" i="3"/>
  <c r="QXU32" i="3"/>
  <c r="QXV32" i="3"/>
  <c r="QXW32" i="3"/>
  <c r="QXX32" i="3"/>
  <c r="QXY32" i="3"/>
  <c r="QXZ32" i="3"/>
  <c r="QYA32" i="3"/>
  <c r="QYB32" i="3"/>
  <c r="QYC32" i="3"/>
  <c r="QYD32" i="3"/>
  <c r="QYE32" i="3"/>
  <c r="QYF32" i="3"/>
  <c r="QYG32" i="3"/>
  <c r="QYH32" i="3"/>
  <c r="QYI32" i="3"/>
  <c r="QYJ32" i="3"/>
  <c r="QYK32" i="3"/>
  <c r="QYL32" i="3"/>
  <c r="QYM32" i="3"/>
  <c r="QYN32" i="3"/>
  <c r="QYO32" i="3"/>
  <c r="QYP32" i="3"/>
  <c r="QYQ32" i="3"/>
  <c r="QYR32" i="3"/>
  <c r="QYS32" i="3"/>
  <c r="QYT32" i="3"/>
  <c r="QYU32" i="3"/>
  <c r="QYV32" i="3"/>
  <c r="QYW32" i="3"/>
  <c r="QYX32" i="3"/>
  <c r="QYY32" i="3"/>
  <c r="QYZ32" i="3"/>
  <c r="QZA32" i="3"/>
  <c r="QZB32" i="3"/>
  <c r="QZC32" i="3"/>
  <c r="QZD32" i="3"/>
  <c r="QZE32" i="3"/>
  <c r="QZF32" i="3"/>
  <c r="QZG32" i="3"/>
  <c r="QZH32" i="3"/>
  <c r="QZI32" i="3"/>
  <c r="QZJ32" i="3"/>
  <c r="QZK32" i="3"/>
  <c r="QZL32" i="3"/>
  <c r="QZM32" i="3"/>
  <c r="QZN32" i="3"/>
  <c r="QZO32" i="3"/>
  <c r="QZP32" i="3"/>
  <c r="QZQ32" i="3"/>
  <c r="QZR32" i="3"/>
  <c r="QZS32" i="3"/>
  <c r="QZT32" i="3"/>
  <c r="QZU32" i="3"/>
  <c r="QZV32" i="3"/>
  <c r="QZW32" i="3"/>
  <c r="QZX32" i="3"/>
  <c r="QZY32" i="3"/>
  <c r="QZZ32" i="3"/>
  <c r="RAA32" i="3"/>
  <c r="RAB32" i="3"/>
  <c r="RAC32" i="3"/>
  <c r="RAD32" i="3"/>
  <c r="RAE32" i="3"/>
  <c r="RAF32" i="3"/>
  <c r="RAG32" i="3"/>
  <c r="RAH32" i="3"/>
  <c r="RAI32" i="3"/>
  <c r="RAJ32" i="3"/>
  <c r="RAK32" i="3"/>
  <c r="RAL32" i="3"/>
  <c r="RAM32" i="3"/>
  <c r="RAN32" i="3"/>
  <c r="RAO32" i="3"/>
  <c r="RAP32" i="3"/>
  <c r="RAQ32" i="3"/>
  <c r="RAR32" i="3"/>
  <c r="RAS32" i="3"/>
  <c r="RAT32" i="3"/>
  <c r="RAU32" i="3"/>
  <c r="RAV32" i="3"/>
  <c r="RAW32" i="3"/>
  <c r="RAX32" i="3"/>
  <c r="RAY32" i="3"/>
  <c r="RAZ32" i="3"/>
  <c r="RBA32" i="3"/>
  <c r="RBB32" i="3"/>
  <c r="RBC32" i="3"/>
  <c r="RBD32" i="3"/>
  <c r="RBE32" i="3"/>
  <c r="RBF32" i="3"/>
  <c r="RBG32" i="3"/>
  <c r="RBH32" i="3"/>
  <c r="RBI32" i="3"/>
  <c r="RBJ32" i="3"/>
  <c r="RBK32" i="3"/>
  <c r="RBL32" i="3"/>
  <c r="RBM32" i="3"/>
  <c r="RBN32" i="3"/>
  <c r="RBO32" i="3"/>
  <c r="RBP32" i="3"/>
  <c r="RBQ32" i="3"/>
  <c r="RBR32" i="3"/>
  <c r="RBS32" i="3"/>
  <c r="RBT32" i="3"/>
  <c r="RBU32" i="3"/>
  <c r="RBV32" i="3"/>
  <c r="RBW32" i="3"/>
  <c r="RBX32" i="3"/>
  <c r="RBY32" i="3"/>
  <c r="RBZ32" i="3"/>
  <c r="RCA32" i="3"/>
  <c r="RCB32" i="3"/>
  <c r="RCC32" i="3"/>
  <c r="RCD32" i="3"/>
  <c r="RCE32" i="3"/>
  <c r="RCF32" i="3"/>
  <c r="RCG32" i="3"/>
  <c r="RCH32" i="3"/>
  <c r="RCI32" i="3"/>
  <c r="RCJ32" i="3"/>
  <c r="RCK32" i="3"/>
  <c r="RCL32" i="3"/>
  <c r="RCM32" i="3"/>
  <c r="RCN32" i="3"/>
  <c r="RCO32" i="3"/>
  <c r="RCP32" i="3"/>
  <c r="RCQ32" i="3"/>
  <c r="RCR32" i="3"/>
  <c r="RCS32" i="3"/>
  <c r="RCT32" i="3"/>
  <c r="RCU32" i="3"/>
  <c r="RCV32" i="3"/>
  <c r="RCW32" i="3"/>
  <c r="RCX32" i="3"/>
  <c r="RCY32" i="3"/>
  <c r="RCZ32" i="3"/>
  <c r="RDA32" i="3"/>
  <c r="RDB32" i="3"/>
  <c r="RDC32" i="3"/>
  <c r="RDD32" i="3"/>
  <c r="RDE32" i="3"/>
  <c r="RDF32" i="3"/>
  <c r="RDG32" i="3"/>
  <c r="RDH32" i="3"/>
  <c r="RDI32" i="3"/>
  <c r="RDJ32" i="3"/>
  <c r="RDK32" i="3"/>
  <c r="RDL32" i="3"/>
  <c r="RDM32" i="3"/>
  <c r="RDN32" i="3"/>
  <c r="RDO32" i="3"/>
  <c r="RDP32" i="3"/>
  <c r="RDQ32" i="3"/>
  <c r="RDR32" i="3"/>
  <c r="RDS32" i="3"/>
  <c r="RDT32" i="3"/>
  <c r="RDU32" i="3"/>
  <c r="RDV32" i="3"/>
  <c r="RDW32" i="3"/>
  <c r="RDX32" i="3"/>
  <c r="RDY32" i="3"/>
  <c r="RDZ32" i="3"/>
  <c r="REA32" i="3"/>
  <c r="REB32" i="3"/>
  <c r="REC32" i="3"/>
  <c r="RED32" i="3"/>
  <c r="REE32" i="3"/>
  <c r="REF32" i="3"/>
  <c r="REG32" i="3"/>
  <c r="REH32" i="3"/>
  <c r="REI32" i="3"/>
  <c r="REJ32" i="3"/>
  <c r="REK32" i="3"/>
  <c r="REL32" i="3"/>
  <c r="REM32" i="3"/>
  <c r="REN32" i="3"/>
  <c r="REO32" i="3"/>
  <c r="REP32" i="3"/>
  <c r="REQ32" i="3"/>
  <c r="RER32" i="3"/>
  <c r="RES32" i="3"/>
  <c r="RET32" i="3"/>
  <c r="REU32" i="3"/>
  <c r="REV32" i="3"/>
  <c r="REW32" i="3"/>
  <c r="REX32" i="3"/>
  <c r="REY32" i="3"/>
  <c r="REZ32" i="3"/>
  <c r="RFA32" i="3"/>
  <c r="RFB32" i="3"/>
  <c r="RFC32" i="3"/>
  <c r="RFD32" i="3"/>
  <c r="RFE32" i="3"/>
  <c r="RFF32" i="3"/>
  <c r="RFG32" i="3"/>
  <c r="RFH32" i="3"/>
  <c r="RFI32" i="3"/>
  <c r="RFJ32" i="3"/>
  <c r="RFK32" i="3"/>
  <c r="RFL32" i="3"/>
  <c r="RFM32" i="3"/>
  <c r="RFN32" i="3"/>
  <c r="RFO32" i="3"/>
  <c r="RFP32" i="3"/>
  <c r="RFQ32" i="3"/>
  <c r="RFR32" i="3"/>
  <c r="RFS32" i="3"/>
  <c r="RFT32" i="3"/>
  <c r="RFU32" i="3"/>
  <c r="RFV32" i="3"/>
  <c r="RFW32" i="3"/>
  <c r="RFX32" i="3"/>
  <c r="RFY32" i="3"/>
  <c r="RFZ32" i="3"/>
  <c r="RGA32" i="3"/>
  <c r="RGB32" i="3"/>
  <c r="RGC32" i="3"/>
  <c r="RGD32" i="3"/>
  <c r="RGE32" i="3"/>
  <c r="RGF32" i="3"/>
  <c r="RGG32" i="3"/>
  <c r="RGH32" i="3"/>
  <c r="RGI32" i="3"/>
  <c r="RGJ32" i="3"/>
  <c r="RGK32" i="3"/>
  <c r="RGL32" i="3"/>
  <c r="RGM32" i="3"/>
  <c r="RGN32" i="3"/>
  <c r="RGO32" i="3"/>
  <c r="RGP32" i="3"/>
  <c r="RGQ32" i="3"/>
  <c r="RGR32" i="3"/>
  <c r="RGS32" i="3"/>
  <c r="RGT32" i="3"/>
  <c r="RGU32" i="3"/>
  <c r="RGV32" i="3"/>
  <c r="RGW32" i="3"/>
  <c r="RGX32" i="3"/>
  <c r="RGY32" i="3"/>
  <c r="RGZ32" i="3"/>
  <c r="RHA32" i="3"/>
  <c r="RHB32" i="3"/>
  <c r="RHC32" i="3"/>
  <c r="RHD32" i="3"/>
  <c r="RHE32" i="3"/>
  <c r="RHF32" i="3"/>
  <c r="RHG32" i="3"/>
  <c r="RHH32" i="3"/>
  <c r="RHI32" i="3"/>
  <c r="RHJ32" i="3"/>
  <c r="RHK32" i="3"/>
  <c r="RHL32" i="3"/>
  <c r="RHM32" i="3"/>
  <c r="RHN32" i="3"/>
  <c r="RHO32" i="3"/>
  <c r="RHP32" i="3"/>
  <c r="RHQ32" i="3"/>
  <c r="RHR32" i="3"/>
  <c r="RHS32" i="3"/>
  <c r="RHT32" i="3"/>
  <c r="RHU32" i="3"/>
  <c r="RHV32" i="3"/>
  <c r="RHW32" i="3"/>
  <c r="RHX32" i="3"/>
  <c r="RHY32" i="3"/>
  <c r="RHZ32" i="3"/>
  <c r="RIA32" i="3"/>
  <c r="RIB32" i="3"/>
  <c r="RIC32" i="3"/>
  <c r="RID32" i="3"/>
  <c r="RIE32" i="3"/>
  <c r="RIF32" i="3"/>
  <c r="RIG32" i="3"/>
  <c r="RIH32" i="3"/>
  <c r="RII32" i="3"/>
  <c r="RIJ32" i="3"/>
  <c r="RIK32" i="3"/>
  <c r="RIL32" i="3"/>
  <c r="RIM32" i="3"/>
  <c r="RIN32" i="3"/>
  <c r="RIO32" i="3"/>
  <c r="RIP32" i="3"/>
  <c r="RIQ32" i="3"/>
  <c r="RIR32" i="3"/>
  <c r="RIS32" i="3"/>
  <c r="RIT32" i="3"/>
  <c r="RIU32" i="3"/>
  <c r="RIV32" i="3"/>
  <c r="RIW32" i="3"/>
  <c r="RIX32" i="3"/>
  <c r="RIY32" i="3"/>
  <c r="RIZ32" i="3"/>
  <c r="RJA32" i="3"/>
  <c r="RJB32" i="3"/>
  <c r="RJC32" i="3"/>
  <c r="RJD32" i="3"/>
  <c r="RJE32" i="3"/>
  <c r="RJF32" i="3"/>
  <c r="RJG32" i="3"/>
  <c r="RJH32" i="3"/>
  <c r="RJI32" i="3"/>
  <c r="RJJ32" i="3"/>
  <c r="RJK32" i="3"/>
  <c r="RJL32" i="3"/>
  <c r="RJM32" i="3"/>
  <c r="RJN32" i="3"/>
  <c r="RJO32" i="3"/>
  <c r="RJP32" i="3"/>
  <c r="RJQ32" i="3"/>
  <c r="RJR32" i="3"/>
  <c r="RJS32" i="3"/>
  <c r="RJT32" i="3"/>
  <c r="RJU32" i="3"/>
  <c r="RJV32" i="3"/>
  <c r="RJW32" i="3"/>
  <c r="RJX32" i="3"/>
  <c r="RJY32" i="3"/>
  <c r="RJZ32" i="3"/>
  <c r="RKA32" i="3"/>
  <c r="RKB32" i="3"/>
  <c r="RKC32" i="3"/>
  <c r="RKD32" i="3"/>
  <c r="RKE32" i="3"/>
  <c r="RKF32" i="3"/>
  <c r="RKG32" i="3"/>
  <c r="RKH32" i="3"/>
  <c r="RKI32" i="3"/>
  <c r="RKJ32" i="3"/>
  <c r="RKK32" i="3"/>
  <c r="RKL32" i="3"/>
  <c r="RKM32" i="3"/>
  <c r="RKN32" i="3"/>
  <c r="RKO32" i="3"/>
  <c r="RKP32" i="3"/>
  <c r="RKQ32" i="3"/>
  <c r="RKR32" i="3"/>
  <c r="RKS32" i="3"/>
  <c r="RKT32" i="3"/>
  <c r="RKU32" i="3"/>
  <c r="RKV32" i="3"/>
  <c r="RKW32" i="3"/>
  <c r="RKX32" i="3"/>
  <c r="RKY32" i="3"/>
  <c r="RKZ32" i="3"/>
  <c r="RLA32" i="3"/>
  <c r="RLB32" i="3"/>
  <c r="RLC32" i="3"/>
  <c r="RLD32" i="3"/>
  <c r="RLE32" i="3"/>
  <c r="RLF32" i="3"/>
  <c r="RLG32" i="3"/>
  <c r="RLH32" i="3"/>
  <c r="RLI32" i="3"/>
  <c r="RLJ32" i="3"/>
  <c r="RLK32" i="3"/>
  <c r="RLL32" i="3"/>
  <c r="RLM32" i="3"/>
  <c r="RLN32" i="3"/>
  <c r="RLO32" i="3"/>
  <c r="RLP32" i="3"/>
  <c r="RLQ32" i="3"/>
  <c r="RLR32" i="3"/>
  <c r="RLS32" i="3"/>
  <c r="RLT32" i="3"/>
  <c r="RLU32" i="3"/>
  <c r="RLV32" i="3"/>
  <c r="RLW32" i="3"/>
  <c r="RLX32" i="3"/>
  <c r="RLY32" i="3"/>
  <c r="RLZ32" i="3"/>
  <c r="RMA32" i="3"/>
  <c r="RMB32" i="3"/>
  <c r="RMC32" i="3"/>
  <c r="RMD32" i="3"/>
  <c r="RME32" i="3"/>
  <c r="RMF32" i="3"/>
  <c r="RMG32" i="3"/>
  <c r="RMH32" i="3"/>
  <c r="RMI32" i="3"/>
  <c r="RMJ32" i="3"/>
  <c r="RMK32" i="3"/>
  <c r="RML32" i="3"/>
  <c r="RMM32" i="3"/>
  <c r="RMN32" i="3"/>
  <c r="RMO32" i="3"/>
  <c r="RMP32" i="3"/>
  <c r="RMQ32" i="3"/>
  <c r="RMR32" i="3"/>
  <c r="RMS32" i="3"/>
  <c r="RMT32" i="3"/>
  <c r="RMU32" i="3"/>
  <c r="RMV32" i="3"/>
  <c r="RMW32" i="3"/>
  <c r="RMX32" i="3"/>
  <c r="RMY32" i="3"/>
  <c r="RMZ32" i="3"/>
  <c r="RNA32" i="3"/>
  <c r="RNB32" i="3"/>
  <c r="RNC32" i="3"/>
  <c r="RND32" i="3"/>
  <c r="RNE32" i="3"/>
  <c r="RNF32" i="3"/>
  <c r="RNG32" i="3"/>
  <c r="RNH32" i="3"/>
  <c r="RNI32" i="3"/>
  <c r="RNJ32" i="3"/>
  <c r="RNK32" i="3"/>
  <c r="RNL32" i="3"/>
  <c r="RNM32" i="3"/>
  <c r="RNN32" i="3"/>
  <c r="RNO32" i="3"/>
  <c r="RNP32" i="3"/>
  <c r="RNQ32" i="3"/>
  <c r="RNR32" i="3"/>
  <c r="RNS32" i="3"/>
  <c r="RNT32" i="3"/>
  <c r="RNU32" i="3"/>
  <c r="RNV32" i="3"/>
  <c r="RNW32" i="3"/>
  <c r="RNX32" i="3"/>
  <c r="RNY32" i="3"/>
  <c r="RNZ32" i="3"/>
  <c r="ROA32" i="3"/>
  <c r="ROB32" i="3"/>
  <c r="ROC32" i="3"/>
  <c r="ROD32" i="3"/>
  <c r="ROE32" i="3"/>
  <c r="ROF32" i="3"/>
  <c r="ROG32" i="3"/>
  <c r="ROH32" i="3"/>
  <c r="ROI32" i="3"/>
  <c r="ROJ32" i="3"/>
  <c r="ROK32" i="3"/>
  <c r="ROL32" i="3"/>
  <c r="ROM32" i="3"/>
  <c r="RON32" i="3"/>
  <c r="ROO32" i="3"/>
  <c r="ROP32" i="3"/>
  <c r="ROQ32" i="3"/>
  <c r="ROR32" i="3"/>
  <c r="ROS32" i="3"/>
  <c r="ROT32" i="3"/>
  <c r="ROU32" i="3"/>
  <c r="ROV32" i="3"/>
  <c r="ROW32" i="3"/>
  <c r="ROX32" i="3"/>
  <c r="ROY32" i="3"/>
  <c r="ROZ32" i="3"/>
  <c r="RPA32" i="3"/>
  <c r="RPB32" i="3"/>
  <c r="RPC32" i="3"/>
  <c r="RPD32" i="3"/>
  <c r="RPE32" i="3"/>
  <c r="RPF32" i="3"/>
  <c r="RPG32" i="3"/>
  <c r="RPH32" i="3"/>
  <c r="RPI32" i="3"/>
  <c r="RPJ32" i="3"/>
  <c r="RPK32" i="3"/>
  <c r="RPL32" i="3"/>
  <c r="RPM32" i="3"/>
  <c r="RPN32" i="3"/>
  <c r="RPO32" i="3"/>
  <c r="RPP32" i="3"/>
  <c r="RPQ32" i="3"/>
  <c r="RPR32" i="3"/>
  <c r="RPS32" i="3"/>
  <c r="RPT32" i="3"/>
  <c r="RPU32" i="3"/>
  <c r="RPV32" i="3"/>
  <c r="RPW32" i="3"/>
  <c r="RPX32" i="3"/>
  <c r="RPY32" i="3"/>
  <c r="RPZ32" i="3"/>
  <c r="RQA32" i="3"/>
  <c r="RQB32" i="3"/>
  <c r="RQC32" i="3"/>
  <c r="RQD32" i="3"/>
  <c r="RQE32" i="3"/>
  <c r="RQF32" i="3"/>
  <c r="RQG32" i="3"/>
  <c r="RQH32" i="3"/>
  <c r="RQI32" i="3"/>
  <c r="RQJ32" i="3"/>
  <c r="RQK32" i="3"/>
  <c r="RQL32" i="3"/>
  <c r="RQM32" i="3"/>
  <c r="RQN32" i="3"/>
  <c r="RQO32" i="3"/>
  <c r="RQP32" i="3"/>
  <c r="RQQ32" i="3"/>
  <c r="RQR32" i="3"/>
  <c r="RQS32" i="3"/>
  <c r="RQT32" i="3"/>
  <c r="RQU32" i="3"/>
  <c r="RQV32" i="3"/>
  <c r="RQW32" i="3"/>
  <c r="RQX32" i="3"/>
  <c r="RQY32" i="3"/>
  <c r="RQZ32" i="3"/>
  <c r="RRA32" i="3"/>
  <c r="RRB32" i="3"/>
  <c r="RRC32" i="3"/>
  <c r="RRD32" i="3"/>
  <c r="RRE32" i="3"/>
  <c r="RRF32" i="3"/>
  <c r="RRG32" i="3"/>
  <c r="RRH32" i="3"/>
  <c r="RRI32" i="3"/>
  <c r="RRJ32" i="3"/>
  <c r="RRK32" i="3"/>
  <c r="RRL32" i="3"/>
  <c r="RRM32" i="3"/>
  <c r="RRN32" i="3"/>
  <c r="RRO32" i="3"/>
  <c r="RRP32" i="3"/>
  <c r="RRQ32" i="3"/>
  <c r="RRR32" i="3"/>
  <c r="RRS32" i="3"/>
  <c r="RRT32" i="3"/>
  <c r="RRU32" i="3"/>
  <c r="RRV32" i="3"/>
  <c r="RRW32" i="3"/>
  <c r="RRX32" i="3"/>
  <c r="RRY32" i="3"/>
  <c r="RRZ32" i="3"/>
  <c r="RSA32" i="3"/>
  <c r="RSB32" i="3"/>
  <c r="RSC32" i="3"/>
  <c r="RSD32" i="3"/>
  <c r="RSE32" i="3"/>
  <c r="RSF32" i="3"/>
  <c r="RSG32" i="3"/>
  <c r="RSH32" i="3"/>
  <c r="RSI32" i="3"/>
  <c r="RSJ32" i="3"/>
  <c r="RSK32" i="3"/>
  <c r="RSL32" i="3"/>
  <c r="RSM32" i="3"/>
  <c r="RSN32" i="3"/>
  <c r="RSO32" i="3"/>
  <c r="RSP32" i="3"/>
  <c r="RSQ32" i="3"/>
  <c r="RSR32" i="3"/>
  <c r="RSS32" i="3"/>
  <c r="RST32" i="3"/>
  <c r="RSU32" i="3"/>
  <c r="RSV32" i="3"/>
  <c r="RSW32" i="3"/>
  <c r="RSX32" i="3"/>
  <c r="RSY32" i="3"/>
  <c r="RSZ32" i="3"/>
  <c r="RTA32" i="3"/>
  <c r="RTB32" i="3"/>
  <c r="RTC32" i="3"/>
  <c r="RTD32" i="3"/>
  <c r="RTE32" i="3"/>
  <c r="RTF32" i="3"/>
  <c r="RTG32" i="3"/>
  <c r="RTH32" i="3"/>
  <c r="RTI32" i="3"/>
  <c r="RTJ32" i="3"/>
  <c r="RTK32" i="3"/>
  <c r="RTL32" i="3"/>
  <c r="RTM32" i="3"/>
  <c r="RTN32" i="3"/>
  <c r="RTO32" i="3"/>
  <c r="RTP32" i="3"/>
  <c r="RTQ32" i="3"/>
  <c r="RTR32" i="3"/>
  <c r="RTS32" i="3"/>
  <c r="RTT32" i="3"/>
  <c r="RTU32" i="3"/>
  <c r="RTV32" i="3"/>
  <c r="RTW32" i="3"/>
  <c r="RTX32" i="3"/>
  <c r="RTY32" i="3"/>
  <c r="RTZ32" i="3"/>
  <c r="RUA32" i="3"/>
  <c r="RUB32" i="3"/>
  <c r="RUC32" i="3"/>
  <c r="RUD32" i="3"/>
  <c r="RUE32" i="3"/>
  <c r="RUF32" i="3"/>
  <c r="RUG32" i="3"/>
  <c r="RUH32" i="3"/>
  <c r="RUI32" i="3"/>
  <c r="RUJ32" i="3"/>
  <c r="RUK32" i="3"/>
  <c r="RUL32" i="3"/>
  <c r="RUM32" i="3"/>
  <c r="RUN32" i="3"/>
  <c r="RUO32" i="3"/>
  <c r="RUP32" i="3"/>
  <c r="RUQ32" i="3"/>
  <c r="RUR32" i="3"/>
  <c r="RUS32" i="3"/>
  <c r="RUT32" i="3"/>
  <c r="RUU32" i="3"/>
  <c r="RUV32" i="3"/>
  <c r="RUW32" i="3"/>
  <c r="RUX32" i="3"/>
  <c r="RUY32" i="3"/>
  <c r="RUZ32" i="3"/>
  <c r="RVA32" i="3"/>
  <c r="RVB32" i="3"/>
  <c r="RVC32" i="3"/>
  <c r="RVD32" i="3"/>
  <c r="RVE32" i="3"/>
  <c r="RVF32" i="3"/>
  <c r="RVG32" i="3"/>
  <c r="RVH32" i="3"/>
  <c r="RVI32" i="3"/>
  <c r="RVJ32" i="3"/>
  <c r="RVK32" i="3"/>
  <c r="RVL32" i="3"/>
  <c r="RVM32" i="3"/>
  <c r="RVN32" i="3"/>
  <c r="RVO32" i="3"/>
  <c r="RVP32" i="3"/>
  <c r="RVQ32" i="3"/>
  <c r="RVR32" i="3"/>
  <c r="RVS32" i="3"/>
  <c r="RVT32" i="3"/>
  <c r="RVU32" i="3"/>
  <c r="RVV32" i="3"/>
  <c r="RVW32" i="3"/>
  <c r="RVX32" i="3"/>
  <c r="RVY32" i="3"/>
  <c r="RVZ32" i="3"/>
  <c r="RWA32" i="3"/>
  <c r="RWB32" i="3"/>
  <c r="RWC32" i="3"/>
  <c r="RWD32" i="3"/>
  <c r="RWE32" i="3"/>
  <c r="RWF32" i="3"/>
  <c r="RWG32" i="3"/>
  <c r="RWH32" i="3"/>
  <c r="RWI32" i="3"/>
  <c r="RWJ32" i="3"/>
  <c r="RWK32" i="3"/>
  <c r="RWL32" i="3"/>
  <c r="RWM32" i="3"/>
  <c r="RWN32" i="3"/>
  <c r="RWO32" i="3"/>
  <c r="RWP32" i="3"/>
  <c r="RWQ32" i="3"/>
  <c r="RWR32" i="3"/>
  <c r="RWS32" i="3"/>
  <c r="RWT32" i="3"/>
  <c r="RWU32" i="3"/>
  <c r="RWV32" i="3"/>
  <c r="RWW32" i="3"/>
  <c r="RWX32" i="3"/>
  <c r="RWY32" i="3"/>
  <c r="RWZ32" i="3"/>
  <c r="RXA32" i="3"/>
  <c r="RXB32" i="3"/>
  <c r="RXC32" i="3"/>
  <c r="RXD32" i="3"/>
  <c r="RXE32" i="3"/>
  <c r="RXF32" i="3"/>
  <c r="RXG32" i="3"/>
  <c r="RXH32" i="3"/>
  <c r="RXI32" i="3"/>
  <c r="RXJ32" i="3"/>
  <c r="RXK32" i="3"/>
  <c r="RXL32" i="3"/>
  <c r="RXM32" i="3"/>
  <c r="RXN32" i="3"/>
  <c r="RXO32" i="3"/>
  <c r="RXP32" i="3"/>
  <c r="RXQ32" i="3"/>
  <c r="RXR32" i="3"/>
  <c r="RXS32" i="3"/>
  <c r="RXT32" i="3"/>
  <c r="RXU32" i="3"/>
  <c r="RXV32" i="3"/>
  <c r="RXW32" i="3"/>
  <c r="RXX32" i="3"/>
  <c r="RXY32" i="3"/>
  <c r="RXZ32" i="3"/>
  <c r="RYA32" i="3"/>
  <c r="RYB32" i="3"/>
  <c r="RYC32" i="3"/>
  <c r="RYD32" i="3"/>
  <c r="RYE32" i="3"/>
  <c r="RYF32" i="3"/>
  <c r="RYG32" i="3"/>
  <c r="RYH32" i="3"/>
  <c r="RYI32" i="3"/>
  <c r="RYJ32" i="3"/>
  <c r="RYK32" i="3"/>
  <c r="RYL32" i="3"/>
  <c r="RYM32" i="3"/>
  <c r="RYN32" i="3"/>
  <c r="RYO32" i="3"/>
  <c r="RYP32" i="3"/>
  <c r="RYQ32" i="3"/>
  <c r="RYR32" i="3"/>
  <c r="RYS32" i="3"/>
  <c r="RYT32" i="3"/>
  <c r="RYU32" i="3"/>
  <c r="RYV32" i="3"/>
  <c r="RYW32" i="3"/>
  <c r="RYX32" i="3"/>
  <c r="RYY32" i="3"/>
  <c r="RYZ32" i="3"/>
  <c r="RZA32" i="3"/>
  <c r="RZB32" i="3"/>
  <c r="RZC32" i="3"/>
  <c r="RZD32" i="3"/>
  <c r="RZE32" i="3"/>
  <c r="RZF32" i="3"/>
  <c r="RZG32" i="3"/>
  <c r="RZH32" i="3"/>
  <c r="RZI32" i="3"/>
  <c r="RZJ32" i="3"/>
  <c r="RZK32" i="3"/>
  <c r="RZL32" i="3"/>
  <c r="RZM32" i="3"/>
  <c r="RZN32" i="3"/>
  <c r="RZO32" i="3"/>
  <c r="RZP32" i="3"/>
  <c r="RZQ32" i="3"/>
  <c r="RZR32" i="3"/>
  <c r="RZS32" i="3"/>
  <c r="RZT32" i="3"/>
  <c r="RZU32" i="3"/>
  <c r="RZV32" i="3"/>
  <c r="RZW32" i="3"/>
  <c r="RZX32" i="3"/>
  <c r="RZY32" i="3"/>
  <c r="RZZ32" i="3"/>
  <c r="SAA32" i="3"/>
  <c r="SAB32" i="3"/>
  <c r="SAC32" i="3"/>
  <c r="SAD32" i="3"/>
  <c r="SAE32" i="3"/>
  <c r="SAF32" i="3"/>
  <c r="SAG32" i="3"/>
  <c r="SAH32" i="3"/>
  <c r="SAI32" i="3"/>
  <c r="SAJ32" i="3"/>
  <c r="SAK32" i="3"/>
  <c r="SAL32" i="3"/>
  <c r="SAM32" i="3"/>
  <c r="SAN32" i="3"/>
  <c r="SAO32" i="3"/>
  <c r="SAP32" i="3"/>
  <c r="SAQ32" i="3"/>
  <c r="SAR32" i="3"/>
  <c r="SAS32" i="3"/>
  <c r="SAT32" i="3"/>
  <c r="SAU32" i="3"/>
  <c r="SAV32" i="3"/>
  <c r="SAW32" i="3"/>
  <c r="SAX32" i="3"/>
  <c r="SAY32" i="3"/>
  <c r="SAZ32" i="3"/>
  <c r="SBA32" i="3"/>
  <c r="SBB32" i="3"/>
  <c r="SBC32" i="3"/>
  <c r="SBD32" i="3"/>
  <c r="SBE32" i="3"/>
  <c r="SBF32" i="3"/>
  <c r="SBG32" i="3"/>
  <c r="SBH32" i="3"/>
  <c r="SBI32" i="3"/>
  <c r="SBJ32" i="3"/>
  <c r="SBK32" i="3"/>
  <c r="SBL32" i="3"/>
  <c r="SBM32" i="3"/>
  <c r="SBN32" i="3"/>
  <c r="SBO32" i="3"/>
  <c r="SBP32" i="3"/>
  <c r="SBQ32" i="3"/>
  <c r="SBR32" i="3"/>
  <c r="SBS32" i="3"/>
  <c r="SBT32" i="3"/>
  <c r="SBU32" i="3"/>
  <c r="SBV32" i="3"/>
  <c r="SBW32" i="3"/>
  <c r="SBX32" i="3"/>
  <c r="SBY32" i="3"/>
  <c r="SBZ32" i="3"/>
  <c r="SCA32" i="3"/>
  <c r="SCB32" i="3"/>
  <c r="SCC32" i="3"/>
  <c r="SCD32" i="3"/>
  <c r="SCE32" i="3"/>
  <c r="SCF32" i="3"/>
  <c r="SCG32" i="3"/>
  <c r="SCH32" i="3"/>
  <c r="SCI32" i="3"/>
  <c r="SCJ32" i="3"/>
  <c r="SCK32" i="3"/>
  <c r="SCL32" i="3"/>
  <c r="SCM32" i="3"/>
  <c r="SCN32" i="3"/>
  <c r="SCO32" i="3"/>
  <c r="SCP32" i="3"/>
  <c r="SCQ32" i="3"/>
  <c r="SCR32" i="3"/>
  <c r="SCS32" i="3"/>
  <c r="SCT32" i="3"/>
  <c r="SCU32" i="3"/>
  <c r="SCV32" i="3"/>
  <c r="SCW32" i="3"/>
  <c r="SCX32" i="3"/>
  <c r="SCY32" i="3"/>
  <c r="SCZ32" i="3"/>
  <c r="SDA32" i="3"/>
  <c r="SDB32" i="3"/>
  <c r="SDC32" i="3"/>
  <c r="SDD32" i="3"/>
  <c r="SDE32" i="3"/>
  <c r="SDF32" i="3"/>
  <c r="SDG32" i="3"/>
  <c r="SDH32" i="3"/>
  <c r="SDI32" i="3"/>
  <c r="SDJ32" i="3"/>
  <c r="SDK32" i="3"/>
  <c r="SDL32" i="3"/>
  <c r="SDM32" i="3"/>
  <c r="SDN32" i="3"/>
  <c r="SDO32" i="3"/>
  <c r="SDP32" i="3"/>
  <c r="SDQ32" i="3"/>
  <c r="SDR32" i="3"/>
  <c r="SDS32" i="3"/>
  <c r="SDT32" i="3"/>
  <c r="SDU32" i="3"/>
  <c r="SDV32" i="3"/>
  <c r="SDW32" i="3"/>
  <c r="SDX32" i="3"/>
  <c r="SDY32" i="3"/>
  <c r="SDZ32" i="3"/>
  <c r="SEA32" i="3"/>
  <c r="SEB32" i="3"/>
  <c r="SEC32" i="3"/>
  <c r="SED32" i="3"/>
  <c r="SEE32" i="3"/>
  <c r="SEF32" i="3"/>
  <c r="SEG32" i="3"/>
  <c r="SEH32" i="3"/>
  <c r="SEI32" i="3"/>
  <c r="SEJ32" i="3"/>
  <c r="SEK32" i="3"/>
  <c r="SEL32" i="3"/>
  <c r="SEM32" i="3"/>
  <c r="SEN32" i="3"/>
  <c r="SEO32" i="3"/>
  <c r="SEP32" i="3"/>
  <c r="SEQ32" i="3"/>
  <c r="SER32" i="3"/>
  <c r="SES32" i="3"/>
  <c r="SET32" i="3"/>
  <c r="SEU32" i="3"/>
  <c r="SEV32" i="3"/>
  <c r="SEW32" i="3"/>
  <c r="SEX32" i="3"/>
  <c r="SEY32" i="3"/>
  <c r="SEZ32" i="3"/>
  <c r="SFA32" i="3"/>
  <c r="SFB32" i="3"/>
  <c r="SFC32" i="3"/>
  <c r="SFD32" i="3"/>
  <c r="SFE32" i="3"/>
  <c r="SFF32" i="3"/>
  <c r="SFG32" i="3"/>
  <c r="SFH32" i="3"/>
  <c r="SFI32" i="3"/>
  <c r="SFJ32" i="3"/>
  <c r="SFK32" i="3"/>
  <c r="SFL32" i="3"/>
  <c r="SFM32" i="3"/>
  <c r="SFN32" i="3"/>
  <c r="SFO32" i="3"/>
  <c r="SFP32" i="3"/>
  <c r="SFQ32" i="3"/>
  <c r="SFR32" i="3"/>
  <c r="SFS32" i="3"/>
  <c r="SFT32" i="3"/>
  <c r="SFU32" i="3"/>
  <c r="SFV32" i="3"/>
  <c r="SFW32" i="3"/>
  <c r="SFX32" i="3"/>
  <c r="SFY32" i="3"/>
  <c r="SFZ32" i="3"/>
  <c r="SGA32" i="3"/>
  <c r="SGB32" i="3"/>
  <c r="SGC32" i="3"/>
  <c r="SGD32" i="3"/>
  <c r="SGE32" i="3"/>
  <c r="SGF32" i="3"/>
  <c r="SGG32" i="3"/>
  <c r="SGH32" i="3"/>
  <c r="SGI32" i="3"/>
  <c r="SGJ32" i="3"/>
  <c r="SGK32" i="3"/>
  <c r="SGL32" i="3"/>
  <c r="SGM32" i="3"/>
  <c r="SGN32" i="3"/>
  <c r="SGO32" i="3"/>
  <c r="SGP32" i="3"/>
  <c r="SGQ32" i="3"/>
  <c r="SGR32" i="3"/>
  <c r="SGS32" i="3"/>
  <c r="SGT32" i="3"/>
  <c r="SGU32" i="3"/>
  <c r="SGV32" i="3"/>
  <c r="SGW32" i="3"/>
  <c r="SGX32" i="3"/>
  <c r="SGY32" i="3"/>
  <c r="SGZ32" i="3"/>
  <c r="SHA32" i="3"/>
  <c r="SHB32" i="3"/>
  <c r="SHC32" i="3"/>
  <c r="SHD32" i="3"/>
  <c r="SHE32" i="3"/>
  <c r="SHF32" i="3"/>
  <c r="SHG32" i="3"/>
  <c r="SHH32" i="3"/>
  <c r="SHI32" i="3"/>
  <c r="SHJ32" i="3"/>
  <c r="SHK32" i="3"/>
  <c r="SHL32" i="3"/>
  <c r="SHM32" i="3"/>
  <c r="SHN32" i="3"/>
  <c r="SHO32" i="3"/>
  <c r="SHP32" i="3"/>
  <c r="SHQ32" i="3"/>
  <c r="SHR32" i="3"/>
  <c r="SHS32" i="3"/>
  <c r="SHT32" i="3"/>
  <c r="SHU32" i="3"/>
  <c r="SHV32" i="3"/>
  <c r="SHW32" i="3"/>
  <c r="SHX32" i="3"/>
  <c r="SHY32" i="3"/>
  <c r="SHZ32" i="3"/>
  <c r="SIA32" i="3"/>
  <c r="SIB32" i="3"/>
  <c r="SIC32" i="3"/>
  <c r="SID32" i="3"/>
  <c r="SIE32" i="3"/>
  <c r="SIF32" i="3"/>
  <c r="SIG32" i="3"/>
  <c r="SIH32" i="3"/>
  <c r="SII32" i="3"/>
  <c r="SIJ32" i="3"/>
  <c r="SIK32" i="3"/>
  <c r="SIL32" i="3"/>
  <c r="SIM32" i="3"/>
  <c r="SIN32" i="3"/>
  <c r="SIO32" i="3"/>
  <c r="SIP32" i="3"/>
  <c r="SIQ32" i="3"/>
  <c r="SIR32" i="3"/>
  <c r="SIS32" i="3"/>
  <c r="SIT32" i="3"/>
  <c r="SIU32" i="3"/>
  <c r="SIV32" i="3"/>
  <c r="SIW32" i="3"/>
  <c r="SIX32" i="3"/>
  <c r="SIY32" i="3"/>
  <c r="SIZ32" i="3"/>
  <c r="SJA32" i="3"/>
  <c r="SJB32" i="3"/>
  <c r="SJC32" i="3"/>
  <c r="SJD32" i="3"/>
  <c r="SJE32" i="3"/>
  <c r="SJF32" i="3"/>
  <c r="SJG32" i="3"/>
  <c r="SJH32" i="3"/>
  <c r="SJI32" i="3"/>
  <c r="SJJ32" i="3"/>
  <c r="SJK32" i="3"/>
  <c r="SJL32" i="3"/>
  <c r="SJM32" i="3"/>
  <c r="SJN32" i="3"/>
  <c r="SJO32" i="3"/>
  <c r="SJP32" i="3"/>
  <c r="SJQ32" i="3"/>
  <c r="SJR32" i="3"/>
  <c r="SJS32" i="3"/>
  <c r="SJT32" i="3"/>
  <c r="SJU32" i="3"/>
  <c r="SJV32" i="3"/>
  <c r="SJW32" i="3"/>
  <c r="SJX32" i="3"/>
  <c r="SJY32" i="3"/>
  <c r="SJZ32" i="3"/>
  <c r="SKA32" i="3"/>
  <c r="SKB32" i="3"/>
  <c r="SKC32" i="3"/>
  <c r="SKD32" i="3"/>
  <c r="SKE32" i="3"/>
  <c r="SKF32" i="3"/>
  <c r="SKG32" i="3"/>
  <c r="SKH32" i="3"/>
  <c r="SKI32" i="3"/>
  <c r="SKJ32" i="3"/>
  <c r="SKK32" i="3"/>
  <c r="SKL32" i="3"/>
  <c r="SKM32" i="3"/>
  <c r="SKN32" i="3"/>
  <c r="SKO32" i="3"/>
  <c r="SKP32" i="3"/>
  <c r="SKQ32" i="3"/>
  <c r="SKR32" i="3"/>
  <c r="SKS32" i="3"/>
  <c r="SKT32" i="3"/>
  <c r="SKU32" i="3"/>
  <c r="SKV32" i="3"/>
  <c r="SKW32" i="3"/>
  <c r="SKX32" i="3"/>
  <c r="SKY32" i="3"/>
  <c r="SKZ32" i="3"/>
  <c r="SLA32" i="3"/>
  <c r="SLB32" i="3"/>
  <c r="SLC32" i="3"/>
  <c r="SLD32" i="3"/>
  <c r="SLE32" i="3"/>
  <c r="SLF32" i="3"/>
  <c r="SLG32" i="3"/>
  <c r="SLH32" i="3"/>
  <c r="SLI32" i="3"/>
  <c r="SLJ32" i="3"/>
  <c r="SLK32" i="3"/>
  <c r="SLL32" i="3"/>
  <c r="SLM32" i="3"/>
  <c r="SLN32" i="3"/>
  <c r="SLO32" i="3"/>
  <c r="SLP32" i="3"/>
  <c r="SLQ32" i="3"/>
  <c r="SLR32" i="3"/>
  <c r="SLS32" i="3"/>
  <c r="SLT32" i="3"/>
  <c r="SLU32" i="3"/>
  <c r="SLV32" i="3"/>
  <c r="SLW32" i="3"/>
  <c r="SLX32" i="3"/>
  <c r="SLY32" i="3"/>
  <c r="SLZ32" i="3"/>
  <c r="SMA32" i="3"/>
  <c r="SMB32" i="3"/>
  <c r="SMC32" i="3"/>
  <c r="SMD32" i="3"/>
  <c r="SME32" i="3"/>
  <c r="SMF32" i="3"/>
  <c r="SMG32" i="3"/>
  <c r="SMH32" i="3"/>
  <c r="SMI32" i="3"/>
  <c r="SMJ32" i="3"/>
  <c r="SMK32" i="3"/>
  <c r="SML32" i="3"/>
  <c r="SMM32" i="3"/>
  <c r="SMN32" i="3"/>
  <c r="SMO32" i="3"/>
  <c r="SMP32" i="3"/>
  <c r="SMQ32" i="3"/>
  <c r="SMR32" i="3"/>
  <c r="SMS32" i="3"/>
  <c r="SMT32" i="3"/>
  <c r="SMU32" i="3"/>
  <c r="SMV32" i="3"/>
  <c r="SMW32" i="3"/>
  <c r="SMX32" i="3"/>
  <c r="SMY32" i="3"/>
  <c r="SMZ32" i="3"/>
  <c r="SNA32" i="3"/>
  <c r="SNB32" i="3"/>
  <c r="SNC32" i="3"/>
  <c r="SND32" i="3"/>
  <c r="SNE32" i="3"/>
  <c r="SNF32" i="3"/>
  <c r="SNG32" i="3"/>
  <c r="SNH32" i="3"/>
  <c r="SNI32" i="3"/>
  <c r="SNJ32" i="3"/>
  <c r="SNK32" i="3"/>
  <c r="SNL32" i="3"/>
  <c r="SNM32" i="3"/>
  <c r="SNN32" i="3"/>
  <c r="SNO32" i="3"/>
  <c r="SNP32" i="3"/>
  <c r="SNQ32" i="3"/>
  <c r="SNR32" i="3"/>
  <c r="SNS32" i="3"/>
  <c r="SNT32" i="3"/>
  <c r="SNU32" i="3"/>
  <c r="SNV32" i="3"/>
  <c r="SNW32" i="3"/>
  <c r="SNX32" i="3"/>
  <c r="SNY32" i="3"/>
  <c r="SNZ32" i="3"/>
  <c r="SOA32" i="3"/>
  <c r="SOB32" i="3"/>
  <c r="SOC32" i="3"/>
  <c r="SOD32" i="3"/>
  <c r="SOE32" i="3"/>
  <c r="SOF32" i="3"/>
  <c r="SOG32" i="3"/>
  <c r="SOH32" i="3"/>
  <c r="SOI32" i="3"/>
  <c r="SOJ32" i="3"/>
  <c r="SOK32" i="3"/>
  <c r="SOL32" i="3"/>
  <c r="SOM32" i="3"/>
  <c r="SON32" i="3"/>
  <c r="SOO32" i="3"/>
  <c r="SOP32" i="3"/>
  <c r="SOQ32" i="3"/>
  <c r="SOR32" i="3"/>
  <c r="SOS32" i="3"/>
  <c r="SOT32" i="3"/>
  <c r="SOU32" i="3"/>
  <c r="SOV32" i="3"/>
  <c r="SOW32" i="3"/>
  <c r="SOX32" i="3"/>
  <c r="SOY32" i="3"/>
  <c r="SOZ32" i="3"/>
  <c r="SPA32" i="3"/>
  <c r="SPB32" i="3"/>
  <c r="SPC32" i="3"/>
  <c r="SPD32" i="3"/>
  <c r="SPE32" i="3"/>
  <c r="SPF32" i="3"/>
  <c r="SPG32" i="3"/>
  <c r="SPH32" i="3"/>
  <c r="SPI32" i="3"/>
  <c r="SPJ32" i="3"/>
  <c r="SPK32" i="3"/>
  <c r="SPL32" i="3"/>
  <c r="SPM32" i="3"/>
  <c r="SPN32" i="3"/>
  <c r="SPO32" i="3"/>
  <c r="SPP32" i="3"/>
  <c r="SPQ32" i="3"/>
  <c r="SPR32" i="3"/>
  <c r="SPS32" i="3"/>
  <c r="SPT32" i="3"/>
  <c r="SPU32" i="3"/>
  <c r="SPV32" i="3"/>
  <c r="SPW32" i="3"/>
  <c r="SPX32" i="3"/>
  <c r="SPY32" i="3"/>
  <c r="SPZ32" i="3"/>
  <c r="SQA32" i="3"/>
  <c r="SQB32" i="3"/>
  <c r="SQC32" i="3"/>
  <c r="SQD32" i="3"/>
  <c r="SQE32" i="3"/>
  <c r="SQF32" i="3"/>
  <c r="SQG32" i="3"/>
  <c r="SQH32" i="3"/>
  <c r="SQI32" i="3"/>
  <c r="SQJ32" i="3"/>
  <c r="SQK32" i="3"/>
  <c r="SQL32" i="3"/>
  <c r="SQM32" i="3"/>
  <c r="SQN32" i="3"/>
  <c r="SQO32" i="3"/>
  <c r="SQP32" i="3"/>
  <c r="SQQ32" i="3"/>
  <c r="SQR32" i="3"/>
  <c r="SQS32" i="3"/>
  <c r="SQT32" i="3"/>
  <c r="SQU32" i="3"/>
  <c r="SQV32" i="3"/>
  <c r="SQW32" i="3"/>
  <c r="SQX32" i="3"/>
  <c r="SQY32" i="3"/>
  <c r="SQZ32" i="3"/>
  <c r="SRA32" i="3"/>
  <c r="SRB32" i="3"/>
  <c r="SRC32" i="3"/>
  <c r="SRD32" i="3"/>
  <c r="SRE32" i="3"/>
  <c r="SRF32" i="3"/>
  <c r="SRG32" i="3"/>
  <c r="SRH32" i="3"/>
  <c r="SRI32" i="3"/>
  <c r="SRJ32" i="3"/>
  <c r="SRK32" i="3"/>
  <c r="SRL32" i="3"/>
  <c r="SRM32" i="3"/>
  <c r="SRN32" i="3"/>
  <c r="SRO32" i="3"/>
  <c r="SRP32" i="3"/>
  <c r="SRQ32" i="3"/>
  <c r="SRR32" i="3"/>
  <c r="SRS32" i="3"/>
  <c r="SRT32" i="3"/>
  <c r="SRU32" i="3"/>
  <c r="SRV32" i="3"/>
  <c r="SRW32" i="3"/>
  <c r="SRX32" i="3"/>
  <c r="SRY32" i="3"/>
  <c r="SRZ32" i="3"/>
  <c r="SSA32" i="3"/>
  <c r="SSB32" i="3"/>
  <c r="SSC32" i="3"/>
  <c r="SSD32" i="3"/>
  <c r="SSE32" i="3"/>
  <c r="SSF32" i="3"/>
  <c r="SSG32" i="3"/>
  <c r="SSH32" i="3"/>
  <c r="SSI32" i="3"/>
  <c r="SSJ32" i="3"/>
  <c r="SSK32" i="3"/>
  <c r="SSL32" i="3"/>
  <c r="SSM32" i="3"/>
  <c r="SSN32" i="3"/>
  <c r="SSO32" i="3"/>
  <c r="SSP32" i="3"/>
  <c r="SSQ32" i="3"/>
  <c r="SSR32" i="3"/>
  <c r="SSS32" i="3"/>
  <c r="SST32" i="3"/>
  <c r="SSU32" i="3"/>
  <c r="SSV32" i="3"/>
  <c r="SSW32" i="3"/>
  <c r="SSX32" i="3"/>
  <c r="SSY32" i="3"/>
  <c r="SSZ32" i="3"/>
  <c r="STA32" i="3"/>
  <c r="STB32" i="3"/>
  <c r="STC32" i="3"/>
  <c r="STD32" i="3"/>
  <c r="STE32" i="3"/>
  <c r="STF32" i="3"/>
  <c r="STG32" i="3"/>
  <c r="STH32" i="3"/>
  <c r="STI32" i="3"/>
  <c r="STJ32" i="3"/>
  <c r="STK32" i="3"/>
  <c r="STL32" i="3"/>
  <c r="STM32" i="3"/>
  <c r="STN32" i="3"/>
  <c r="STO32" i="3"/>
  <c r="STP32" i="3"/>
  <c r="STQ32" i="3"/>
  <c r="STR32" i="3"/>
  <c r="STS32" i="3"/>
  <c r="STT32" i="3"/>
  <c r="STU32" i="3"/>
  <c r="STV32" i="3"/>
  <c r="STW32" i="3"/>
  <c r="STX32" i="3"/>
  <c r="STY32" i="3"/>
  <c r="STZ32" i="3"/>
  <c r="SUA32" i="3"/>
  <c r="SUB32" i="3"/>
  <c r="SUC32" i="3"/>
  <c r="SUD32" i="3"/>
  <c r="SUE32" i="3"/>
  <c r="SUF32" i="3"/>
  <c r="SUG32" i="3"/>
  <c r="SUH32" i="3"/>
  <c r="SUI32" i="3"/>
  <c r="SUJ32" i="3"/>
  <c r="SUK32" i="3"/>
  <c r="SUL32" i="3"/>
  <c r="SUM32" i="3"/>
  <c r="SUN32" i="3"/>
  <c r="SUO32" i="3"/>
  <c r="SUP32" i="3"/>
  <c r="SUQ32" i="3"/>
  <c r="SUR32" i="3"/>
  <c r="SUS32" i="3"/>
  <c r="SUT32" i="3"/>
  <c r="SUU32" i="3"/>
  <c r="SUV32" i="3"/>
  <c r="SUW32" i="3"/>
  <c r="SUX32" i="3"/>
  <c r="SUY32" i="3"/>
  <c r="SUZ32" i="3"/>
  <c r="SVA32" i="3"/>
  <c r="SVB32" i="3"/>
  <c r="SVC32" i="3"/>
  <c r="SVD32" i="3"/>
  <c r="SVE32" i="3"/>
  <c r="SVF32" i="3"/>
  <c r="SVG32" i="3"/>
  <c r="SVH32" i="3"/>
  <c r="SVI32" i="3"/>
  <c r="SVJ32" i="3"/>
  <c r="SVK32" i="3"/>
  <c r="SVL32" i="3"/>
  <c r="SVM32" i="3"/>
  <c r="SVN32" i="3"/>
  <c r="SVO32" i="3"/>
  <c r="SVP32" i="3"/>
  <c r="SVQ32" i="3"/>
  <c r="SVR32" i="3"/>
  <c r="SVS32" i="3"/>
  <c r="SVT32" i="3"/>
  <c r="SVU32" i="3"/>
  <c r="SVV32" i="3"/>
  <c r="SVW32" i="3"/>
  <c r="SVX32" i="3"/>
  <c r="SVY32" i="3"/>
  <c r="SVZ32" i="3"/>
  <c r="SWA32" i="3"/>
  <c r="SWB32" i="3"/>
  <c r="SWC32" i="3"/>
  <c r="SWD32" i="3"/>
  <c r="SWE32" i="3"/>
  <c r="SWF32" i="3"/>
  <c r="SWG32" i="3"/>
  <c r="SWH32" i="3"/>
  <c r="SWI32" i="3"/>
  <c r="SWJ32" i="3"/>
  <c r="SWK32" i="3"/>
  <c r="SWL32" i="3"/>
  <c r="SWM32" i="3"/>
  <c r="SWN32" i="3"/>
  <c r="SWO32" i="3"/>
  <c r="SWP32" i="3"/>
  <c r="SWQ32" i="3"/>
  <c r="SWR32" i="3"/>
  <c r="SWS32" i="3"/>
  <c r="SWT32" i="3"/>
  <c r="SWU32" i="3"/>
  <c r="SWV32" i="3"/>
  <c r="SWW32" i="3"/>
  <c r="SWX32" i="3"/>
  <c r="SWY32" i="3"/>
  <c r="SWZ32" i="3"/>
  <c r="SXA32" i="3"/>
  <c r="SXB32" i="3"/>
  <c r="SXC32" i="3"/>
  <c r="SXD32" i="3"/>
  <c r="SXE32" i="3"/>
  <c r="SXF32" i="3"/>
  <c r="SXG32" i="3"/>
  <c r="SXH32" i="3"/>
  <c r="SXI32" i="3"/>
  <c r="SXJ32" i="3"/>
  <c r="SXK32" i="3"/>
  <c r="SXL32" i="3"/>
  <c r="SXM32" i="3"/>
  <c r="SXN32" i="3"/>
  <c r="SXO32" i="3"/>
  <c r="SXP32" i="3"/>
  <c r="SXQ32" i="3"/>
  <c r="SXR32" i="3"/>
  <c r="SXS32" i="3"/>
  <c r="SXT32" i="3"/>
  <c r="SXU32" i="3"/>
  <c r="SXV32" i="3"/>
  <c r="SXW32" i="3"/>
  <c r="SXX32" i="3"/>
  <c r="SXY32" i="3"/>
  <c r="SXZ32" i="3"/>
  <c r="SYA32" i="3"/>
  <c r="SYB32" i="3"/>
  <c r="SYC32" i="3"/>
  <c r="SYD32" i="3"/>
  <c r="SYE32" i="3"/>
  <c r="SYF32" i="3"/>
  <c r="SYG32" i="3"/>
  <c r="SYH32" i="3"/>
  <c r="SYI32" i="3"/>
  <c r="SYJ32" i="3"/>
  <c r="SYK32" i="3"/>
  <c r="SYL32" i="3"/>
  <c r="SYM32" i="3"/>
  <c r="SYN32" i="3"/>
  <c r="SYO32" i="3"/>
  <c r="SYP32" i="3"/>
  <c r="SYQ32" i="3"/>
  <c r="SYR32" i="3"/>
  <c r="SYS32" i="3"/>
  <c r="SYT32" i="3"/>
  <c r="SYU32" i="3"/>
  <c r="SYV32" i="3"/>
  <c r="SYW32" i="3"/>
  <c r="SYX32" i="3"/>
  <c r="SYY32" i="3"/>
  <c r="SYZ32" i="3"/>
  <c r="SZA32" i="3"/>
  <c r="SZB32" i="3"/>
  <c r="SZC32" i="3"/>
  <c r="SZD32" i="3"/>
  <c r="SZE32" i="3"/>
  <c r="SZF32" i="3"/>
  <c r="SZG32" i="3"/>
  <c r="SZH32" i="3"/>
  <c r="SZI32" i="3"/>
  <c r="SZJ32" i="3"/>
  <c r="SZK32" i="3"/>
  <c r="SZL32" i="3"/>
  <c r="SZM32" i="3"/>
  <c r="SZN32" i="3"/>
  <c r="SZO32" i="3"/>
  <c r="SZP32" i="3"/>
  <c r="SZQ32" i="3"/>
  <c r="SZR32" i="3"/>
  <c r="SZS32" i="3"/>
  <c r="SZT32" i="3"/>
  <c r="SZU32" i="3"/>
  <c r="SZV32" i="3"/>
  <c r="SZW32" i="3"/>
  <c r="SZX32" i="3"/>
  <c r="SZY32" i="3"/>
  <c r="SZZ32" i="3"/>
  <c r="TAA32" i="3"/>
  <c r="TAB32" i="3"/>
  <c r="TAC32" i="3"/>
  <c r="TAD32" i="3"/>
  <c r="TAE32" i="3"/>
  <c r="TAF32" i="3"/>
  <c r="TAG32" i="3"/>
  <c r="TAH32" i="3"/>
  <c r="TAI32" i="3"/>
  <c r="TAJ32" i="3"/>
  <c r="TAK32" i="3"/>
  <c r="TAL32" i="3"/>
  <c r="TAM32" i="3"/>
  <c r="TAN32" i="3"/>
  <c r="TAO32" i="3"/>
  <c r="TAP32" i="3"/>
  <c r="TAQ32" i="3"/>
  <c r="TAR32" i="3"/>
  <c r="TAS32" i="3"/>
  <c r="TAT32" i="3"/>
  <c r="TAU32" i="3"/>
  <c r="TAV32" i="3"/>
  <c r="TAW32" i="3"/>
  <c r="TAX32" i="3"/>
  <c r="TAY32" i="3"/>
  <c r="TAZ32" i="3"/>
  <c r="TBA32" i="3"/>
  <c r="TBB32" i="3"/>
  <c r="TBC32" i="3"/>
  <c r="TBD32" i="3"/>
  <c r="TBE32" i="3"/>
  <c r="TBF32" i="3"/>
  <c r="TBG32" i="3"/>
  <c r="TBH32" i="3"/>
  <c r="TBI32" i="3"/>
  <c r="TBJ32" i="3"/>
  <c r="TBK32" i="3"/>
  <c r="TBL32" i="3"/>
  <c r="TBM32" i="3"/>
  <c r="TBN32" i="3"/>
  <c r="TBO32" i="3"/>
  <c r="TBP32" i="3"/>
  <c r="TBQ32" i="3"/>
  <c r="TBR32" i="3"/>
  <c r="TBS32" i="3"/>
  <c r="TBT32" i="3"/>
  <c r="TBU32" i="3"/>
  <c r="TBV32" i="3"/>
  <c r="TBW32" i="3"/>
  <c r="TBX32" i="3"/>
  <c r="TBY32" i="3"/>
  <c r="TBZ32" i="3"/>
  <c r="TCA32" i="3"/>
  <c r="TCB32" i="3"/>
  <c r="TCC32" i="3"/>
  <c r="TCD32" i="3"/>
  <c r="TCE32" i="3"/>
  <c r="TCF32" i="3"/>
  <c r="TCG32" i="3"/>
  <c r="TCH32" i="3"/>
  <c r="TCI32" i="3"/>
  <c r="TCJ32" i="3"/>
  <c r="TCK32" i="3"/>
  <c r="TCL32" i="3"/>
  <c r="TCM32" i="3"/>
  <c r="TCN32" i="3"/>
  <c r="TCO32" i="3"/>
  <c r="TCP32" i="3"/>
  <c r="TCQ32" i="3"/>
  <c r="TCR32" i="3"/>
  <c r="TCS32" i="3"/>
  <c r="TCT32" i="3"/>
  <c r="TCU32" i="3"/>
  <c r="TCV32" i="3"/>
  <c r="TCW32" i="3"/>
  <c r="TCX32" i="3"/>
  <c r="TCY32" i="3"/>
  <c r="TCZ32" i="3"/>
  <c r="TDA32" i="3"/>
  <c r="TDB32" i="3"/>
  <c r="TDC32" i="3"/>
  <c r="TDD32" i="3"/>
  <c r="TDE32" i="3"/>
  <c r="TDF32" i="3"/>
  <c r="TDG32" i="3"/>
  <c r="TDH32" i="3"/>
  <c r="TDI32" i="3"/>
  <c r="TDJ32" i="3"/>
  <c r="TDK32" i="3"/>
  <c r="TDL32" i="3"/>
  <c r="TDM32" i="3"/>
  <c r="TDN32" i="3"/>
  <c r="TDO32" i="3"/>
  <c r="TDP32" i="3"/>
  <c r="TDQ32" i="3"/>
  <c r="TDR32" i="3"/>
  <c r="TDS32" i="3"/>
  <c r="TDT32" i="3"/>
  <c r="TDU32" i="3"/>
  <c r="TDV32" i="3"/>
  <c r="TDW32" i="3"/>
  <c r="TDX32" i="3"/>
  <c r="TDY32" i="3"/>
  <c r="TDZ32" i="3"/>
  <c r="TEA32" i="3"/>
  <c r="TEB32" i="3"/>
  <c r="TEC32" i="3"/>
  <c r="TED32" i="3"/>
  <c r="TEE32" i="3"/>
  <c r="TEF32" i="3"/>
  <c r="TEG32" i="3"/>
  <c r="TEH32" i="3"/>
  <c r="TEI32" i="3"/>
  <c r="TEJ32" i="3"/>
  <c r="TEK32" i="3"/>
  <c r="TEL32" i="3"/>
  <c r="TEM32" i="3"/>
  <c r="TEN32" i="3"/>
  <c r="TEO32" i="3"/>
  <c r="TEP32" i="3"/>
  <c r="TEQ32" i="3"/>
  <c r="TER32" i="3"/>
  <c r="TES32" i="3"/>
  <c r="TET32" i="3"/>
  <c r="TEU32" i="3"/>
  <c r="TEV32" i="3"/>
  <c r="TEW32" i="3"/>
  <c r="TEX32" i="3"/>
  <c r="TEY32" i="3"/>
  <c r="TEZ32" i="3"/>
  <c r="TFA32" i="3"/>
  <c r="TFB32" i="3"/>
  <c r="TFC32" i="3"/>
  <c r="TFD32" i="3"/>
  <c r="TFE32" i="3"/>
  <c r="TFF32" i="3"/>
  <c r="TFG32" i="3"/>
  <c r="TFH32" i="3"/>
  <c r="TFI32" i="3"/>
  <c r="TFJ32" i="3"/>
  <c r="TFK32" i="3"/>
  <c r="TFL32" i="3"/>
  <c r="TFM32" i="3"/>
  <c r="TFN32" i="3"/>
  <c r="TFO32" i="3"/>
  <c r="TFP32" i="3"/>
  <c r="TFQ32" i="3"/>
  <c r="TFR32" i="3"/>
  <c r="TFS32" i="3"/>
  <c r="TFT32" i="3"/>
  <c r="TFU32" i="3"/>
  <c r="TFV32" i="3"/>
  <c r="TFW32" i="3"/>
  <c r="TFX32" i="3"/>
  <c r="TFY32" i="3"/>
  <c r="TFZ32" i="3"/>
  <c r="TGA32" i="3"/>
  <c r="TGB32" i="3"/>
  <c r="TGC32" i="3"/>
  <c r="TGD32" i="3"/>
  <c r="TGE32" i="3"/>
  <c r="TGF32" i="3"/>
  <c r="TGG32" i="3"/>
  <c r="TGH32" i="3"/>
  <c r="TGI32" i="3"/>
  <c r="TGJ32" i="3"/>
  <c r="TGK32" i="3"/>
  <c r="TGL32" i="3"/>
  <c r="TGM32" i="3"/>
  <c r="TGN32" i="3"/>
  <c r="TGO32" i="3"/>
  <c r="TGP32" i="3"/>
  <c r="TGQ32" i="3"/>
  <c r="TGR32" i="3"/>
  <c r="TGS32" i="3"/>
  <c r="TGT32" i="3"/>
  <c r="TGU32" i="3"/>
  <c r="TGV32" i="3"/>
  <c r="TGW32" i="3"/>
  <c r="TGX32" i="3"/>
  <c r="TGY32" i="3"/>
  <c r="TGZ32" i="3"/>
  <c r="THA32" i="3"/>
  <c r="THB32" i="3"/>
  <c r="THC32" i="3"/>
  <c r="THD32" i="3"/>
  <c r="THE32" i="3"/>
  <c r="THF32" i="3"/>
  <c r="THG32" i="3"/>
  <c r="THH32" i="3"/>
  <c r="THI32" i="3"/>
  <c r="THJ32" i="3"/>
  <c r="THK32" i="3"/>
  <c r="THL32" i="3"/>
  <c r="THM32" i="3"/>
  <c r="THN32" i="3"/>
  <c r="THO32" i="3"/>
  <c r="THP32" i="3"/>
  <c r="THQ32" i="3"/>
  <c r="THR32" i="3"/>
  <c r="THS32" i="3"/>
  <c r="THT32" i="3"/>
  <c r="THU32" i="3"/>
  <c r="THV32" i="3"/>
  <c r="THW32" i="3"/>
  <c r="THX32" i="3"/>
  <c r="THY32" i="3"/>
  <c r="THZ32" i="3"/>
  <c r="TIA32" i="3"/>
  <c r="TIB32" i="3"/>
  <c r="TIC32" i="3"/>
  <c r="TID32" i="3"/>
  <c r="TIE32" i="3"/>
  <c r="TIF32" i="3"/>
  <c r="TIG32" i="3"/>
  <c r="TIH32" i="3"/>
  <c r="TII32" i="3"/>
  <c r="TIJ32" i="3"/>
  <c r="TIK32" i="3"/>
  <c r="TIL32" i="3"/>
  <c r="TIM32" i="3"/>
  <c r="TIN32" i="3"/>
  <c r="TIO32" i="3"/>
  <c r="TIP32" i="3"/>
  <c r="TIQ32" i="3"/>
  <c r="TIR32" i="3"/>
  <c r="TIS32" i="3"/>
  <c r="TIT32" i="3"/>
  <c r="TIU32" i="3"/>
  <c r="TIV32" i="3"/>
  <c r="TIW32" i="3"/>
  <c r="TIX32" i="3"/>
  <c r="TIY32" i="3"/>
  <c r="TIZ32" i="3"/>
  <c r="TJA32" i="3"/>
  <c r="TJB32" i="3"/>
  <c r="TJC32" i="3"/>
  <c r="TJD32" i="3"/>
  <c r="TJE32" i="3"/>
  <c r="TJF32" i="3"/>
  <c r="TJG32" i="3"/>
  <c r="TJH32" i="3"/>
  <c r="TJI32" i="3"/>
  <c r="TJJ32" i="3"/>
  <c r="TJK32" i="3"/>
  <c r="TJL32" i="3"/>
  <c r="TJM32" i="3"/>
  <c r="TJN32" i="3"/>
  <c r="TJO32" i="3"/>
  <c r="TJP32" i="3"/>
  <c r="TJQ32" i="3"/>
  <c r="TJR32" i="3"/>
  <c r="TJS32" i="3"/>
  <c r="TJT32" i="3"/>
  <c r="TJU32" i="3"/>
  <c r="TJV32" i="3"/>
  <c r="TJW32" i="3"/>
  <c r="TJX32" i="3"/>
  <c r="TJY32" i="3"/>
  <c r="TJZ32" i="3"/>
  <c r="TKA32" i="3"/>
  <c r="TKB32" i="3"/>
  <c r="TKC32" i="3"/>
  <c r="TKD32" i="3"/>
  <c r="TKE32" i="3"/>
  <c r="TKF32" i="3"/>
  <c r="TKG32" i="3"/>
  <c r="TKH32" i="3"/>
  <c r="TKI32" i="3"/>
  <c r="TKJ32" i="3"/>
  <c r="TKK32" i="3"/>
  <c r="TKL32" i="3"/>
  <c r="TKM32" i="3"/>
  <c r="TKN32" i="3"/>
  <c r="TKO32" i="3"/>
  <c r="TKP32" i="3"/>
  <c r="TKQ32" i="3"/>
  <c r="TKR32" i="3"/>
  <c r="TKS32" i="3"/>
  <c r="TKT32" i="3"/>
  <c r="TKU32" i="3"/>
  <c r="TKV32" i="3"/>
  <c r="TKW32" i="3"/>
  <c r="TKX32" i="3"/>
  <c r="TKY32" i="3"/>
  <c r="TKZ32" i="3"/>
  <c r="TLA32" i="3"/>
  <c r="TLB32" i="3"/>
  <c r="TLC32" i="3"/>
  <c r="TLD32" i="3"/>
  <c r="TLE32" i="3"/>
  <c r="TLF32" i="3"/>
  <c r="TLG32" i="3"/>
  <c r="TLH32" i="3"/>
  <c r="TLI32" i="3"/>
  <c r="TLJ32" i="3"/>
  <c r="TLK32" i="3"/>
  <c r="TLL32" i="3"/>
  <c r="TLM32" i="3"/>
  <c r="TLN32" i="3"/>
  <c r="TLO32" i="3"/>
  <c r="TLP32" i="3"/>
  <c r="TLQ32" i="3"/>
  <c r="TLR32" i="3"/>
  <c r="TLS32" i="3"/>
  <c r="TLT32" i="3"/>
  <c r="TLU32" i="3"/>
  <c r="TLV32" i="3"/>
  <c r="TLW32" i="3"/>
  <c r="TLX32" i="3"/>
  <c r="TLY32" i="3"/>
  <c r="TLZ32" i="3"/>
  <c r="TMA32" i="3"/>
  <c r="TMB32" i="3"/>
  <c r="TMC32" i="3"/>
  <c r="TMD32" i="3"/>
  <c r="TME32" i="3"/>
  <c r="TMF32" i="3"/>
  <c r="TMG32" i="3"/>
  <c r="TMH32" i="3"/>
  <c r="TMI32" i="3"/>
  <c r="TMJ32" i="3"/>
  <c r="TMK32" i="3"/>
  <c r="TML32" i="3"/>
  <c r="TMM32" i="3"/>
  <c r="TMN32" i="3"/>
  <c r="TMO32" i="3"/>
  <c r="TMP32" i="3"/>
  <c r="TMQ32" i="3"/>
  <c r="TMR32" i="3"/>
  <c r="TMS32" i="3"/>
  <c r="TMT32" i="3"/>
  <c r="TMU32" i="3"/>
  <c r="TMV32" i="3"/>
  <c r="TMW32" i="3"/>
  <c r="TMX32" i="3"/>
  <c r="TMY32" i="3"/>
  <c r="TMZ32" i="3"/>
  <c r="TNA32" i="3"/>
  <c r="TNB32" i="3"/>
  <c r="TNC32" i="3"/>
  <c r="TND32" i="3"/>
  <c r="TNE32" i="3"/>
  <c r="TNF32" i="3"/>
  <c r="TNG32" i="3"/>
  <c r="TNH32" i="3"/>
  <c r="TNI32" i="3"/>
  <c r="TNJ32" i="3"/>
  <c r="TNK32" i="3"/>
  <c r="TNL32" i="3"/>
  <c r="TNM32" i="3"/>
  <c r="TNN32" i="3"/>
  <c r="TNO32" i="3"/>
  <c r="TNP32" i="3"/>
  <c r="TNQ32" i="3"/>
  <c r="TNR32" i="3"/>
  <c r="TNS32" i="3"/>
  <c r="TNT32" i="3"/>
  <c r="TNU32" i="3"/>
  <c r="TNV32" i="3"/>
  <c r="TNW32" i="3"/>
  <c r="TNX32" i="3"/>
  <c r="TNY32" i="3"/>
  <c r="TNZ32" i="3"/>
  <c r="TOA32" i="3"/>
  <c r="TOB32" i="3"/>
  <c r="TOC32" i="3"/>
  <c r="TOD32" i="3"/>
  <c r="TOE32" i="3"/>
  <c r="TOF32" i="3"/>
  <c r="TOG32" i="3"/>
  <c r="TOH32" i="3"/>
  <c r="TOI32" i="3"/>
  <c r="TOJ32" i="3"/>
  <c r="TOK32" i="3"/>
  <c r="TOL32" i="3"/>
  <c r="TOM32" i="3"/>
  <c r="TON32" i="3"/>
  <c r="TOO32" i="3"/>
  <c r="TOP32" i="3"/>
  <c r="TOQ32" i="3"/>
  <c r="TOR32" i="3"/>
  <c r="TOS32" i="3"/>
  <c r="TOT32" i="3"/>
  <c r="TOU32" i="3"/>
  <c r="TOV32" i="3"/>
  <c r="TOW32" i="3"/>
  <c r="TOX32" i="3"/>
  <c r="TOY32" i="3"/>
  <c r="TOZ32" i="3"/>
  <c r="TPA32" i="3"/>
  <c r="TPB32" i="3"/>
  <c r="TPC32" i="3"/>
  <c r="TPD32" i="3"/>
  <c r="TPE32" i="3"/>
  <c r="TPF32" i="3"/>
  <c r="TPG32" i="3"/>
  <c r="TPH32" i="3"/>
  <c r="TPI32" i="3"/>
  <c r="TPJ32" i="3"/>
  <c r="TPK32" i="3"/>
  <c r="TPL32" i="3"/>
  <c r="TPM32" i="3"/>
  <c r="TPN32" i="3"/>
  <c r="TPO32" i="3"/>
  <c r="TPP32" i="3"/>
  <c r="TPQ32" i="3"/>
  <c r="TPR32" i="3"/>
  <c r="TPS32" i="3"/>
  <c r="TPT32" i="3"/>
  <c r="TPU32" i="3"/>
  <c r="TPV32" i="3"/>
  <c r="TPW32" i="3"/>
  <c r="TPX32" i="3"/>
  <c r="TPY32" i="3"/>
  <c r="TPZ32" i="3"/>
  <c r="TQA32" i="3"/>
  <c r="TQB32" i="3"/>
  <c r="TQC32" i="3"/>
  <c r="TQD32" i="3"/>
  <c r="TQE32" i="3"/>
  <c r="TQF32" i="3"/>
  <c r="TQG32" i="3"/>
  <c r="TQH32" i="3"/>
  <c r="TQI32" i="3"/>
  <c r="TQJ32" i="3"/>
  <c r="TQK32" i="3"/>
  <c r="TQL32" i="3"/>
  <c r="TQM32" i="3"/>
  <c r="TQN32" i="3"/>
  <c r="TQO32" i="3"/>
  <c r="TQP32" i="3"/>
  <c r="TQQ32" i="3"/>
  <c r="TQR32" i="3"/>
  <c r="TQS32" i="3"/>
  <c r="TQT32" i="3"/>
  <c r="TQU32" i="3"/>
  <c r="TQV32" i="3"/>
  <c r="TQW32" i="3"/>
  <c r="TQX32" i="3"/>
  <c r="TQY32" i="3"/>
  <c r="TQZ32" i="3"/>
  <c r="TRA32" i="3"/>
  <c r="TRB32" i="3"/>
  <c r="TRC32" i="3"/>
  <c r="TRD32" i="3"/>
  <c r="TRE32" i="3"/>
  <c r="TRF32" i="3"/>
  <c r="TRG32" i="3"/>
  <c r="TRH32" i="3"/>
  <c r="TRI32" i="3"/>
  <c r="TRJ32" i="3"/>
  <c r="TRK32" i="3"/>
  <c r="TRL32" i="3"/>
  <c r="TRM32" i="3"/>
  <c r="TRN32" i="3"/>
  <c r="TRO32" i="3"/>
  <c r="TRP32" i="3"/>
  <c r="TRQ32" i="3"/>
  <c r="TRR32" i="3"/>
  <c r="TRS32" i="3"/>
  <c r="TRT32" i="3"/>
  <c r="TRU32" i="3"/>
  <c r="TRV32" i="3"/>
  <c r="TRW32" i="3"/>
  <c r="TRX32" i="3"/>
  <c r="TRY32" i="3"/>
  <c r="TRZ32" i="3"/>
  <c r="TSA32" i="3"/>
  <c r="TSB32" i="3"/>
  <c r="TSC32" i="3"/>
  <c r="TSD32" i="3"/>
  <c r="TSE32" i="3"/>
  <c r="TSF32" i="3"/>
  <c r="TSG32" i="3"/>
  <c r="TSH32" i="3"/>
  <c r="TSI32" i="3"/>
  <c r="TSJ32" i="3"/>
  <c r="TSK32" i="3"/>
  <c r="TSL32" i="3"/>
  <c r="TSM32" i="3"/>
  <c r="TSN32" i="3"/>
  <c r="TSO32" i="3"/>
  <c r="TSP32" i="3"/>
  <c r="TSQ32" i="3"/>
  <c r="TSR32" i="3"/>
  <c r="TSS32" i="3"/>
  <c r="TST32" i="3"/>
  <c r="TSU32" i="3"/>
  <c r="TSV32" i="3"/>
  <c r="TSW32" i="3"/>
  <c r="TSX32" i="3"/>
  <c r="TSY32" i="3"/>
  <c r="TSZ32" i="3"/>
  <c r="TTA32" i="3"/>
  <c r="TTB32" i="3"/>
  <c r="TTC32" i="3"/>
  <c r="TTD32" i="3"/>
  <c r="TTE32" i="3"/>
  <c r="TTF32" i="3"/>
  <c r="TTG32" i="3"/>
  <c r="TTH32" i="3"/>
  <c r="TTI32" i="3"/>
  <c r="TTJ32" i="3"/>
  <c r="TTK32" i="3"/>
  <c r="TTL32" i="3"/>
  <c r="TTM32" i="3"/>
  <c r="TTN32" i="3"/>
  <c r="TTO32" i="3"/>
  <c r="TTP32" i="3"/>
  <c r="TTQ32" i="3"/>
  <c r="TTR32" i="3"/>
  <c r="TTS32" i="3"/>
  <c r="TTT32" i="3"/>
  <c r="TTU32" i="3"/>
  <c r="TTV32" i="3"/>
  <c r="TTW32" i="3"/>
  <c r="TTX32" i="3"/>
  <c r="TTY32" i="3"/>
  <c r="TTZ32" i="3"/>
  <c r="TUA32" i="3"/>
  <c r="TUB32" i="3"/>
  <c r="TUC32" i="3"/>
  <c r="TUD32" i="3"/>
  <c r="TUE32" i="3"/>
  <c r="TUF32" i="3"/>
  <c r="TUG32" i="3"/>
  <c r="TUH32" i="3"/>
  <c r="TUI32" i="3"/>
  <c r="TUJ32" i="3"/>
  <c r="TUK32" i="3"/>
  <c r="TUL32" i="3"/>
  <c r="TUM32" i="3"/>
  <c r="TUN32" i="3"/>
  <c r="TUO32" i="3"/>
  <c r="TUP32" i="3"/>
  <c r="TUQ32" i="3"/>
  <c r="TUR32" i="3"/>
  <c r="TUS32" i="3"/>
  <c r="TUT32" i="3"/>
  <c r="TUU32" i="3"/>
  <c r="TUV32" i="3"/>
  <c r="TUW32" i="3"/>
  <c r="TUX32" i="3"/>
  <c r="TUY32" i="3"/>
  <c r="TUZ32" i="3"/>
  <c r="TVA32" i="3"/>
  <c r="TVB32" i="3"/>
  <c r="TVC32" i="3"/>
  <c r="TVD32" i="3"/>
  <c r="TVE32" i="3"/>
  <c r="TVF32" i="3"/>
  <c r="TVG32" i="3"/>
  <c r="TVH32" i="3"/>
  <c r="TVI32" i="3"/>
  <c r="TVJ32" i="3"/>
  <c r="TVK32" i="3"/>
  <c r="TVL32" i="3"/>
  <c r="TVM32" i="3"/>
  <c r="TVN32" i="3"/>
  <c r="TVO32" i="3"/>
  <c r="TVP32" i="3"/>
  <c r="TVQ32" i="3"/>
  <c r="TVR32" i="3"/>
  <c r="TVS32" i="3"/>
  <c r="TVT32" i="3"/>
  <c r="TVU32" i="3"/>
  <c r="TVV32" i="3"/>
  <c r="TVW32" i="3"/>
  <c r="TVX32" i="3"/>
  <c r="TVY32" i="3"/>
  <c r="TVZ32" i="3"/>
  <c r="TWA32" i="3"/>
  <c r="TWB32" i="3"/>
  <c r="TWC32" i="3"/>
  <c r="TWD32" i="3"/>
  <c r="TWE32" i="3"/>
  <c r="TWF32" i="3"/>
  <c r="TWG32" i="3"/>
  <c r="TWH32" i="3"/>
  <c r="TWI32" i="3"/>
  <c r="TWJ32" i="3"/>
  <c r="TWK32" i="3"/>
  <c r="TWL32" i="3"/>
  <c r="TWM32" i="3"/>
  <c r="TWN32" i="3"/>
  <c r="TWO32" i="3"/>
  <c r="TWP32" i="3"/>
  <c r="TWQ32" i="3"/>
  <c r="TWR32" i="3"/>
  <c r="TWS32" i="3"/>
  <c r="TWT32" i="3"/>
  <c r="TWU32" i="3"/>
  <c r="TWV32" i="3"/>
  <c r="TWW32" i="3"/>
  <c r="TWX32" i="3"/>
  <c r="TWY32" i="3"/>
  <c r="TWZ32" i="3"/>
  <c r="TXA32" i="3"/>
  <c r="TXB32" i="3"/>
  <c r="TXC32" i="3"/>
  <c r="TXD32" i="3"/>
  <c r="TXE32" i="3"/>
  <c r="TXF32" i="3"/>
  <c r="TXG32" i="3"/>
  <c r="TXH32" i="3"/>
  <c r="TXI32" i="3"/>
  <c r="TXJ32" i="3"/>
  <c r="TXK32" i="3"/>
  <c r="TXL32" i="3"/>
  <c r="TXM32" i="3"/>
  <c r="TXN32" i="3"/>
  <c r="TXO32" i="3"/>
  <c r="TXP32" i="3"/>
  <c r="TXQ32" i="3"/>
  <c r="TXR32" i="3"/>
  <c r="TXS32" i="3"/>
  <c r="TXT32" i="3"/>
  <c r="TXU32" i="3"/>
  <c r="TXV32" i="3"/>
  <c r="TXW32" i="3"/>
  <c r="TXX32" i="3"/>
  <c r="TXY32" i="3"/>
  <c r="TXZ32" i="3"/>
  <c r="TYA32" i="3"/>
  <c r="TYB32" i="3"/>
  <c r="TYC32" i="3"/>
  <c r="TYD32" i="3"/>
  <c r="TYE32" i="3"/>
  <c r="TYF32" i="3"/>
  <c r="TYG32" i="3"/>
  <c r="TYH32" i="3"/>
  <c r="TYI32" i="3"/>
  <c r="TYJ32" i="3"/>
  <c r="TYK32" i="3"/>
  <c r="TYL32" i="3"/>
  <c r="TYM32" i="3"/>
  <c r="TYN32" i="3"/>
  <c r="TYO32" i="3"/>
  <c r="TYP32" i="3"/>
  <c r="TYQ32" i="3"/>
  <c r="TYR32" i="3"/>
  <c r="TYS32" i="3"/>
  <c r="TYT32" i="3"/>
  <c r="TYU32" i="3"/>
  <c r="TYV32" i="3"/>
  <c r="TYW32" i="3"/>
  <c r="TYX32" i="3"/>
  <c r="TYY32" i="3"/>
  <c r="TYZ32" i="3"/>
  <c r="TZA32" i="3"/>
  <c r="TZB32" i="3"/>
  <c r="TZC32" i="3"/>
  <c r="TZD32" i="3"/>
  <c r="TZE32" i="3"/>
  <c r="TZF32" i="3"/>
  <c r="TZG32" i="3"/>
  <c r="TZH32" i="3"/>
  <c r="TZI32" i="3"/>
  <c r="TZJ32" i="3"/>
  <c r="TZK32" i="3"/>
  <c r="TZL32" i="3"/>
  <c r="TZM32" i="3"/>
  <c r="TZN32" i="3"/>
  <c r="TZO32" i="3"/>
  <c r="TZP32" i="3"/>
  <c r="TZQ32" i="3"/>
  <c r="TZR32" i="3"/>
  <c r="TZS32" i="3"/>
  <c r="TZT32" i="3"/>
  <c r="TZU32" i="3"/>
  <c r="TZV32" i="3"/>
  <c r="TZW32" i="3"/>
  <c r="TZX32" i="3"/>
  <c r="TZY32" i="3"/>
  <c r="TZZ32" i="3"/>
  <c r="UAA32" i="3"/>
  <c r="UAB32" i="3"/>
  <c r="UAC32" i="3"/>
  <c r="UAD32" i="3"/>
  <c r="UAE32" i="3"/>
  <c r="UAF32" i="3"/>
  <c r="UAG32" i="3"/>
  <c r="UAH32" i="3"/>
  <c r="UAI32" i="3"/>
  <c r="UAJ32" i="3"/>
  <c r="UAK32" i="3"/>
  <c r="UAL32" i="3"/>
  <c r="UAM32" i="3"/>
  <c r="UAN32" i="3"/>
  <c r="UAO32" i="3"/>
  <c r="UAP32" i="3"/>
  <c r="UAQ32" i="3"/>
  <c r="UAR32" i="3"/>
  <c r="UAS32" i="3"/>
  <c r="UAT32" i="3"/>
  <c r="UAU32" i="3"/>
  <c r="UAV32" i="3"/>
  <c r="UAW32" i="3"/>
  <c r="UAX32" i="3"/>
  <c r="UAY32" i="3"/>
  <c r="UAZ32" i="3"/>
  <c r="UBA32" i="3"/>
  <c r="UBB32" i="3"/>
  <c r="UBC32" i="3"/>
  <c r="UBD32" i="3"/>
  <c r="UBE32" i="3"/>
  <c r="UBF32" i="3"/>
  <c r="UBG32" i="3"/>
  <c r="UBH32" i="3"/>
  <c r="UBI32" i="3"/>
  <c r="UBJ32" i="3"/>
  <c r="UBK32" i="3"/>
  <c r="UBL32" i="3"/>
  <c r="UBM32" i="3"/>
  <c r="UBN32" i="3"/>
  <c r="UBO32" i="3"/>
  <c r="UBP32" i="3"/>
  <c r="UBQ32" i="3"/>
  <c r="UBR32" i="3"/>
  <c r="UBS32" i="3"/>
  <c r="UBT32" i="3"/>
  <c r="UBU32" i="3"/>
  <c r="UBV32" i="3"/>
  <c r="UBW32" i="3"/>
  <c r="UBX32" i="3"/>
  <c r="UBY32" i="3"/>
  <c r="UBZ32" i="3"/>
  <c r="UCA32" i="3"/>
  <c r="UCB32" i="3"/>
  <c r="UCC32" i="3"/>
  <c r="UCD32" i="3"/>
  <c r="UCE32" i="3"/>
  <c r="UCF32" i="3"/>
  <c r="UCG32" i="3"/>
  <c r="UCH32" i="3"/>
  <c r="UCI32" i="3"/>
  <c r="UCJ32" i="3"/>
  <c r="UCK32" i="3"/>
  <c r="UCL32" i="3"/>
  <c r="UCM32" i="3"/>
  <c r="UCN32" i="3"/>
  <c r="UCO32" i="3"/>
  <c r="UCP32" i="3"/>
  <c r="UCQ32" i="3"/>
  <c r="UCR32" i="3"/>
  <c r="UCS32" i="3"/>
  <c r="UCT32" i="3"/>
  <c r="UCU32" i="3"/>
  <c r="UCV32" i="3"/>
  <c r="UCW32" i="3"/>
  <c r="UCX32" i="3"/>
  <c r="UCY32" i="3"/>
  <c r="UCZ32" i="3"/>
  <c r="UDA32" i="3"/>
  <c r="UDB32" i="3"/>
  <c r="UDC32" i="3"/>
  <c r="UDD32" i="3"/>
  <c r="UDE32" i="3"/>
  <c r="UDF32" i="3"/>
  <c r="UDG32" i="3"/>
  <c r="UDH32" i="3"/>
  <c r="UDI32" i="3"/>
  <c r="UDJ32" i="3"/>
  <c r="UDK32" i="3"/>
  <c r="UDL32" i="3"/>
  <c r="UDM32" i="3"/>
  <c r="UDN32" i="3"/>
  <c r="UDO32" i="3"/>
  <c r="UDP32" i="3"/>
  <c r="UDQ32" i="3"/>
  <c r="UDR32" i="3"/>
  <c r="UDS32" i="3"/>
  <c r="UDT32" i="3"/>
  <c r="UDU32" i="3"/>
  <c r="UDV32" i="3"/>
  <c r="UDW32" i="3"/>
  <c r="UDX32" i="3"/>
  <c r="UDY32" i="3"/>
  <c r="UDZ32" i="3"/>
  <c r="UEA32" i="3"/>
  <c r="UEB32" i="3"/>
  <c r="UEC32" i="3"/>
  <c r="UED32" i="3"/>
  <c r="UEE32" i="3"/>
  <c r="UEF32" i="3"/>
  <c r="UEG32" i="3"/>
  <c r="UEH32" i="3"/>
  <c r="UEI32" i="3"/>
  <c r="UEJ32" i="3"/>
  <c r="UEK32" i="3"/>
  <c r="UEL32" i="3"/>
  <c r="UEM32" i="3"/>
  <c r="UEN32" i="3"/>
  <c r="UEO32" i="3"/>
  <c r="UEP32" i="3"/>
  <c r="UEQ32" i="3"/>
  <c r="UER32" i="3"/>
  <c r="UES32" i="3"/>
  <c r="UET32" i="3"/>
  <c r="UEU32" i="3"/>
  <c r="UEV32" i="3"/>
  <c r="UEW32" i="3"/>
  <c r="UEX32" i="3"/>
  <c r="UEY32" i="3"/>
  <c r="UEZ32" i="3"/>
  <c r="UFA32" i="3"/>
  <c r="UFB32" i="3"/>
  <c r="UFC32" i="3"/>
  <c r="UFD32" i="3"/>
  <c r="UFE32" i="3"/>
  <c r="UFF32" i="3"/>
  <c r="UFG32" i="3"/>
  <c r="UFH32" i="3"/>
  <c r="UFI32" i="3"/>
  <c r="UFJ32" i="3"/>
  <c r="UFK32" i="3"/>
  <c r="UFL32" i="3"/>
  <c r="UFM32" i="3"/>
  <c r="UFN32" i="3"/>
  <c r="UFO32" i="3"/>
  <c r="UFP32" i="3"/>
  <c r="UFQ32" i="3"/>
  <c r="UFR32" i="3"/>
  <c r="UFS32" i="3"/>
  <c r="UFT32" i="3"/>
  <c r="UFU32" i="3"/>
  <c r="UFV32" i="3"/>
  <c r="UFW32" i="3"/>
  <c r="UFX32" i="3"/>
  <c r="UFY32" i="3"/>
  <c r="UFZ32" i="3"/>
  <c r="UGA32" i="3"/>
  <c r="UGB32" i="3"/>
  <c r="UGC32" i="3"/>
  <c r="UGD32" i="3"/>
  <c r="UGE32" i="3"/>
  <c r="UGF32" i="3"/>
  <c r="UGG32" i="3"/>
  <c r="UGH32" i="3"/>
  <c r="UGI32" i="3"/>
  <c r="UGJ32" i="3"/>
  <c r="UGK32" i="3"/>
  <c r="UGL32" i="3"/>
  <c r="UGM32" i="3"/>
  <c r="UGN32" i="3"/>
  <c r="UGO32" i="3"/>
  <c r="UGP32" i="3"/>
  <c r="UGQ32" i="3"/>
  <c r="UGR32" i="3"/>
  <c r="UGS32" i="3"/>
  <c r="UGT32" i="3"/>
  <c r="UGU32" i="3"/>
  <c r="UGV32" i="3"/>
  <c r="UGW32" i="3"/>
  <c r="UGX32" i="3"/>
  <c r="UGY32" i="3"/>
  <c r="UGZ32" i="3"/>
  <c r="UHA32" i="3"/>
  <c r="UHB32" i="3"/>
  <c r="UHC32" i="3"/>
  <c r="UHD32" i="3"/>
  <c r="UHE32" i="3"/>
  <c r="UHF32" i="3"/>
  <c r="UHG32" i="3"/>
  <c r="UHH32" i="3"/>
  <c r="UHI32" i="3"/>
  <c r="UHJ32" i="3"/>
  <c r="UHK32" i="3"/>
  <c r="UHL32" i="3"/>
  <c r="UHM32" i="3"/>
  <c r="UHN32" i="3"/>
  <c r="UHO32" i="3"/>
  <c r="UHP32" i="3"/>
  <c r="UHQ32" i="3"/>
  <c r="UHR32" i="3"/>
  <c r="UHS32" i="3"/>
  <c r="UHT32" i="3"/>
  <c r="UHU32" i="3"/>
  <c r="UHV32" i="3"/>
  <c r="UHW32" i="3"/>
  <c r="UHX32" i="3"/>
  <c r="UHY32" i="3"/>
  <c r="UHZ32" i="3"/>
  <c r="UIA32" i="3"/>
  <c r="UIB32" i="3"/>
  <c r="UIC32" i="3"/>
  <c r="UID32" i="3"/>
  <c r="UIE32" i="3"/>
  <c r="UIF32" i="3"/>
  <c r="UIG32" i="3"/>
  <c r="UIH32" i="3"/>
  <c r="UII32" i="3"/>
  <c r="UIJ32" i="3"/>
  <c r="UIK32" i="3"/>
  <c r="UIL32" i="3"/>
  <c r="UIM32" i="3"/>
  <c r="UIN32" i="3"/>
  <c r="UIO32" i="3"/>
  <c r="UIP32" i="3"/>
  <c r="UIQ32" i="3"/>
  <c r="UIR32" i="3"/>
  <c r="UIS32" i="3"/>
  <c r="UIT32" i="3"/>
  <c r="UIU32" i="3"/>
  <c r="UIV32" i="3"/>
  <c r="UIW32" i="3"/>
  <c r="UIX32" i="3"/>
  <c r="UIY32" i="3"/>
  <c r="UIZ32" i="3"/>
  <c r="UJA32" i="3"/>
  <c r="UJB32" i="3"/>
  <c r="UJC32" i="3"/>
  <c r="UJD32" i="3"/>
  <c r="UJE32" i="3"/>
  <c r="UJF32" i="3"/>
  <c r="UJG32" i="3"/>
  <c r="UJH32" i="3"/>
  <c r="UJI32" i="3"/>
  <c r="UJJ32" i="3"/>
  <c r="UJK32" i="3"/>
  <c r="UJL32" i="3"/>
  <c r="UJM32" i="3"/>
  <c r="UJN32" i="3"/>
  <c r="UJO32" i="3"/>
  <c r="UJP32" i="3"/>
  <c r="UJQ32" i="3"/>
  <c r="UJR32" i="3"/>
  <c r="UJS32" i="3"/>
  <c r="UJT32" i="3"/>
  <c r="UJU32" i="3"/>
  <c r="UJV32" i="3"/>
  <c r="UJW32" i="3"/>
  <c r="UJX32" i="3"/>
  <c r="UJY32" i="3"/>
  <c r="UJZ32" i="3"/>
  <c r="UKA32" i="3"/>
  <c r="UKB32" i="3"/>
  <c r="UKC32" i="3"/>
  <c r="UKD32" i="3"/>
  <c r="UKE32" i="3"/>
  <c r="UKF32" i="3"/>
  <c r="UKG32" i="3"/>
  <c r="UKH32" i="3"/>
  <c r="UKI32" i="3"/>
  <c r="UKJ32" i="3"/>
  <c r="UKK32" i="3"/>
  <c r="UKL32" i="3"/>
  <c r="UKM32" i="3"/>
  <c r="UKN32" i="3"/>
  <c r="UKO32" i="3"/>
  <c r="UKP32" i="3"/>
  <c r="UKQ32" i="3"/>
  <c r="UKR32" i="3"/>
  <c r="UKS32" i="3"/>
  <c r="UKT32" i="3"/>
  <c r="UKU32" i="3"/>
  <c r="UKV32" i="3"/>
  <c r="UKW32" i="3"/>
  <c r="UKX32" i="3"/>
  <c r="UKY32" i="3"/>
  <c r="UKZ32" i="3"/>
  <c r="ULA32" i="3"/>
  <c r="ULB32" i="3"/>
  <c r="ULC32" i="3"/>
  <c r="ULD32" i="3"/>
  <c r="ULE32" i="3"/>
  <c r="ULF32" i="3"/>
  <c r="ULG32" i="3"/>
  <c r="ULH32" i="3"/>
  <c r="ULI32" i="3"/>
  <c r="ULJ32" i="3"/>
  <c r="ULK32" i="3"/>
  <c r="ULL32" i="3"/>
  <c r="ULM32" i="3"/>
  <c r="ULN32" i="3"/>
  <c r="ULO32" i="3"/>
  <c r="ULP32" i="3"/>
  <c r="ULQ32" i="3"/>
  <c r="ULR32" i="3"/>
  <c r="ULS32" i="3"/>
  <c r="ULT32" i="3"/>
  <c r="ULU32" i="3"/>
  <c r="ULV32" i="3"/>
  <c r="ULW32" i="3"/>
  <c r="ULX32" i="3"/>
  <c r="ULY32" i="3"/>
  <c r="ULZ32" i="3"/>
  <c r="UMA32" i="3"/>
  <c r="UMB32" i="3"/>
  <c r="UMC32" i="3"/>
  <c r="UMD32" i="3"/>
  <c r="UME32" i="3"/>
  <c r="UMF32" i="3"/>
  <c r="UMG32" i="3"/>
  <c r="UMH32" i="3"/>
  <c r="UMI32" i="3"/>
  <c r="UMJ32" i="3"/>
  <c r="UMK32" i="3"/>
  <c r="UML32" i="3"/>
  <c r="UMM32" i="3"/>
  <c r="UMN32" i="3"/>
  <c r="UMO32" i="3"/>
  <c r="UMP32" i="3"/>
  <c r="UMQ32" i="3"/>
  <c r="UMR32" i="3"/>
  <c r="UMS32" i="3"/>
  <c r="UMT32" i="3"/>
  <c r="UMU32" i="3"/>
  <c r="UMV32" i="3"/>
  <c r="UMW32" i="3"/>
  <c r="UMX32" i="3"/>
  <c r="UMY32" i="3"/>
  <c r="UMZ32" i="3"/>
  <c r="UNA32" i="3"/>
  <c r="UNB32" i="3"/>
  <c r="UNC32" i="3"/>
  <c r="UND32" i="3"/>
  <c r="UNE32" i="3"/>
  <c r="UNF32" i="3"/>
  <c r="UNG32" i="3"/>
  <c r="UNH32" i="3"/>
  <c r="UNI32" i="3"/>
  <c r="UNJ32" i="3"/>
  <c r="UNK32" i="3"/>
  <c r="UNL32" i="3"/>
  <c r="UNM32" i="3"/>
  <c r="UNN32" i="3"/>
  <c r="UNO32" i="3"/>
  <c r="UNP32" i="3"/>
  <c r="UNQ32" i="3"/>
  <c r="UNR32" i="3"/>
  <c r="UNS32" i="3"/>
  <c r="UNT32" i="3"/>
  <c r="UNU32" i="3"/>
  <c r="UNV32" i="3"/>
  <c r="UNW32" i="3"/>
  <c r="UNX32" i="3"/>
  <c r="UNY32" i="3"/>
  <c r="UNZ32" i="3"/>
  <c r="UOA32" i="3"/>
  <c r="UOB32" i="3"/>
  <c r="UOC32" i="3"/>
  <c r="UOD32" i="3"/>
  <c r="UOE32" i="3"/>
  <c r="UOF32" i="3"/>
  <c r="UOG32" i="3"/>
  <c r="UOH32" i="3"/>
  <c r="UOI32" i="3"/>
  <c r="UOJ32" i="3"/>
  <c r="UOK32" i="3"/>
  <c r="UOL32" i="3"/>
  <c r="UOM32" i="3"/>
  <c r="UON32" i="3"/>
  <c r="UOO32" i="3"/>
  <c r="UOP32" i="3"/>
  <c r="UOQ32" i="3"/>
  <c r="UOR32" i="3"/>
  <c r="UOS32" i="3"/>
  <c r="UOT32" i="3"/>
  <c r="UOU32" i="3"/>
  <c r="UOV32" i="3"/>
  <c r="UOW32" i="3"/>
  <c r="UOX32" i="3"/>
  <c r="UOY32" i="3"/>
  <c r="UOZ32" i="3"/>
  <c r="UPA32" i="3"/>
  <c r="UPB32" i="3"/>
  <c r="UPC32" i="3"/>
  <c r="UPD32" i="3"/>
  <c r="UPE32" i="3"/>
  <c r="UPF32" i="3"/>
  <c r="UPG32" i="3"/>
  <c r="UPH32" i="3"/>
  <c r="UPI32" i="3"/>
  <c r="UPJ32" i="3"/>
  <c r="UPK32" i="3"/>
  <c r="UPL32" i="3"/>
  <c r="UPM32" i="3"/>
  <c r="UPN32" i="3"/>
  <c r="UPO32" i="3"/>
  <c r="UPP32" i="3"/>
  <c r="UPQ32" i="3"/>
  <c r="UPR32" i="3"/>
  <c r="UPS32" i="3"/>
  <c r="UPT32" i="3"/>
  <c r="UPU32" i="3"/>
  <c r="UPV32" i="3"/>
  <c r="UPW32" i="3"/>
  <c r="UPX32" i="3"/>
  <c r="UPY32" i="3"/>
  <c r="UPZ32" i="3"/>
  <c r="UQA32" i="3"/>
  <c r="UQB32" i="3"/>
  <c r="UQC32" i="3"/>
  <c r="UQD32" i="3"/>
  <c r="UQE32" i="3"/>
  <c r="UQF32" i="3"/>
  <c r="UQG32" i="3"/>
  <c r="UQH32" i="3"/>
  <c r="UQI32" i="3"/>
  <c r="UQJ32" i="3"/>
  <c r="UQK32" i="3"/>
  <c r="UQL32" i="3"/>
  <c r="UQM32" i="3"/>
  <c r="UQN32" i="3"/>
  <c r="UQO32" i="3"/>
  <c r="UQP32" i="3"/>
  <c r="UQQ32" i="3"/>
  <c r="UQR32" i="3"/>
  <c r="UQS32" i="3"/>
  <c r="UQT32" i="3"/>
  <c r="UQU32" i="3"/>
  <c r="UQV32" i="3"/>
  <c r="UQW32" i="3"/>
  <c r="UQX32" i="3"/>
  <c r="UQY32" i="3"/>
  <c r="UQZ32" i="3"/>
  <c r="URA32" i="3"/>
  <c r="URB32" i="3"/>
  <c r="URC32" i="3"/>
  <c r="URD32" i="3"/>
  <c r="URE32" i="3"/>
  <c r="URF32" i="3"/>
  <c r="URG32" i="3"/>
  <c r="URH32" i="3"/>
  <c r="URI32" i="3"/>
  <c r="URJ32" i="3"/>
  <c r="URK32" i="3"/>
  <c r="URL32" i="3"/>
  <c r="URM32" i="3"/>
  <c r="URN32" i="3"/>
  <c r="URO32" i="3"/>
  <c r="URP32" i="3"/>
  <c r="URQ32" i="3"/>
  <c r="URR32" i="3"/>
  <c r="URS32" i="3"/>
  <c r="URT32" i="3"/>
  <c r="URU32" i="3"/>
  <c r="URV32" i="3"/>
  <c r="URW32" i="3"/>
  <c r="URX32" i="3"/>
  <c r="URY32" i="3"/>
  <c r="URZ32" i="3"/>
  <c r="USA32" i="3"/>
  <c r="USB32" i="3"/>
  <c r="USC32" i="3"/>
  <c r="USD32" i="3"/>
  <c r="USE32" i="3"/>
  <c r="USF32" i="3"/>
  <c r="USG32" i="3"/>
  <c r="USH32" i="3"/>
  <c r="USI32" i="3"/>
  <c r="USJ32" i="3"/>
  <c r="USK32" i="3"/>
  <c r="USL32" i="3"/>
  <c r="USM32" i="3"/>
  <c r="USN32" i="3"/>
  <c r="USO32" i="3"/>
  <c r="USP32" i="3"/>
  <c r="USQ32" i="3"/>
  <c r="USR32" i="3"/>
  <c r="USS32" i="3"/>
  <c r="UST32" i="3"/>
  <c r="USU32" i="3"/>
  <c r="USV32" i="3"/>
  <c r="USW32" i="3"/>
  <c r="USX32" i="3"/>
  <c r="USY32" i="3"/>
  <c r="USZ32" i="3"/>
  <c r="UTA32" i="3"/>
  <c r="UTB32" i="3"/>
  <c r="UTC32" i="3"/>
  <c r="UTD32" i="3"/>
  <c r="UTE32" i="3"/>
  <c r="UTF32" i="3"/>
  <c r="UTG32" i="3"/>
  <c r="UTH32" i="3"/>
  <c r="UTI32" i="3"/>
  <c r="UTJ32" i="3"/>
  <c r="UTK32" i="3"/>
  <c r="UTL32" i="3"/>
  <c r="UTM32" i="3"/>
  <c r="UTN32" i="3"/>
  <c r="UTO32" i="3"/>
  <c r="UTP32" i="3"/>
  <c r="UTQ32" i="3"/>
  <c r="UTR32" i="3"/>
  <c r="UTS32" i="3"/>
  <c r="UTT32" i="3"/>
  <c r="UTU32" i="3"/>
  <c r="UTV32" i="3"/>
  <c r="UTW32" i="3"/>
  <c r="UTX32" i="3"/>
  <c r="UTY32" i="3"/>
  <c r="UTZ32" i="3"/>
  <c r="UUA32" i="3"/>
  <c r="UUB32" i="3"/>
  <c r="UUC32" i="3"/>
  <c r="UUD32" i="3"/>
  <c r="UUE32" i="3"/>
  <c r="UUF32" i="3"/>
  <c r="UUG32" i="3"/>
  <c r="UUH32" i="3"/>
  <c r="UUI32" i="3"/>
  <c r="UUJ32" i="3"/>
  <c r="UUK32" i="3"/>
  <c r="UUL32" i="3"/>
  <c r="UUM32" i="3"/>
  <c r="UUN32" i="3"/>
  <c r="UUO32" i="3"/>
  <c r="UUP32" i="3"/>
  <c r="UUQ32" i="3"/>
  <c r="UUR32" i="3"/>
  <c r="UUS32" i="3"/>
  <c r="UUT32" i="3"/>
  <c r="UUU32" i="3"/>
  <c r="UUV32" i="3"/>
  <c r="UUW32" i="3"/>
  <c r="UUX32" i="3"/>
  <c r="UUY32" i="3"/>
  <c r="UUZ32" i="3"/>
  <c r="UVA32" i="3"/>
  <c r="UVB32" i="3"/>
  <c r="UVC32" i="3"/>
  <c r="UVD32" i="3"/>
  <c r="UVE32" i="3"/>
  <c r="UVF32" i="3"/>
  <c r="UVG32" i="3"/>
  <c r="UVH32" i="3"/>
  <c r="UVI32" i="3"/>
  <c r="UVJ32" i="3"/>
  <c r="UVK32" i="3"/>
  <c r="UVL32" i="3"/>
  <c r="UVM32" i="3"/>
  <c r="UVN32" i="3"/>
  <c r="UVO32" i="3"/>
  <c r="UVP32" i="3"/>
  <c r="UVQ32" i="3"/>
  <c r="UVR32" i="3"/>
  <c r="UVS32" i="3"/>
  <c r="UVT32" i="3"/>
  <c r="UVU32" i="3"/>
  <c r="UVV32" i="3"/>
  <c r="UVW32" i="3"/>
  <c r="UVX32" i="3"/>
  <c r="UVY32" i="3"/>
  <c r="UVZ32" i="3"/>
  <c r="UWA32" i="3"/>
  <c r="UWB32" i="3"/>
  <c r="UWC32" i="3"/>
  <c r="UWD32" i="3"/>
  <c r="UWE32" i="3"/>
  <c r="UWF32" i="3"/>
  <c r="UWG32" i="3"/>
  <c r="UWH32" i="3"/>
  <c r="UWI32" i="3"/>
  <c r="UWJ32" i="3"/>
  <c r="UWK32" i="3"/>
  <c r="UWL32" i="3"/>
  <c r="UWM32" i="3"/>
  <c r="UWN32" i="3"/>
  <c r="UWO32" i="3"/>
  <c r="UWP32" i="3"/>
  <c r="UWQ32" i="3"/>
  <c r="UWR32" i="3"/>
  <c r="UWS32" i="3"/>
  <c r="UWT32" i="3"/>
  <c r="UWU32" i="3"/>
  <c r="UWV32" i="3"/>
  <c r="UWW32" i="3"/>
  <c r="UWX32" i="3"/>
  <c r="UWY32" i="3"/>
  <c r="UWZ32" i="3"/>
  <c r="UXA32" i="3"/>
  <c r="UXB32" i="3"/>
  <c r="UXC32" i="3"/>
  <c r="UXD32" i="3"/>
  <c r="UXE32" i="3"/>
  <c r="UXF32" i="3"/>
  <c r="UXG32" i="3"/>
  <c r="UXH32" i="3"/>
  <c r="UXI32" i="3"/>
  <c r="UXJ32" i="3"/>
  <c r="UXK32" i="3"/>
  <c r="UXL32" i="3"/>
  <c r="UXM32" i="3"/>
  <c r="UXN32" i="3"/>
  <c r="UXO32" i="3"/>
  <c r="UXP32" i="3"/>
  <c r="UXQ32" i="3"/>
  <c r="UXR32" i="3"/>
  <c r="UXS32" i="3"/>
  <c r="UXT32" i="3"/>
  <c r="UXU32" i="3"/>
  <c r="UXV32" i="3"/>
  <c r="UXW32" i="3"/>
  <c r="UXX32" i="3"/>
  <c r="UXY32" i="3"/>
  <c r="UXZ32" i="3"/>
  <c r="UYA32" i="3"/>
  <c r="UYB32" i="3"/>
  <c r="UYC32" i="3"/>
  <c r="UYD32" i="3"/>
  <c r="UYE32" i="3"/>
  <c r="UYF32" i="3"/>
  <c r="UYG32" i="3"/>
  <c r="UYH32" i="3"/>
  <c r="UYI32" i="3"/>
  <c r="UYJ32" i="3"/>
  <c r="UYK32" i="3"/>
  <c r="UYL32" i="3"/>
  <c r="UYM32" i="3"/>
  <c r="UYN32" i="3"/>
  <c r="UYO32" i="3"/>
  <c r="UYP32" i="3"/>
  <c r="UYQ32" i="3"/>
  <c r="UYR32" i="3"/>
  <c r="UYS32" i="3"/>
  <c r="UYT32" i="3"/>
  <c r="UYU32" i="3"/>
  <c r="UYV32" i="3"/>
  <c r="UYW32" i="3"/>
  <c r="UYX32" i="3"/>
  <c r="UYY32" i="3"/>
  <c r="UYZ32" i="3"/>
  <c r="UZA32" i="3"/>
  <c r="UZB32" i="3"/>
  <c r="UZC32" i="3"/>
  <c r="UZD32" i="3"/>
  <c r="UZE32" i="3"/>
  <c r="UZF32" i="3"/>
  <c r="UZG32" i="3"/>
  <c r="UZH32" i="3"/>
  <c r="UZI32" i="3"/>
  <c r="UZJ32" i="3"/>
  <c r="UZK32" i="3"/>
  <c r="UZL32" i="3"/>
  <c r="UZM32" i="3"/>
  <c r="UZN32" i="3"/>
  <c r="UZO32" i="3"/>
  <c r="UZP32" i="3"/>
  <c r="UZQ32" i="3"/>
  <c r="UZR32" i="3"/>
  <c r="UZS32" i="3"/>
  <c r="UZT32" i="3"/>
  <c r="UZU32" i="3"/>
  <c r="UZV32" i="3"/>
  <c r="UZW32" i="3"/>
  <c r="UZX32" i="3"/>
  <c r="UZY32" i="3"/>
  <c r="UZZ32" i="3"/>
  <c r="VAA32" i="3"/>
  <c r="VAB32" i="3"/>
  <c r="VAC32" i="3"/>
  <c r="VAD32" i="3"/>
  <c r="VAE32" i="3"/>
  <c r="VAF32" i="3"/>
  <c r="VAG32" i="3"/>
  <c r="VAH32" i="3"/>
  <c r="VAI32" i="3"/>
  <c r="VAJ32" i="3"/>
  <c r="VAK32" i="3"/>
  <c r="VAL32" i="3"/>
  <c r="VAM32" i="3"/>
  <c r="VAN32" i="3"/>
  <c r="VAO32" i="3"/>
  <c r="VAP32" i="3"/>
  <c r="VAQ32" i="3"/>
  <c r="VAR32" i="3"/>
  <c r="VAS32" i="3"/>
  <c r="VAT32" i="3"/>
  <c r="VAU32" i="3"/>
  <c r="VAV32" i="3"/>
  <c r="VAW32" i="3"/>
  <c r="VAX32" i="3"/>
  <c r="VAY32" i="3"/>
  <c r="VAZ32" i="3"/>
  <c r="VBA32" i="3"/>
  <c r="VBB32" i="3"/>
  <c r="VBC32" i="3"/>
  <c r="VBD32" i="3"/>
  <c r="VBE32" i="3"/>
  <c r="VBF32" i="3"/>
  <c r="VBG32" i="3"/>
  <c r="VBH32" i="3"/>
  <c r="VBI32" i="3"/>
  <c r="VBJ32" i="3"/>
  <c r="VBK32" i="3"/>
  <c r="VBL32" i="3"/>
  <c r="VBM32" i="3"/>
  <c r="VBN32" i="3"/>
  <c r="VBO32" i="3"/>
  <c r="VBP32" i="3"/>
  <c r="VBQ32" i="3"/>
  <c r="VBR32" i="3"/>
  <c r="VBS32" i="3"/>
  <c r="VBT32" i="3"/>
  <c r="VBU32" i="3"/>
  <c r="VBV32" i="3"/>
  <c r="VBW32" i="3"/>
  <c r="VBX32" i="3"/>
  <c r="VBY32" i="3"/>
  <c r="VBZ32" i="3"/>
  <c r="VCA32" i="3"/>
  <c r="VCB32" i="3"/>
  <c r="VCC32" i="3"/>
  <c r="VCD32" i="3"/>
  <c r="VCE32" i="3"/>
  <c r="VCF32" i="3"/>
  <c r="VCG32" i="3"/>
  <c r="VCH32" i="3"/>
  <c r="VCI32" i="3"/>
  <c r="VCJ32" i="3"/>
  <c r="VCK32" i="3"/>
  <c r="VCL32" i="3"/>
  <c r="VCM32" i="3"/>
  <c r="VCN32" i="3"/>
  <c r="VCO32" i="3"/>
  <c r="VCP32" i="3"/>
  <c r="VCQ32" i="3"/>
  <c r="VCR32" i="3"/>
  <c r="VCS32" i="3"/>
  <c r="VCT32" i="3"/>
  <c r="VCU32" i="3"/>
  <c r="VCV32" i="3"/>
  <c r="VCW32" i="3"/>
  <c r="VCX32" i="3"/>
  <c r="VCY32" i="3"/>
  <c r="VCZ32" i="3"/>
  <c r="VDA32" i="3"/>
  <c r="VDB32" i="3"/>
  <c r="VDC32" i="3"/>
  <c r="VDD32" i="3"/>
  <c r="VDE32" i="3"/>
  <c r="VDF32" i="3"/>
  <c r="VDG32" i="3"/>
  <c r="VDH32" i="3"/>
  <c r="VDI32" i="3"/>
  <c r="VDJ32" i="3"/>
  <c r="VDK32" i="3"/>
  <c r="VDL32" i="3"/>
  <c r="VDM32" i="3"/>
  <c r="VDN32" i="3"/>
  <c r="VDO32" i="3"/>
  <c r="VDP32" i="3"/>
  <c r="VDQ32" i="3"/>
  <c r="VDR32" i="3"/>
  <c r="VDS32" i="3"/>
  <c r="VDT32" i="3"/>
  <c r="VDU32" i="3"/>
  <c r="VDV32" i="3"/>
  <c r="VDW32" i="3"/>
  <c r="VDX32" i="3"/>
  <c r="VDY32" i="3"/>
  <c r="VDZ32" i="3"/>
  <c r="VEA32" i="3"/>
  <c r="VEB32" i="3"/>
  <c r="VEC32" i="3"/>
  <c r="VED32" i="3"/>
  <c r="VEE32" i="3"/>
  <c r="VEF32" i="3"/>
  <c r="VEG32" i="3"/>
  <c r="VEH32" i="3"/>
  <c r="VEI32" i="3"/>
  <c r="VEJ32" i="3"/>
  <c r="VEK32" i="3"/>
  <c r="VEL32" i="3"/>
  <c r="VEM32" i="3"/>
  <c r="VEN32" i="3"/>
  <c r="VEO32" i="3"/>
  <c r="VEP32" i="3"/>
  <c r="VEQ32" i="3"/>
  <c r="VER32" i="3"/>
  <c r="VES32" i="3"/>
  <c r="VET32" i="3"/>
  <c r="VEU32" i="3"/>
  <c r="VEV32" i="3"/>
  <c r="VEW32" i="3"/>
  <c r="VEX32" i="3"/>
  <c r="VEY32" i="3"/>
  <c r="VEZ32" i="3"/>
  <c r="VFA32" i="3"/>
  <c r="VFB32" i="3"/>
  <c r="VFC32" i="3"/>
  <c r="VFD32" i="3"/>
  <c r="VFE32" i="3"/>
  <c r="VFF32" i="3"/>
  <c r="VFG32" i="3"/>
  <c r="VFH32" i="3"/>
  <c r="VFI32" i="3"/>
  <c r="VFJ32" i="3"/>
  <c r="VFK32" i="3"/>
  <c r="VFL32" i="3"/>
  <c r="VFM32" i="3"/>
  <c r="VFN32" i="3"/>
  <c r="VFO32" i="3"/>
  <c r="VFP32" i="3"/>
  <c r="VFQ32" i="3"/>
  <c r="VFR32" i="3"/>
  <c r="VFS32" i="3"/>
  <c r="VFT32" i="3"/>
  <c r="VFU32" i="3"/>
  <c r="VFV32" i="3"/>
  <c r="VFW32" i="3"/>
  <c r="VFX32" i="3"/>
  <c r="VFY32" i="3"/>
  <c r="VFZ32" i="3"/>
  <c r="VGA32" i="3"/>
  <c r="VGB32" i="3"/>
  <c r="VGC32" i="3"/>
  <c r="VGD32" i="3"/>
  <c r="VGE32" i="3"/>
  <c r="VGF32" i="3"/>
  <c r="VGG32" i="3"/>
  <c r="VGH32" i="3"/>
  <c r="VGI32" i="3"/>
  <c r="VGJ32" i="3"/>
  <c r="VGK32" i="3"/>
  <c r="VGL32" i="3"/>
  <c r="VGM32" i="3"/>
  <c r="VGN32" i="3"/>
  <c r="VGO32" i="3"/>
  <c r="VGP32" i="3"/>
  <c r="VGQ32" i="3"/>
  <c r="VGR32" i="3"/>
  <c r="VGS32" i="3"/>
  <c r="VGT32" i="3"/>
  <c r="VGU32" i="3"/>
  <c r="VGV32" i="3"/>
  <c r="VGW32" i="3"/>
  <c r="VGX32" i="3"/>
  <c r="VGY32" i="3"/>
  <c r="VGZ32" i="3"/>
  <c r="VHA32" i="3"/>
  <c r="VHB32" i="3"/>
  <c r="VHC32" i="3"/>
  <c r="VHD32" i="3"/>
  <c r="VHE32" i="3"/>
  <c r="VHF32" i="3"/>
  <c r="VHG32" i="3"/>
  <c r="VHH32" i="3"/>
  <c r="VHI32" i="3"/>
  <c r="VHJ32" i="3"/>
  <c r="VHK32" i="3"/>
  <c r="VHL32" i="3"/>
  <c r="VHM32" i="3"/>
  <c r="VHN32" i="3"/>
  <c r="VHO32" i="3"/>
  <c r="VHP32" i="3"/>
  <c r="VHQ32" i="3"/>
  <c r="VHR32" i="3"/>
  <c r="VHS32" i="3"/>
  <c r="VHT32" i="3"/>
  <c r="VHU32" i="3"/>
  <c r="VHV32" i="3"/>
  <c r="VHW32" i="3"/>
  <c r="VHX32" i="3"/>
  <c r="VHY32" i="3"/>
  <c r="VHZ32" i="3"/>
  <c r="VIA32" i="3"/>
  <c r="VIB32" i="3"/>
  <c r="VIC32" i="3"/>
  <c r="VID32" i="3"/>
  <c r="VIE32" i="3"/>
  <c r="VIF32" i="3"/>
  <c r="VIG32" i="3"/>
  <c r="VIH32" i="3"/>
  <c r="VII32" i="3"/>
  <c r="VIJ32" i="3"/>
  <c r="VIK32" i="3"/>
  <c r="VIL32" i="3"/>
  <c r="VIM32" i="3"/>
  <c r="VIN32" i="3"/>
  <c r="VIO32" i="3"/>
  <c r="VIP32" i="3"/>
  <c r="VIQ32" i="3"/>
  <c r="VIR32" i="3"/>
  <c r="VIS32" i="3"/>
  <c r="VIT32" i="3"/>
  <c r="VIU32" i="3"/>
  <c r="VIV32" i="3"/>
  <c r="VIW32" i="3"/>
  <c r="VIX32" i="3"/>
  <c r="VIY32" i="3"/>
  <c r="VIZ32" i="3"/>
  <c r="VJA32" i="3"/>
  <c r="VJB32" i="3"/>
  <c r="VJC32" i="3"/>
  <c r="VJD32" i="3"/>
  <c r="VJE32" i="3"/>
  <c r="VJF32" i="3"/>
  <c r="VJG32" i="3"/>
  <c r="VJH32" i="3"/>
  <c r="VJI32" i="3"/>
  <c r="VJJ32" i="3"/>
  <c r="VJK32" i="3"/>
  <c r="VJL32" i="3"/>
  <c r="VJM32" i="3"/>
  <c r="VJN32" i="3"/>
  <c r="VJO32" i="3"/>
  <c r="VJP32" i="3"/>
  <c r="VJQ32" i="3"/>
  <c r="VJR32" i="3"/>
  <c r="VJS32" i="3"/>
  <c r="VJT32" i="3"/>
  <c r="VJU32" i="3"/>
  <c r="VJV32" i="3"/>
  <c r="VJW32" i="3"/>
  <c r="VJX32" i="3"/>
  <c r="VJY32" i="3"/>
  <c r="VJZ32" i="3"/>
  <c r="VKA32" i="3"/>
  <c r="VKB32" i="3"/>
  <c r="VKC32" i="3"/>
  <c r="VKD32" i="3"/>
  <c r="VKE32" i="3"/>
  <c r="VKF32" i="3"/>
  <c r="VKG32" i="3"/>
  <c r="VKH32" i="3"/>
  <c r="VKI32" i="3"/>
  <c r="VKJ32" i="3"/>
  <c r="VKK32" i="3"/>
  <c r="VKL32" i="3"/>
  <c r="VKM32" i="3"/>
  <c r="VKN32" i="3"/>
  <c r="VKO32" i="3"/>
  <c r="VKP32" i="3"/>
  <c r="VKQ32" i="3"/>
  <c r="VKR32" i="3"/>
  <c r="VKS32" i="3"/>
  <c r="VKT32" i="3"/>
  <c r="VKU32" i="3"/>
  <c r="VKV32" i="3"/>
  <c r="VKW32" i="3"/>
  <c r="VKX32" i="3"/>
  <c r="VKY32" i="3"/>
  <c r="VKZ32" i="3"/>
  <c r="VLA32" i="3"/>
  <c r="VLB32" i="3"/>
  <c r="VLC32" i="3"/>
  <c r="VLD32" i="3"/>
  <c r="VLE32" i="3"/>
  <c r="VLF32" i="3"/>
  <c r="VLG32" i="3"/>
  <c r="VLH32" i="3"/>
  <c r="VLI32" i="3"/>
  <c r="VLJ32" i="3"/>
  <c r="VLK32" i="3"/>
  <c r="VLL32" i="3"/>
  <c r="VLM32" i="3"/>
  <c r="VLN32" i="3"/>
  <c r="VLO32" i="3"/>
  <c r="VLP32" i="3"/>
  <c r="VLQ32" i="3"/>
  <c r="VLR32" i="3"/>
  <c r="VLS32" i="3"/>
  <c r="VLT32" i="3"/>
  <c r="VLU32" i="3"/>
  <c r="VLV32" i="3"/>
  <c r="VLW32" i="3"/>
  <c r="VLX32" i="3"/>
  <c r="VLY32" i="3"/>
  <c r="VLZ32" i="3"/>
  <c r="VMA32" i="3"/>
  <c r="VMB32" i="3"/>
  <c r="VMC32" i="3"/>
  <c r="VMD32" i="3"/>
  <c r="VME32" i="3"/>
  <c r="VMF32" i="3"/>
  <c r="VMG32" i="3"/>
  <c r="VMH32" i="3"/>
  <c r="VMI32" i="3"/>
  <c r="VMJ32" i="3"/>
  <c r="VMK32" i="3"/>
  <c r="VML32" i="3"/>
  <c r="VMM32" i="3"/>
  <c r="VMN32" i="3"/>
  <c r="VMO32" i="3"/>
  <c r="VMP32" i="3"/>
  <c r="VMQ32" i="3"/>
  <c r="VMR32" i="3"/>
  <c r="VMS32" i="3"/>
  <c r="VMT32" i="3"/>
  <c r="VMU32" i="3"/>
  <c r="VMV32" i="3"/>
  <c r="VMW32" i="3"/>
  <c r="VMX32" i="3"/>
  <c r="VMY32" i="3"/>
  <c r="VMZ32" i="3"/>
  <c r="VNA32" i="3"/>
  <c r="VNB32" i="3"/>
  <c r="VNC32" i="3"/>
  <c r="VND32" i="3"/>
  <c r="VNE32" i="3"/>
  <c r="VNF32" i="3"/>
  <c r="VNG32" i="3"/>
  <c r="VNH32" i="3"/>
  <c r="VNI32" i="3"/>
  <c r="VNJ32" i="3"/>
  <c r="VNK32" i="3"/>
  <c r="VNL32" i="3"/>
  <c r="VNM32" i="3"/>
  <c r="VNN32" i="3"/>
  <c r="VNO32" i="3"/>
  <c r="VNP32" i="3"/>
  <c r="VNQ32" i="3"/>
  <c r="VNR32" i="3"/>
  <c r="VNS32" i="3"/>
  <c r="VNT32" i="3"/>
  <c r="VNU32" i="3"/>
  <c r="VNV32" i="3"/>
  <c r="VNW32" i="3"/>
  <c r="VNX32" i="3"/>
  <c r="VNY32" i="3"/>
  <c r="VNZ32" i="3"/>
  <c r="VOA32" i="3"/>
  <c r="VOB32" i="3"/>
  <c r="VOC32" i="3"/>
  <c r="VOD32" i="3"/>
  <c r="VOE32" i="3"/>
  <c r="VOF32" i="3"/>
  <c r="VOG32" i="3"/>
  <c r="VOH32" i="3"/>
  <c r="VOI32" i="3"/>
  <c r="VOJ32" i="3"/>
  <c r="VOK32" i="3"/>
  <c r="VOL32" i="3"/>
  <c r="VOM32" i="3"/>
  <c r="VON32" i="3"/>
  <c r="VOO32" i="3"/>
  <c r="VOP32" i="3"/>
  <c r="VOQ32" i="3"/>
  <c r="VOR32" i="3"/>
  <c r="VOS32" i="3"/>
  <c r="VOT32" i="3"/>
  <c r="VOU32" i="3"/>
  <c r="VOV32" i="3"/>
  <c r="VOW32" i="3"/>
  <c r="VOX32" i="3"/>
  <c r="VOY32" i="3"/>
  <c r="VOZ32" i="3"/>
  <c r="VPA32" i="3"/>
  <c r="VPB32" i="3"/>
  <c r="VPC32" i="3"/>
  <c r="VPD32" i="3"/>
  <c r="VPE32" i="3"/>
  <c r="VPF32" i="3"/>
  <c r="VPG32" i="3"/>
  <c r="VPH32" i="3"/>
  <c r="VPI32" i="3"/>
  <c r="VPJ32" i="3"/>
  <c r="VPK32" i="3"/>
  <c r="VPL32" i="3"/>
  <c r="VPM32" i="3"/>
  <c r="VPN32" i="3"/>
  <c r="VPO32" i="3"/>
  <c r="VPP32" i="3"/>
  <c r="VPQ32" i="3"/>
  <c r="VPR32" i="3"/>
  <c r="VPS32" i="3"/>
  <c r="VPT32" i="3"/>
  <c r="VPU32" i="3"/>
  <c r="VPV32" i="3"/>
  <c r="VPW32" i="3"/>
  <c r="VPX32" i="3"/>
  <c r="VPY32" i="3"/>
  <c r="VPZ32" i="3"/>
  <c r="VQA32" i="3"/>
  <c r="VQB32" i="3"/>
  <c r="VQC32" i="3"/>
  <c r="VQD32" i="3"/>
  <c r="VQE32" i="3"/>
  <c r="VQF32" i="3"/>
  <c r="VQG32" i="3"/>
  <c r="VQH32" i="3"/>
  <c r="VQI32" i="3"/>
  <c r="VQJ32" i="3"/>
  <c r="VQK32" i="3"/>
  <c r="VQL32" i="3"/>
  <c r="VQM32" i="3"/>
  <c r="VQN32" i="3"/>
  <c r="VQO32" i="3"/>
  <c r="VQP32" i="3"/>
  <c r="VQQ32" i="3"/>
  <c r="VQR32" i="3"/>
  <c r="VQS32" i="3"/>
  <c r="VQT32" i="3"/>
  <c r="VQU32" i="3"/>
  <c r="VQV32" i="3"/>
  <c r="VQW32" i="3"/>
  <c r="VQX32" i="3"/>
  <c r="VQY32" i="3"/>
  <c r="VQZ32" i="3"/>
  <c r="VRA32" i="3"/>
  <c r="VRB32" i="3"/>
  <c r="VRC32" i="3"/>
  <c r="VRD32" i="3"/>
  <c r="VRE32" i="3"/>
  <c r="VRF32" i="3"/>
  <c r="VRG32" i="3"/>
  <c r="VRH32" i="3"/>
  <c r="VRI32" i="3"/>
  <c r="VRJ32" i="3"/>
  <c r="VRK32" i="3"/>
  <c r="VRL32" i="3"/>
  <c r="VRM32" i="3"/>
  <c r="VRN32" i="3"/>
  <c r="VRO32" i="3"/>
  <c r="VRP32" i="3"/>
  <c r="VRQ32" i="3"/>
  <c r="VRR32" i="3"/>
  <c r="VRS32" i="3"/>
  <c r="VRT32" i="3"/>
  <c r="VRU32" i="3"/>
  <c r="VRV32" i="3"/>
  <c r="VRW32" i="3"/>
  <c r="VRX32" i="3"/>
  <c r="VRY32" i="3"/>
  <c r="VRZ32" i="3"/>
  <c r="VSA32" i="3"/>
  <c r="VSB32" i="3"/>
  <c r="VSC32" i="3"/>
  <c r="VSD32" i="3"/>
  <c r="VSE32" i="3"/>
  <c r="VSF32" i="3"/>
  <c r="VSG32" i="3"/>
  <c r="VSH32" i="3"/>
  <c r="VSI32" i="3"/>
  <c r="VSJ32" i="3"/>
  <c r="VSK32" i="3"/>
  <c r="VSL32" i="3"/>
  <c r="VSM32" i="3"/>
  <c r="VSN32" i="3"/>
  <c r="VSO32" i="3"/>
  <c r="VSP32" i="3"/>
  <c r="VSQ32" i="3"/>
  <c r="VSR32" i="3"/>
  <c r="VSS32" i="3"/>
  <c r="VST32" i="3"/>
  <c r="VSU32" i="3"/>
  <c r="VSV32" i="3"/>
  <c r="VSW32" i="3"/>
  <c r="VSX32" i="3"/>
  <c r="VSY32" i="3"/>
  <c r="VSZ32" i="3"/>
  <c r="VTA32" i="3"/>
  <c r="VTB32" i="3"/>
  <c r="VTC32" i="3"/>
  <c r="VTD32" i="3"/>
  <c r="VTE32" i="3"/>
  <c r="VTF32" i="3"/>
  <c r="VTG32" i="3"/>
  <c r="VTH32" i="3"/>
  <c r="VTI32" i="3"/>
  <c r="VTJ32" i="3"/>
  <c r="VTK32" i="3"/>
  <c r="VTL32" i="3"/>
  <c r="VTM32" i="3"/>
  <c r="VTN32" i="3"/>
  <c r="VTO32" i="3"/>
  <c r="VTP32" i="3"/>
  <c r="VTQ32" i="3"/>
  <c r="VTR32" i="3"/>
  <c r="VTS32" i="3"/>
  <c r="VTT32" i="3"/>
  <c r="VTU32" i="3"/>
  <c r="VTV32" i="3"/>
  <c r="VTW32" i="3"/>
  <c r="VTX32" i="3"/>
  <c r="VTY32" i="3"/>
  <c r="VTZ32" i="3"/>
  <c r="VUA32" i="3"/>
  <c r="VUB32" i="3"/>
  <c r="VUC32" i="3"/>
  <c r="VUD32" i="3"/>
  <c r="VUE32" i="3"/>
  <c r="VUF32" i="3"/>
  <c r="VUG32" i="3"/>
  <c r="VUH32" i="3"/>
  <c r="VUI32" i="3"/>
  <c r="VUJ32" i="3"/>
  <c r="VUK32" i="3"/>
  <c r="VUL32" i="3"/>
  <c r="VUM32" i="3"/>
  <c r="VUN32" i="3"/>
  <c r="VUO32" i="3"/>
  <c r="VUP32" i="3"/>
  <c r="VUQ32" i="3"/>
  <c r="VUR32" i="3"/>
  <c r="VUS32" i="3"/>
  <c r="VUT32" i="3"/>
  <c r="VUU32" i="3"/>
  <c r="VUV32" i="3"/>
  <c r="VUW32" i="3"/>
  <c r="VUX32" i="3"/>
  <c r="VUY32" i="3"/>
  <c r="VUZ32" i="3"/>
  <c r="VVA32" i="3"/>
  <c r="VVB32" i="3"/>
  <c r="VVC32" i="3"/>
  <c r="VVD32" i="3"/>
  <c r="VVE32" i="3"/>
  <c r="VVF32" i="3"/>
  <c r="VVG32" i="3"/>
  <c r="VVH32" i="3"/>
  <c r="VVI32" i="3"/>
  <c r="VVJ32" i="3"/>
  <c r="VVK32" i="3"/>
  <c r="VVL32" i="3"/>
  <c r="VVM32" i="3"/>
  <c r="VVN32" i="3"/>
  <c r="VVO32" i="3"/>
  <c r="VVP32" i="3"/>
  <c r="VVQ32" i="3"/>
  <c r="VVR32" i="3"/>
  <c r="VVS32" i="3"/>
  <c r="VVT32" i="3"/>
  <c r="VVU32" i="3"/>
  <c r="VVV32" i="3"/>
  <c r="VVW32" i="3"/>
  <c r="VVX32" i="3"/>
  <c r="VVY32" i="3"/>
  <c r="VVZ32" i="3"/>
  <c r="VWA32" i="3"/>
  <c r="VWB32" i="3"/>
  <c r="VWC32" i="3"/>
  <c r="VWD32" i="3"/>
  <c r="VWE32" i="3"/>
  <c r="VWF32" i="3"/>
  <c r="VWG32" i="3"/>
  <c r="VWH32" i="3"/>
  <c r="VWI32" i="3"/>
  <c r="VWJ32" i="3"/>
  <c r="VWK32" i="3"/>
  <c r="VWL32" i="3"/>
  <c r="VWM32" i="3"/>
  <c r="VWN32" i="3"/>
  <c r="VWO32" i="3"/>
  <c r="VWP32" i="3"/>
  <c r="VWQ32" i="3"/>
  <c r="VWR32" i="3"/>
  <c r="VWS32" i="3"/>
  <c r="VWT32" i="3"/>
  <c r="VWU32" i="3"/>
  <c r="VWV32" i="3"/>
  <c r="VWW32" i="3"/>
  <c r="VWX32" i="3"/>
  <c r="VWY32" i="3"/>
  <c r="VWZ32" i="3"/>
  <c r="VXA32" i="3"/>
  <c r="VXB32" i="3"/>
  <c r="VXC32" i="3"/>
  <c r="VXD32" i="3"/>
  <c r="VXE32" i="3"/>
  <c r="VXF32" i="3"/>
  <c r="VXG32" i="3"/>
  <c r="VXH32" i="3"/>
  <c r="VXI32" i="3"/>
  <c r="VXJ32" i="3"/>
  <c r="VXK32" i="3"/>
  <c r="VXL32" i="3"/>
  <c r="VXM32" i="3"/>
  <c r="VXN32" i="3"/>
  <c r="VXO32" i="3"/>
  <c r="VXP32" i="3"/>
  <c r="VXQ32" i="3"/>
  <c r="VXR32" i="3"/>
  <c r="VXS32" i="3"/>
  <c r="VXT32" i="3"/>
  <c r="VXU32" i="3"/>
  <c r="VXV32" i="3"/>
  <c r="VXW32" i="3"/>
  <c r="VXX32" i="3"/>
  <c r="VXY32" i="3"/>
  <c r="VXZ32" i="3"/>
  <c r="VYA32" i="3"/>
  <c r="VYB32" i="3"/>
  <c r="VYC32" i="3"/>
  <c r="VYD32" i="3"/>
  <c r="VYE32" i="3"/>
  <c r="VYF32" i="3"/>
  <c r="VYG32" i="3"/>
  <c r="VYH32" i="3"/>
  <c r="VYI32" i="3"/>
  <c r="VYJ32" i="3"/>
  <c r="VYK32" i="3"/>
  <c r="VYL32" i="3"/>
  <c r="VYM32" i="3"/>
  <c r="VYN32" i="3"/>
  <c r="VYO32" i="3"/>
  <c r="VYP32" i="3"/>
  <c r="VYQ32" i="3"/>
  <c r="VYR32" i="3"/>
  <c r="VYS32" i="3"/>
  <c r="VYT32" i="3"/>
  <c r="VYU32" i="3"/>
  <c r="VYV32" i="3"/>
  <c r="VYW32" i="3"/>
  <c r="VYX32" i="3"/>
  <c r="VYY32" i="3"/>
  <c r="VYZ32" i="3"/>
  <c r="VZA32" i="3"/>
  <c r="VZB32" i="3"/>
  <c r="VZC32" i="3"/>
  <c r="VZD32" i="3"/>
  <c r="VZE32" i="3"/>
  <c r="VZF32" i="3"/>
  <c r="VZG32" i="3"/>
  <c r="VZH32" i="3"/>
  <c r="VZI32" i="3"/>
  <c r="VZJ32" i="3"/>
  <c r="VZK32" i="3"/>
  <c r="VZL32" i="3"/>
  <c r="VZM32" i="3"/>
  <c r="VZN32" i="3"/>
  <c r="VZO32" i="3"/>
  <c r="VZP32" i="3"/>
  <c r="VZQ32" i="3"/>
  <c r="VZR32" i="3"/>
  <c r="VZS32" i="3"/>
  <c r="VZT32" i="3"/>
  <c r="VZU32" i="3"/>
  <c r="VZV32" i="3"/>
  <c r="VZW32" i="3"/>
  <c r="VZX32" i="3"/>
  <c r="VZY32" i="3"/>
  <c r="VZZ32" i="3"/>
  <c r="WAA32" i="3"/>
  <c r="WAB32" i="3"/>
  <c r="WAC32" i="3"/>
  <c r="WAD32" i="3"/>
  <c r="WAE32" i="3"/>
  <c r="WAF32" i="3"/>
  <c r="WAG32" i="3"/>
  <c r="WAH32" i="3"/>
  <c r="WAI32" i="3"/>
  <c r="WAJ32" i="3"/>
  <c r="WAK32" i="3"/>
  <c r="WAL32" i="3"/>
  <c r="WAM32" i="3"/>
  <c r="WAN32" i="3"/>
  <c r="WAO32" i="3"/>
  <c r="WAP32" i="3"/>
  <c r="WAQ32" i="3"/>
  <c r="WAR32" i="3"/>
  <c r="WAS32" i="3"/>
  <c r="WAT32" i="3"/>
  <c r="WAU32" i="3"/>
  <c r="WAV32" i="3"/>
  <c r="WAW32" i="3"/>
  <c r="WAX32" i="3"/>
  <c r="WAY32" i="3"/>
  <c r="WAZ32" i="3"/>
  <c r="WBA32" i="3"/>
  <c r="WBB32" i="3"/>
  <c r="WBC32" i="3"/>
  <c r="WBD32" i="3"/>
  <c r="WBE32" i="3"/>
  <c r="WBF32" i="3"/>
  <c r="WBG32" i="3"/>
  <c r="WBH32" i="3"/>
  <c r="WBI32" i="3"/>
  <c r="WBJ32" i="3"/>
  <c r="WBK32" i="3"/>
  <c r="WBL32" i="3"/>
  <c r="WBM32" i="3"/>
  <c r="WBN32" i="3"/>
  <c r="WBO32" i="3"/>
  <c r="WBP32" i="3"/>
  <c r="WBQ32" i="3"/>
  <c r="WBR32" i="3"/>
  <c r="WBS32" i="3"/>
  <c r="WBT32" i="3"/>
  <c r="WBU32" i="3"/>
  <c r="WBV32" i="3"/>
  <c r="WBW32" i="3"/>
  <c r="WBX32" i="3"/>
  <c r="WBY32" i="3"/>
  <c r="WBZ32" i="3"/>
  <c r="WCA32" i="3"/>
  <c r="WCB32" i="3"/>
  <c r="WCC32" i="3"/>
  <c r="WCD32" i="3"/>
  <c r="WCE32" i="3"/>
  <c r="WCF32" i="3"/>
  <c r="WCG32" i="3"/>
  <c r="WCH32" i="3"/>
  <c r="WCI32" i="3"/>
  <c r="WCJ32" i="3"/>
  <c r="WCK32" i="3"/>
  <c r="WCL32" i="3"/>
  <c r="WCM32" i="3"/>
  <c r="WCN32" i="3"/>
  <c r="WCO32" i="3"/>
  <c r="WCP32" i="3"/>
  <c r="WCQ32" i="3"/>
  <c r="WCR32" i="3"/>
  <c r="WCS32" i="3"/>
  <c r="WCT32" i="3"/>
  <c r="WCU32" i="3"/>
  <c r="WCV32" i="3"/>
  <c r="WCW32" i="3"/>
  <c r="WCX32" i="3"/>
  <c r="WCY32" i="3"/>
  <c r="WCZ32" i="3"/>
  <c r="WDA32" i="3"/>
  <c r="WDB32" i="3"/>
  <c r="WDC32" i="3"/>
  <c r="WDD32" i="3"/>
  <c r="WDE32" i="3"/>
  <c r="WDF32" i="3"/>
  <c r="WDG32" i="3"/>
  <c r="WDH32" i="3"/>
  <c r="WDI32" i="3"/>
  <c r="WDJ32" i="3"/>
  <c r="WDK32" i="3"/>
  <c r="WDL32" i="3"/>
  <c r="WDM32" i="3"/>
  <c r="WDN32" i="3"/>
  <c r="WDO32" i="3"/>
  <c r="WDP32" i="3"/>
  <c r="WDQ32" i="3"/>
  <c r="WDR32" i="3"/>
  <c r="WDS32" i="3"/>
  <c r="WDT32" i="3"/>
  <c r="WDU32" i="3"/>
  <c r="WDV32" i="3"/>
  <c r="WDW32" i="3"/>
  <c r="WDX32" i="3"/>
  <c r="WDY32" i="3"/>
  <c r="WDZ32" i="3"/>
  <c r="WEA32" i="3"/>
  <c r="WEB32" i="3"/>
  <c r="WEC32" i="3"/>
  <c r="WED32" i="3"/>
  <c r="WEE32" i="3"/>
  <c r="WEF32" i="3"/>
  <c r="WEG32" i="3"/>
  <c r="WEH32" i="3"/>
  <c r="WEI32" i="3"/>
  <c r="WEJ32" i="3"/>
  <c r="WEK32" i="3"/>
  <c r="WEL32" i="3"/>
  <c r="WEM32" i="3"/>
  <c r="WEN32" i="3"/>
  <c r="WEO32" i="3"/>
  <c r="WEP32" i="3"/>
  <c r="WEQ32" i="3"/>
  <c r="WER32" i="3"/>
  <c r="WES32" i="3"/>
  <c r="WET32" i="3"/>
  <c r="WEU32" i="3"/>
  <c r="WEV32" i="3"/>
  <c r="WEW32" i="3"/>
  <c r="WEX32" i="3"/>
  <c r="WEY32" i="3"/>
  <c r="WEZ32" i="3"/>
  <c r="WFA32" i="3"/>
  <c r="WFB32" i="3"/>
  <c r="WFC32" i="3"/>
  <c r="WFD32" i="3"/>
  <c r="WFE32" i="3"/>
  <c r="WFF32" i="3"/>
  <c r="WFG32" i="3"/>
  <c r="WFH32" i="3"/>
  <c r="WFI32" i="3"/>
  <c r="WFJ32" i="3"/>
  <c r="WFK32" i="3"/>
  <c r="WFL32" i="3"/>
  <c r="WFM32" i="3"/>
  <c r="WFN32" i="3"/>
  <c r="WFO32" i="3"/>
  <c r="WFP32" i="3"/>
  <c r="WFQ32" i="3"/>
  <c r="WFR32" i="3"/>
  <c r="WFS32" i="3"/>
  <c r="WFT32" i="3"/>
  <c r="WFU32" i="3"/>
  <c r="WFV32" i="3"/>
  <c r="WFW32" i="3"/>
  <c r="WFX32" i="3"/>
  <c r="WFY32" i="3"/>
  <c r="WFZ32" i="3"/>
  <c r="WGA32" i="3"/>
  <c r="WGB32" i="3"/>
  <c r="WGC32" i="3"/>
  <c r="WGD32" i="3"/>
  <c r="WGE32" i="3"/>
  <c r="WGF32" i="3"/>
  <c r="WGG32" i="3"/>
  <c r="WGH32" i="3"/>
  <c r="WGI32" i="3"/>
  <c r="WGJ32" i="3"/>
  <c r="WGK32" i="3"/>
  <c r="WGL32" i="3"/>
  <c r="WGM32" i="3"/>
  <c r="WGN32" i="3"/>
  <c r="WGO32" i="3"/>
  <c r="WGP32" i="3"/>
  <c r="WGQ32" i="3"/>
  <c r="WGR32" i="3"/>
  <c r="WGS32" i="3"/>
  <c r="WGT32" i="3"/>
  <c r="WGU32" i="3"/>
  <c r="WGV32" i="3"/>
  <c r="WGW32" i="3"/>
  <c r="WGX32" i="3"/>
  <c r="WGY32" i="3"/>
  <c r="WGZ32" i="3"/>
  <c r="WHA32" i="3"/>
  <c r="WHB32" i="3"/>
  <c r="WHC32" i="3"/>
  <c r="WHD32" i="3"/>
  <c r="WHE32" i="3"/>
  <c r="WHF32" i="3"/>
  <c r="WHG32" i="3"/>
  <c r="WHH32" i="3"/>
  <c r="WHI32" i="3"/>
  <c r="WHJ32" i="3"/>
  <c r="WHK32" i="3"/>
  <c r="WHL32" i="3"/>
  <c r="WHM32" i="3"/>
  <c r="WHN32" i="3"/>
  <c r="WHO32" i="3"/>
  <c r="WHP32" i="3"/>
  <c r="WHQ32" i="3"/>
  <c r="WHR32" i="3"/>
  <c r="WHS32" i="3"/>
  <c r="WHT32" i="3"/>
  <c r="WHU32" i="3"/>
  <c r="WHV32" i="3"/>
  <c r="WHW32" i="3"/>
  <c r="WHX32" i="3"/>
  <c r="WHY32" i="3"/>
  <c r="WHZ32" i="3"/>
  <c r="WIA32" i="3"/>
  <c r="WIB32" i="3"/>
  <c r="WIC32" i="3"/>
  <c r="WID32" i="3"/>
  <c r="WIE32" i="3"/>
  <c r="WIF32" i="3"/>
  <c r="WIG32" i="3"/>
  <c r="WIH32" i="3"/>
  <c r="WII32" i="3"/>
  <c r="WIJ32" i="3"/>
  <c r="WIK32" i="3"/>
  <c r="WIL32" i="3"/>
  <c r="WIM32" i="3"/>
  <c r="WIN32" i="3"/>
  <c r="WIO32" i="3"/>
  <c r="WIP32" i="3"/>
  <c r="WIQ32" i="3"/>
  <c r="WIR32" i="3"/>
  <c r="WIS32" i="3"/>
  <c r="WIT32" i="3"/>
  <c r="WIU32" i="3"/>
  <c r="WIV32" i="3"/>
  <c r="WIW32" i="3"/>
  <c r="WIX32" i="3"/>
  <c r="WIY32" i="3"/>
  <c r="WIZ32" i="3"/>
  <c r="WJA32" i="3"/>
  <c r="WJB32" i="3"/>
  <c r="WJC32" i="3"/>
  <c r="WJD32" i="3"/>
  <c r="WJE32" i="3"/>
  <c r="WJF32" i="3"/>
  <c r="WJG32" i="3"/>
  <c r="WJH32" i="3"/>
  <c r="WJI32" i="3"/>
  <c r="WJJ32" i="3"/>
  <c r="WJK32" i="3"/>
  <c r="WJL32" i="3"/>
  <c r="WJM32" i="3"/>
  <c r="WJN32" i="3"/>
  <c r="WJO32" i="3"/>
  <c r="WJP32" i="3"/>
  <c r="WJQ32" i="3"/>
  <c r="WJR32" i="3"/>
  <c r="WJS32" i="3"/>
  <c r="WJT32" i="3"/>
  <c r="WJU32" i="3"/>
  <c r="WJV32" i="3"/>
  <c r="WJW32" i="3"/>
  <c r="WJX32" i="3"/>
  <c r="WJY32" i="3"/>
  <c r="WJZ32" i="3"/>
  <c r="WKA32" i="3"/>
  <c r="WKB32" i="3"/>
  <c r="WKC32" i="3"/>
  <c r="WKD32" i="3"/>
  <c r="WKE32" i="3"/>
  <c r="WKF32" i="3"/>
  <c r="WKG32" i="3"/>
  <c r="WKH32" i="3"/>
  <c r="WKI32" i="3"/>
  <c r="WKJ32" i="3"/>
  <c r="WKK32" i="3"/>
  <c r="WKL32" i="3"/>
  <c r="WKM32" i="3"/>
  <c r="WKN32" i="3"/>
  <c r="WKO32" i="3"/>
  <c r="WKP32" i="3"/>
  <c r="WKQ32" i="3"/>
  <c r="WKR32" i="3"/>
  <c r="WKS32" i="3"/>
  <c r="WKT32" i="3"/>
  <c r="WKU32" i="3"/>
  <c r="WKV32" i="3"/>
  <c r="WKW32" i="3"/>
  <c r="WKX32" i="3"/>
  <c r="WKY32" i="3"/>
  <c r="WKZ32" i="3"/>
  <c r="WLA32" i="3"/>
  <c r="WLB32" i="3"/>
  <c r="WLC32" i="3"/>
  <c r="WLD32" i="3"/>
  <c r="WLE32" i="3"/>
  <c r="WLF32" i="3"/>
  <c r="WLG32" i="3"/>
  <c r="WLH32" i="3"/>
  <c r="WLI32" i="3"/>
  <c r="WLJ32" i="3"/>
  <c r="WLK32" i="3"/>
  <c r="WLL32" i="3"/>
  <c r="WLM32" i="3"/>
  <c r="WLN32" i="3"/>
  <c r="WLO32" i="3"/>
  <c r="WLP32" i="3"/>
  <c r="WLQ32" i="3"/>
  <c r="WLR32" i="3"/>
  <c r="WLS32" i="3"/>
  <c r="WLT32" i="3"/>
  <c r="WLU32" i="3"/>
  <c r="WLV32" i="3"/>
  <c r="WLW32" i="3"/>
  <c r="WLX32" i="3"/>
  <c r="WLY32" i="3"/>
  <c r="WLZ32" i="3"/>
  <c r="WMA32" i="3"/>
  <c r="WMB32" i="3"/>
  <c r="WMC32" i="3"/>
  <c r="WMD32" i="3"/>
  <c r="WME32" i="3"/>
  <c r="WMF32" i="3"/>
  <c r="WMG32" i="3"/>
  <c r="WMH32" i="3"/>
  <c r="WMI32" i="3"/>
  <c r="WMJ32" i="3"/>
  <c r="WMK32" i="3"/>
  <c r="WML32" i="3"/>
  <c r="WMM32" i="3"/>
  <c r="WMN32" i="3"/>
  <c r="WMO32" i="3"/>
  <c r="WMP32" i="3"/>
  <c r="WMQ32" i="3"/>
  <c r="WMR32" i="3"/>
  <c r="WMS32" i="3"/>
  <c r="WMT32" i="3"/>
  <c r="WMU32" i="3"/>
  <c r="WMV32" i="3"/>
  <c r="WMW32" i="3"/>
  <c r="WMX32" i="3"/>
  <c r="WMY32" i="3"/>
  <c r="WMZ32" i="3"/>
  <c r="WNA32" i="3"/>
  <c r="WNB32" i="3"/>
  <c r="WNC32" i="3"/>
  <c r="WND32" i="3"/>
  <c r="WNE32" i="3"/>
  <c r="WNF32" i="3"/>
  <c r="WNG32" i="3"/>
  <c r="WNH32" i="3"/>
  <c r="WNI32" i="3"/>
  <c r="WNJ32" i="3"/>
  <c r="WNK32" i="3"/>
  <c r="WNL32" i="3"/>
  <c r="WNM32" i="3"/>
  <c r="WNN32" i="3"/>
  <c r="WNO32" i="3"/>
  <c r="WNP32" i="3"/>
  <c r="WNQ32" i="3"/>
  <c r="WNR32" i="3"/>
  <c r="WNS32" i="3"/>
  <c r="WNT32" i="3"/>
  <c r="WNU32" i="3"/>
  <c r="WNV32" i="3"/>
  <c r="WNW32" i="3"/>
  <c r="WNX32" i="3"/>
  <c r="WNY32" i="3"/>
  <c r="WNZ32" i="3"/>
  <c r="WOA32" i="3"/>
  <c r="WOB32" i="3"/>
  <c r="WOC32" i="3"/>
  <c r="WOD32" i="3"/>
  <c r="WOE32" i="3"/>
  <c r="WOF32" i="3"/>
  <c r="WOG32" i="3"/>
  <c r="WOH32" i="3"/>
  <c r="WOI32" i="3"/>
  <c r="WOJ32" i="3"/>
  <c r="WOK32" i="3"/>
  <c r="WOL32" i="3"/>
  <c r="WOM32" i="3"/>
  <c r="WON32" i="3"/>
  <c r="WOO32" i="3"/>
  <c r="WOP32" i="3"/>
  <c r="WOQ32" i="3"/>
  <c r="WOR32" i="3"/>
  <c r="WOS32" i="3"/>
  <c r="WOT32" i="3"/>
  <c r="WOU32" i="3"/>
  <c r="WOV32" i="3"/>
  <c r="WOW32" i="3"/>
  <c r="WOX32" i="3"/>
  <c r="WOY32" i="3"/>
  <c r="WOZ32" i="3"/>
  <c r="WPA32" i="3"/>
  <c r="WPB32" i="3"/>
  <c r="WPC32" i="3"/>
  <c r="WPD32" i="3"/>
  <c r="WPE32" i="3"/>
  <c r="WPF32" i="3"/>
  <c r="WPG32" i="3"/>
  <c r="WPH32" i="3"/>
  <c r="WPI32" i="3"/>
  <c r="WPJ32" i="3"/>
  <c r="WPK32" i="3"/>
  <c r="WPL32" i="3"/>
  <c r="WPM32" i="3"/>
  <c r="WPN32" i="3"/>
  <c r="WPO32" i="3"/>
  <c r="WPP32" i="3"/>
  <c r="WPQ32" i="3"/>
  <c r="WPR32" i="3"/>
  <c r="WPS32" i="3"/>
  <c r="WPT32" i="3"/>
  <c r="WPU32" i="3"/>
  <c r="WPV32" i="3"/>
  <c r="WPW32" i="3"/>
  <c r="WPX32" i="3"/>
  <c r="WPY32" i="3"/>
  <c r="WPZ32" i="3"/>
  <c r="WQA32" i="3"/>
  <c r="WQB32" i="3"/>
  <c r="WQC32" i="3"/>
  <c r="WQD32" i="3"/>
  <c r="WQE32" i="3"/>
  <c r="WQF32" i="3"/>
  <c r="WQG32" i="3"/>
  <c r="WQH32" i="3"/>
  <c r="WQI32" i="3"/>
  <c r="WQJ32" i="3"/>
  <c r="WQK32" i="3"/>
  <c r="WQL32" i="3"/>
  <c r="WQM32" i="3"/>
  <c r="WQN32" i="3"/>
  <c r="WQO32" i="3"/>
  <c r="WQP32" i="3"/>
  <c r="WQQ32" i="3"/>
  <c r="WQR32" i="3"/>
  <c r="WQS32" i="3"/>
  <c r="WQT32" i="3"/>
  <c r="WQU32" i="3"/>
  <c r="WQV32" i="3"/>
  <c r="WQW32" i="3"/>
  <c r="WQX32" i="3"/>
  <c r="WQY32" i="3"/>
  <c r="WQZ32" i="3"/>
  <c r="WRA32" i="3"/>
  <c r="WRB32" i="3"/>
  <c r="WRC32" i="3"/>
  <c r="WRD32" i="3"/>
  <c r="WRE32" i="3"/>
  <c r="WRF32" i="3"/>
  <c r="WRG32" i="3"/>
  <c r="WRH32" i="3"/>
  <c r="WRI32" i="3"/>
  <c r="WRJ32" i="3"/>
  <c r="WRK32" i="3"/>
  <c r="WRL32" i="3"/>
  <c r="WRM32" i="3"/>
  <c r="WRN32" i="3"/>
  <c r="WRO32" i="3"/>
  <c r="WRP32" i="3"/>
  <c r="WRQ32" i="3"/>
  <c r="WRR32" i="3"/>
  <c r="WRS32" i="3"/>
  <c r="WRT32" i="3"/>
  <c r="WRU32" i="3"/>
  <c r="WRV32" i="3"/>
  <c r="WRW32" i="3"/>
  <c r="WRX32" i="3"/>
  <c r="WRY32" i="3"/>
  <c r="WRZ32" i="3"/>
  <c r="WSA32" i="3"/>
  <c r="WSB32" i="3"/>
  <c r="WSC32" i="3"/>
  <c r="WSD32" i="3"/>
  <c r="WSE32" i="3"/>
  <c r="WSF32" i="3"/>
  <c r="WSG32" i="3"/>
  <c r="WSH32" i="3"/>
  <c r="WSI32" i="3"/>
  <c r="WSJ32" i="3"/>
  <c r="WSK32" i="3"/>
  <c r="WSL32" i="3"/>
  <c r="WSM32" i="3"/>
  <c r="WSN32" i="3"/>
  <c r="WSO32" i="3"/>
  <c r="WSP32" i="3"/>
  <c r="WSQ32" i="3"/>
  <c r="WSR32" i="3"/>
  <c r="WSS32" i="3"/>
  <c r="WST32" i="3"/>
  <c r="WSU32" i="3"/>
  <c r="WSV32" i="3"/>
  <c r="WSW32" i="3"/>
  <c r="WSX32" i="3"/>
  <c r="WSY32" i="3"/>
  <c r="WSZ32" i="3"/>
  <c r="WTA32" i="3"/>
  <c r="WTB32" i="3"/>
  <c r="WTC32" i="3"/>
  <c r="WTD32" i="3"/>
  <c r="WTE32" i="3"/>
  <c r="WTF32" i="3"/>
  <c r="WTG32" i="3"/>
  <c r="WTH32" i="3"/>
  <c r="WTI32" i="3"/>
  <c r="WTJ32" i="3"/>
  <c r="WTK32" i="3"/>
  <c r="WTL32" i="3"/>
  <c r="WTM32" i="3"/>
  <c r="WTN32" i="3"/>
  <c r="WTO32" i="3"/>
  <c r="WTP32" i="3"/>
  <c r="WTQ32" i="3"/>
  <c r="WTR32" i="3"/>
  <c r="WTS32" i="3"/>
  <c r="WTT32" i="3"/>
  <c r="WTU32" i="3"/>
  <c r="WTV32" i="3"/>
  <c r="WTW32" i="3"/>
  <c r="WTX32" i="3"/>
  <c r="WTY32" i="3"/>
  <c r="WTZ32" i="3"/>
  <c r="WUA32" i="3"/>
  <c r="WUB32" i="3"/>
  <c r="WUC32" i="3"/>
  <c r="WUD32" i="3"/>
  <c r="WUE32" i="3"/>
  <c r="WUF32" i="3"/>
  <c r="WUG32" i="3"/>
  <c r="WUH32" i="3"/>
  <c r="WUI32" i="3"/>
  <c r="WUJ32" i="3"/>
  <c r="WUK32" i="3"/>
  <c r="WUL32" i="3"/>
  <c r="WUM32" i="3"/>
  <c r="WUN32" i="3"/>
  <c r="WUO32" i="3"/>
  <c r="WUP32" i="3"/>
  <c r="WUQ32" i="3"/>
  <c r="WUR32" i="3"/>
  <c r="WUS32" i="3"/>
  <c r="WUT32" i="3"/>
  <c r="WUU32" i="3"/>
  <c r="WUV32" i="3"/>
  <c r="WUW32" i="3"/>
  <c r="WUX32" i="3"/>
  <c r="WUY32" i="3"/>
  <c r="WUZ32" i="3"/>
  <c r="WVA32" i="3"/>
  <c r="WVB32" i="3"/>
  <c r="WVC32" i="3"/>
  <c r="WVD32" i="3"/>
  <c r="WVE32" i="3"/>
  <c r="WVF32" i="3"/>
  <c r="WVG32" i="3"/>
  <c r="WVH32" i="3"/>
  <c r="WVI32" i="3"/>
  <c r="WVJ32" i="3"/>
  <c r="WVK32" i="3"/>
  <c r="WVL32" i="3"/>
  <c r="WVM32" i="3"/>
  <c r="WVN32" i="3"/>
  <c r="WVO32" i="3"/>
  <c r="WVP32" i="3"/>
  <c r="WVQ32" i="3"/>
  <c r="WVR32" i="3"/>
  <c r="WVS32" i="3"/>
  <c r="WVT32" i="3"/>
  <c r="WVU32" i="3"/>
  <c r="WVV32" i="3"/>
  <c r="WVW32" i="3"/>
  <c r="WVX32" i="3"/>
  <c r="WVY32" i="3"/>
  <c r="WVZ32" i="3"/>
  <c r="WWA32" i="3"/>
  <c r="WWB32" i="3"/>
  <c r="WWC32" i="3"/>
  <c r="WWD32" i="3"/>
  <c r="WWE32" i="3"/>
  <c r="WWF32" i="3"/>
  <c r="WWG32" i="3"/>
  <c r="WWH32" i="3"/>
  <c r="WWI32" i="3"/>
  <c r="WWJ32" i="3"/>
  <c r="WWK32" i="3"/>
  <c r="WWL32" i="3"/>
  <c r="WWM32" i="3"/>
  <c r="WWN32" i="3"/>
  <c r="WWO32" i="3"/>
  <c r="WWP32" i="3"/>
  <c r="WWQ32" i="3"/>
  <c r="WWR32" i="3"/>
  <c r="WWS32" i="3"/>
  <c r="WWT32" i="3"/>
  <c r="WWU32" i="3"/>
  <c r="WWV32" i="3"/>
  <c r="WWW32" i="3"/>
  <c r="WWX32" i="3"/>
  <c r="WWY32" i="3"/>
  <c r="WWZ32" i="3"/>
  <c r="WXA32" i="3"/>
  <c r="WXB32" i="3"/>
  <c r="WXC32" i="3"/>
  <c r="WXD32" i="3"/>
  <c r="WXE32" i="3"/>
  <c r="WXF32" i="3"/>
  <c r="WXG32" i="3"/>
  <c r="WXH32" i="3"/>
  <c r="WXI32" i="3"/>
  <c r="WXJ32" i="3"/>
  <c r="WXK32" i="3"/>
  <c r="WXL32" i="3"/>
  <c r="WXM32" i="3"/>
  <c r="WXN32" i="3"/>
  <c r="WXO32" i="3"/>
  <c r="WXP32" i="3"/>
  <c r="WXQ32" i="3"/>
  <c r="WXR32" i="3"/>
  <c r="WXS32" i="3"/>
  <c r="WXT32" i="3"/>
  <c r="WXU32" i="3"/>
  <c r="WXV32" i="3"/>
  <c r="WXW32" i="3"/>
  <c r="WXX32" i="3"/>
  <c r="WXY32" i="3"/>
  <c r="WXZ32" i="3"/>
  <c r="WYA32" i="3"/>
  <c r="WYB32" i="3"/>
  <c r="WYC32" i="3"/>
  <c r="WYD32" i="3"/>
  <c r="WYE32" i="3"/>
  <c r="WYF32" i="3"/>
  <c r="WYG32" i="3"/>
  <c r="WYH32" i="3"/>
  <c r="WYI32" i="3"/>
  <c r="WYJ32" i="3"/>
  <c r="WYK32" i="3"/>
  <c r="WYL32" i="3"/>
  <c r="WYM32" i="3"/>
  <c r="WYN32" i="3"/>
  <c r="WYO32" i="3"/>
  <c r="WYP32" i="3"/>
  <c r="WYQ32" i="3"/>
  <c r="WYR32" i="3"/>
  <c r="WYS32" i="3"/>
  <c r="WYT32" i="3"/>
  <c r="WYU32" i="3"/>
  <c r="WYV32" i="3"/>
  <c r="WYW32" i="3"/>
  <c r="WYX32" i="3"/>
  <c r="WYY32" i="3"/>
  <c r="WYZ32" i="3"/>
  <c r="WZA32" i="3"/>
  <c r="WZB32" i="3"/>
  <c r="WZC32" i="3"/>
  <c r="WZD32" i="3"/>
  <c r="WZE32" i="3"/>
  <c r="WZF32" i="3"/>
  <c r="WZG32" i="3"/>
  <c r="WZH32" i="3"/>
  <c r="WZI32" i="3"/>
  <c r="WZJ32" i="3"/>
  <c r="WZK32" i="3"/>
  <c r="WZL32" i="3"/>
  <c r="WZM32" i="3"/>
  <c r="WZN32" i="3"/>
  <c r="WZO32" i="3"/>
  <c r="WZP32" i="3"/>
  <c r="WZQ32" i="3"/>
  <c r="WZR32" i="3"/>
  <c r="WZS32" i="3"/>
  <c r="WZT32" i="3"/>
  <c r="WZU32" i="3"/>
  <c r="WZV32" i="3"/>
  <c r="WZW32" i="3"/>
  <c r="WZX32" i="3"/>
  <c r="WZY32" i="3"/>
  <c r="WZZ32" i="3"/>
  <c r="XAA32" i="3"/>
  <c r="XAB32" i="3"/>
  <c r="XAC32" i="3"/>
  <c r="XAD32" i="3"/>
  <c r="XAE32" i="3"/>
  <c r="XAF32" i="3"/>
  <c r="XAG32" i="3"/>
  <c r="XAH32" i="3"/>
  <c r="XAI32" i="3"/>
  <c r="XAJ32" i="3"/>
  <c r="XAK32" i="3"/>
  <c r="XAL32" i="3"/>
  <c r="XAM32" i="3"/>
  <c r="XAN32" i="3"/>
  <c r="XAO32" i="3"/>
  <c r="XAP32" i="3"/>
  <c r="XAQ32" i="3"/>
  <c r="XAR32" i="3"/>
  <c r="XAS32" i="3"/>
  <c r="XAT32" i="3"/>
  <c r="XAU32" i="3"/>
  <c r="XAV32" i="3"/>
  <c r="XAW32" i="3"/>
  <c r="XAX32" i="3"/>
  <c r="XAY32" i="3"/>
  <c r="XAZ32" i="3"/>
  <c r="XBA32" i="3"/>
  <c r="XBB32" i="3"/>
  <c r="XBC32" i="3"/>
  <c r="XBD32" i="3"/>
  <c r="XBE32" i="3"/>
  <c r="XBF32" i="3"/>
  <c r="XBG32" i="3"/>
  <c r="XBH32" i="3"/>
  <c r="XBI32" i="3"/>
  <c r="XBJ32" i="3"/>
  <c r="XBK32" i="3"/>
  <c r="XBL32" i="3"/>
  <c r="XBM32" i="3"/>
  <c r="XBN32" i="3"/>
  <c r="XBO32" i="3"/>
  <c r="XBP32" i="3"/>
  <c r="XBQ32" i="3"/>
  <c r="XBR32" i="3"/>
  <c r="XBS32" i="3"/>
  <c r="XBT32" i="3"/>
  <c r="XBU32" i="3"/>
  <c r="XBV32" i="3"/>
  <c r="XBW32" i="3"/>
  <c r="XBX32" i="3"/>
  <c r="XBY32" i="3"/>
  <c r="XBZ32" i="3"/>
  <c r="XCA32" i="3"/>
  <c r="XCB32" i="3"/>
  <c r="XCC32" i="3"/>
  <c r="XCD32" i="3"/>
  <c r="XCE32" i="3"/>
  <c r="XCF32" i="3"/>
  <c r="XCG32" i="3"/>
  <c r="XCH32" i="3"/>
  <c r="XCI32" i="3"/>
  <c r="XCJ32" i="3"/>
  <c r="XCK32" i="3"/>
  <c r="XCL32" i="3"/>
  <c r="XCM32" i="3"/>
  <c r="XCN32" i="3"/>
  <c r="XCO32" i="3"/>
  <c r="XCP32" i="3"/>
  <c r="XCQ32" i="3"/>
  <c r="XCR32" i="3"/>
  <c r="XCS32" i="3"/>
  <c r="XCT32" i="3"/>
  <c r="XCU32" i="3"/>
  <c r="XCV32" i="3"/>
  <c r="XCW32" i="3"/>
  <c r="XCX32" i="3"/>
  <c r="XCY32" i="3"/>
  <c r="XCZ32" i="3"/>
  <c r="XDA32" i="3"/>
  <c r="XDB32" i="3"/>
  <c r="XDC32" i="3"/>
  <c r="XDD32" i="3"/>
  <c r="XDE32" i="3"/>
  <c r="XDF32" i="3"/>
  <c r="XDG32" i="3"/>
  <c r="XDH32" i="3"/>
  <c r="XDI32" i="3"/>
  <c r="XDJ32" i="3"/>
  <c r="XDK32" i="3"/>
  <c r="XDL32" i="3"/>
  <c r="XDM32" i="3"/>
  <c r="XDN32" i="3"/>
  <c r="XDO32" i="3"/>
  <c r="XDP32" i="3"/>
  <c r="XDQ32" i="3"/>
  <c r="XDR32" i="3"/>
  <c r="XDS32" i="3"/>
  <c r="XDT32" i="3"/>
  <c r="XDU32" i="3"/>
  <c r="XDV32" i="3"/>
  <c r="XDW32" i="3"/>
  <c r="XDX32" i="3"/>
  <c r="XDY32" i="3"/>
  <c r="XDZ32" i="3"/>
  <c r="XEA32" i="3"/>
  <c r="XEB32" i="3"/>
  <c r="XEC32" i="3"/>
  <c r="XED32" i="3"/>
  <c r="XEE32" i="3"/>
  <c r="XEF32" i="3"/>
  <c r="XEG32" i="3"/>
  <c r="XEH32" i="3"/>
  <c r="XEI32" i="3"/>
  <c r="XEJ32" i="3"/>
  <c r="XEK32" i="3"/>
  <c r="XEL32" i="3"/>
  <c r="XEM32" i="3"/>
  <c r="XEN32" i="3"/>
  <c r="XEO32" i="3"/>
  <c r="XEP32" i="3"/>
  <c r="XEQ32" i="3"/>
  <c r="XER32" i="3"/>
  <c r="XES32" i="3"/>
  <c r="XET32" i="3"/>
  <c r="XEU32" i="3"/>
  <c r="XEV32" i="3"/>
  <c r="XEW32" i="3"/>
  <c r="XEX32" i="3"/>
  <c r="XEY32" i="3"/>
  <c r="XEZ32" i="3"/>
  <c r="XFA32" i="3"/>
  <c r="XFB32" i="3"/>
  <c r="XFC32" i="3"/>
  <c r="XFD32" i="3"/>
  <c r="B178" i="2"/>
  <c r="B167" i="2"/>
  <c r="C164" i="2"/>
  <c r="D160" i="2"/>
  <c r="D158" i="2" s="1"/>
  <c r="H162" i="2"/>
  <c r="G162" i="2"/>
  <c r="F162" i="2"/>
  <c r="E162" i="2"/>
  <c r="H160" i="2"/>
  <c r="G160" i="2"/>
  <c r="F160" i="2"/>
  <c r="F158" i="2" s="1"/>
  <c r="E160" i="2"/>
  <c r="E158" i="2" s="1"/>
  <c r="D162" i="2"/>
  <c r="B162" i="2"/>
  <c r="B160" i="2"/>
  <c r="D137" i="2"/>
  <c r="G10" i="12" a="1"/>
  <c r="F10" i="12" a="1"/>
  <c r="E10" i="12" a="1"/>
  <c r="D10" i="12" a="1"/>
  <c r="G10" i="10" a="1"/>
  <c r="F10" i="10" a="1"/>
  <c r="E10" i="10" a="1"/>
  <c r="D10" i="10" a="1"/>
  <c r="H158" i="2" l="1"/>
  <c r="G158" i="2"/>
  <c r="F161" i="2"/>
  <c r="E161" i="2"/>
  <c r="G161" i="2"/>
  <c r="F49" i="12"/>
  <c r="H161" i="2"/>
  <c r="C49" i="10"/>
  <c r="D49" i="10"/>
  <c r="E49" i="10"/>
  <c r="F49" i="10"/>
  <c r="C49" i="12"/>
  <c r="G49" i="10"/>
  <c r="D49" i="12"/>
  <c r="D161" i="2"/>
  <c r="E49" i="12"/>
  <c r="G49" i="12"/>
  <c r="D154" i="2" l="1"/>
  <c r="B61" i="17"/>
  <c r="B60" i="17"/>
  <c r="B59" i="17"/>
  <c r="C53" i="17"/>
  <c r="C42" i="17"/>
  <c r="F39" i="17" a="1"/>
  <c r="B39" i="17"/>
  <c r="C35" i="17"/>
  <c r="C24" i="17"/>
  <c r="F21" i="17" a="1"/>
  <c r="B21" i="17"/>
  <c r="B3" i="17"/>
  <c r="C17" i="17"/>
  <c r="C6" i="17"/>
  <c r="F3" i="17" a="1"/>
  <c r="F39" i="17" l="1"/>
  <c r="F21" i="17"/>
  <c r="F3" i="17"/>
  <c r="B40" i="17" l="1"/>
  <c r="B43" i="17"/>
  <c r="B22" i="17"/>
  <c r="B25" i="17"/>
  <c r="B7" i="17"/>
  <c r="B4" i="17"/>
  <c r="B9" i="8" l="1"/>
  <c r="B10" i="8"/>
  <c r="B11" i="8"/>
  <c r="B12" i="8"/>
  <c r="B8" i="8"/>
  <c r="C6" i="8"/>
  <c r="D6" i="8"/>
  <c r="E6" i="8"/>
  <c r="C8" i="8"/>
  <c r="D8" i="8"/>
  <c r="E8" i="8"/>
  <c r="C9" i="8"/>
  <c r="D9" i="8"/>
  <c r="E9" i="8"/>
  <c r="C10" i="8"/>
  <c r="D10" i="8"/>
  <c r="E10" i="8"/>
  <c r="C11" i="8"/>
  <c r="D11" i="8"/>
  <c r="E11" i="8"/>
  <c r="C12" i="8"/>
  <c r="D12" i="8"/>
  <c r="E12" i="8"/>
  <c r="I8" i="8"/>
  <c r="I9" i="8"/>
  <c r="I10" i="8"/>
  <c r="I11" i="8"/>
  <c r="I12" i="8"/>
  <c r="I6" i="8"/>
  <c r="B64" i="2"/>
  <c r="B6" i="8"/>
  <c r="C42" i="9"/>
  <c r="C35" i="9" a="1"/>
  <c r="C35" i="9" s="1"/>
  <c r="B35" i="9"/>
  <c r="B55" i="9" s="1"/>
  <c r="C26" i="9"/>
  <c r="C19" i="9" a="1"/>
  <c r="C19" i="9" s="1"/>
  <c r="B19" i="9"/>
  <c r="B54" i="9" s="1"/>
  <c r="B3" i="9"/>
  <c r="B53" i="9" s="1"/>
  <c r="C52" i="2"/>
  <c r="C51" i="2"/>
  <c r="C10" i="9"/>
  <c r="C3" i="9" a="1"/>
  <c r="C3" i="9" s="1"/>
  <c r="C17" i="7"/>
  <c r="C6" i="7"/>
  <c r="I39" i="7" a="1"/>
  <c r="I21" i="7" a="1"/>
  <c r="I3" i="7" a="1"/>
  <c r="D278" i="2" a="1"/>
  <c r="D278" i="2" s="1"/>
  <c r="D205" i="2" a="1"/>
  <c r="D205" i="2" s="1"/>
  <c r="D132" i="2" a="1"/>
  <c r="C56" i="2"/>
  <c r="C5" i="9" s="1"/>
  <c r="C46" i="2"/>
  <c r="C9" i="9" s="1"/>
  <c r="D44" i="2" a="1"/>
  <c r="D44" i="2" s="1"/>
  <c r="D17" i="2" a="1"/>
  <c r="D17" i="2" s="1"/>
  <c r="J219" i="2" l="1"/>
  <c r="M219" i="2"/>
  <c r="L219" i="2"/>
  <c r="I219" i="2"/>
  <c r="K219" i="2"/>
  <c r="P174" i="2"/>
  <c r="P158" i="2"/>
  <c r="Q158" i="2"/>
  <c r="Q174" i="2"/>
  <c r="R161" i="2"/>
  <c r="O158" i="2"/>
  <c r="R174" i="2"/>
  <c r="R169" i="2"/>
  <c r="Q161" i="2"/>
  <c r="N158" i="2"/>
  <c r="R137" i="2"/>
  <c r="R139" i="2" s="1"/>
  <c r="Q6" i="12" s="1"/>
  <c r="Q169" i="2"/>
  <c r="P161" i="2"/>
  <c r="N137" i="2"/>
  <c r="N139" i="2" s="1"/>
  <c r="M6" i="12" s="1"/>
  <c r="P169" i="2"/>
  <c r="O161" i="2"/>
  <c r="O137" i="2"/>
  <c r="O138" i="2" s="1"/>
  <c r="N6" i="10" s="1"/>
  <c r="O174" i="2"/>
  <c r="O169" i="2"/>
  <c r="N161" i="2"/>
  <c r="P137" i="2"/>
  <c r="P139" i="2" s="1"/>
  <c r="O6" i="12" s="1"/>
  <c r="N174" i="2"/>
  <c r="N169" i="2"/>
  <c r="R158" i="2"/>
  <c r="Q137" i="2"/>
  <c r="Q138" i="2" s="1"/>
  <c r="P6" i="10" s="1"/>
  <c r="K174" i="2"/>
  <c r="I174" i="2"/>
  <c r="I162" i="2"/>
  <c r="K169" i="2"/>
  <c r="I161" i="2"/>
  <c r="K158" i="2"/>
  <c r="L169" i="2"/>
  <c r="L174" i="2"/>
  <c r="J169" i="2"/>
  <c r="J158" i="2"/>
  <c r="M174" i="2"/>
  <c r="I169" i="2"/>
  <c r="I158" i="2"/>
  <c r="M161" i="2"/>
  <c r="J161" i="2"/>
  <c r="L161" i="2"/>
  <c r="M169" i="2"/>
  <c r="K161" i="2"/>
  <c r="M158" i="2"/>
  <c r="J174" i="2"/>
  <c r="L158" i="2"/>
  <c r="D132" i="2"/>
  <c r="C132" i="2" s="1"/>
  <c r="C28" i="8"/>
  <c r="C27" i="8"/>
  <c r="C26" i="8"/>
  <c r="H12" i="8"/>
  <c r="G12" i="8"/>
  <c r="H9" i="8"/>
  <c r="G9" i="8"/>
  <c r="H10" i="8"/>
  <c r="G10" i="8"/>
  <c r="H11" i="8"/>
  <c r="G11" i="8"/>
  <c r="H6" i="8"/>
  <c r="G6" i="8"/>
  <c r="H8" i="8"/>
  <c r="G8" i="8"/>
  <c r="C47" i="2"/>
  <c r="C25" i="9" s="1"/>
  <c r="C48" i="2"/>
  <c r="C41" i="9" s="1"/>
  <c r="C21" i="9"/>
  <c r="C37" i="9"/>
  <c r="D5" i="9"/>
  <c r="E5" i="9" s="1"/>
  <c r="B56" i="2"/>
  <c r="I39" i="7"/>
  <c r="I3" i="7"/>
  <c r="I21" i="7"/>
  <c r="Q139" i="2" l="1"/>
  <c r="P6" i="12" s="1"/>
  <c r="R138" i="2"/>
  <c r="Q6" i="10" s="1"/>
  <c r="N138" i="2"/>
  <c r="M6" i="10" s="1"/>
  <c r="P138" i="2"/>
  <c r="O6" i="10" s="1"/>
  <c r="O139" i="2"/>
  <c r="N6" i="12" s="1"/>
  <c r="J162" i="2"/>
  <c r="C18" i="8"/>
  <c r="C20" i="8"/>
  <c r="C19" i="8"/>
  <c r="C24" i="8"/>
  <c r="C23" i="8"/>
  <c r="C22" i="8"/>
  <c r="D37" i="9"/>
  <c r="E37" i="9" s="1"/>
  <c r="F37" i="9" s="1"/>
  <c r="D21" i="9"/>
  <c r="E21" i="9" s="1"/>
  <c r="F21" i="9" s="1"/>
  <c r="F5" i="9"/>
  <c r="K162" i="2" l="1"/>
  <c r="G5" i="9"/>
  <c r="G37" i="9"/>
  <c r="G21" i="9"/>
  <c r="L162" i="2" l="1"/>
  <c r="H5" i="9"/>
  <c r="C13" i="9" s="1"/>
  <c r="H37" i="9"/>
  <c r="H21" i="9"/>
  <c r="M162" i="2" l="1"/>
  <c r="N162" i="2" s="1"/>
  <c r="C29" i="9"/>
  <c r="C45" i="9"/>
  <c r="O162" i="2" l="1"/>
  <c r="P162" i="2" l="1"/>
  <c r="G15" i="1"/>
  <c r="I16" i="1" s="1"/>
  <c r="G28" i="8"/>
  <c r="G27" i="8"/>
  <c r="G26" i="8"/>
  <c r="G24" i="8"/>
  <c r="G23" i="8"/>
  <c r="G22" i="8"/>
  <c r="G19" i="8"/>
  <c r="G20" i="8"/>
  <c r="G18" i="8"/>
  <c r="Q162" i="2" l="1"/>
  <c r="B14" i="2"/>
  <c r="B13" i="2"/>
  <c r="B12" i="2"/>
  <c r="F53" i="7"/>
  <c r="F42" i="7"/>
  <c r="E61" i="7"/>
  <c r="F35" i="7"/>
  <c r="F24" i="7"/>
  <c r="F6" i="7"/>
  <c r="E60" i="7"/>
  <c r="E59" i="7"/>
  <c r="R162" i="2" l="1"/>
  <c r="B60" i="7"/>
  <c r="B61" i="7"/>
  <c r="B59" i="7"/>
  <c r="F17" i="7"/>
  <c r="C35" i="7"/>
  <c r="C24" i="7"/>
  <c r="C53" i="7"/>
  <c r="C42" i="7"/>
  <c r="B57" i="3"/>
  <c r="B43" i="3"/>
  <c r="G5" i="1"/>
  <c r="G6" i="1"/>
  <c r="G4" i="1"/>
  <c r="F10" i="1"/>
  <c r="D10" i="1"/>
  <c r="E5" i="1"/>
  <c r="E6" i="1"/>
  <c r="C5" i="1"/>
  <c r="E4" i="1"/>
  <c r="C4" i="1"/>
  <c r="D9" i="16"/>
  <c r="E9" i="16"/>
  <c r="F9" i="16"/>
  <c r="G9" i="16"/>
  <c r="D14" i="16"/>
  <c r="E14" i="16"/>
  <c r="F14" i="16"/>
  <c r="G14" i="16"/>
  <c r="D15" i="16"/>
  <c r="E15" i="16"/>
  <c r="F15" i="16"/>
  <c r="G15" i="16"/>
  <c r="D16" i="16"/>
  <c r="E16" i="16"/>
  <c r="F16" i="16"/>
  <c r="G16" i="16"/>
  <c r="D17" i="16"/>
  <c r="E17" i="16"/>
  <c r="F17" i="16"/>
  <c r="G17" i="16"/>
  <c r="D22" i="16"/>
  <c r="E22" i="16"/>
  <c r="E57" i="15" s="1"/>
  <c r="F22" i="16"/>
  <c r="F57" i="15" s="1"/>
  <c r="G22" i="16"/>
  <c r="G57" i="15" s="1"/>
  <c r="D23" i="16"/>
  <c r="E23" i="16"/>
  <c r="F23" i="16"/>
  <c r="G23" i="16"/>
  <c r="D24" i="16"/>
  <c r="E24" i="16"/>
  <c r="F24" i="16"/>
  <c r="G24" i="16"/>
  <c r="D25" i="16"/>
  <c r="E25" i="16"/>
  <c r="F25" i="16"/>
  <c r="G25" i="16"/>
  <c r="D26" i="16"/>
  <c r="E26" i="16"/>
  <c r="F26" i="16"/>
  <c r="G26" i="16"/>
  <c r="D29" i="16"/>
  <c r="E29" i="16"/>
  <c r="F29" i="16"/>
  <c r="G29" i="16"/>
  <c r="B41" i="16"/>
  <c r="B35" i="16"/>
  <c r="B34" i="16"/>
  <c r="C29" i="16"/>
  <c r="B29" i="16"/>
  <c r="C26" i="16"/>
  <c r="B26" i="16"/>
  <c r="C25" i="16"/>
  <c r="B25" i="16"/>
  <c r="C24" i="16"/>
  <c r="B24" i="16"/>
  <c r="C23" i="16"/>
  <c r="B23" i="16"/>
  <c r="C22" i="16"/>
  <c r="C57" i="15" s="1"/>
  <c r="B22" i="16"/>
  <c r="C17" i="16"/>
  <c r="C16" i="16"/>
  <c r="C15" i="16"/>
  <c r="C14" i="16"/>
  <c r="C9" i="16"/>
  <c r="B9" i="16"/>
  <c r="B8" i="16"/>
  <c r="B7" i="16"/>
  <c r="B5" i="16"/>
  <c r="B56" i="15"/>
  <c r="B42" i="15"/>
  <c r="B40" i="15"/>
  <c r="G38" i="15"/>
  <c r="F38" i="15"/>
  <c r="E38" i="15"/>
  <c r="D38" i="15"/>
  <c r="C38" i="15"/>
  <c r="B38" i="15"/>
  <c r="G37" i="15"/>
  <c r="F37" i="15"/>
  <c r="E37" i="15"/>
  <c r="D37" i="15"/>
  <c r="C37" i="15"/>
  <c r="B37" i="15"/>
  <c r="G36" i="15"/>
  <c r="F36" i="15"/>
  <c r="E36" i="15"/>
  <c r="D36" i="15"/>
  <c r="C36" i="15"/>
  <c r="B36" i="15"/>
  <c r="G33" i="15"/>
  <c r="F33" i="15"/>
  <c r="E33" i="15"/>
  <c r="D33" i="15"/>
  <c r="C33" i="15"/>
  <c r="B33" i="15"/>
  <c r="G35" i="15"/>
  <c r="F35" i="15"/>
  <c r="E35" i="15"/>
  <c r="D35" i="15"/>
  <c r="C35" i="15"/>
  <c r="B35" i="15"/>
  <c r="G34" i="15"/>
  <c r="F34" i="15"/>
  <c r="E34" i="15"/>
  <c r="D34" i="15"/>
  <c r="C34" i="15"/>
  <c r="B34" i="15"/>
  <c r="B29" i="15"/>
  <c r="B28" i="15"/>
  <c r="G27" i="15"/>
  <c r="F27" i="15"/>
  <c r="E27" i="15"/>
  <c r="D27" i="15"/>
  <c r="C27" i="15"/>
  <c r="B27" i="15"/>
  <c r="G26" i="15"/>
  <c r="F26" i="15"/>
  <c r="E26" i="15"/>
  <c r="D26" i="15"/>
  <c r="C26" i="15"/>
  <c r="B26" i="15"/>
  <c r="B24" i="15"/>
  <c r="G23" i="15"/>
  <c r="F23" i="15"/>
  <c r="E23" i="15"/>
  <c r="D23" i="15"/>
  <c r="C23" i="15"/>
  <c r="B23" i="15"/>
  <c r="G22" i="15"/>
  <c r="F22" i="15"/>
  <c r="E22" i="15"/>
  <c r="D22" i="15"/>
  <c r="C22" i="15"/>
  <c r="B22" i="15"/>
  <c r="G21" i="15"/>
  <c r="F21" i="15"/>
  <c r="E21" i="15"/>
  <c r="D21" i="15"/>
  <c r="C21" i="15"/>
  <c r="B21" i="15"/>
  <c r="B16" i="15"/>
  <c r="B15" i="15"/>
  <c r="G14" i="15"/>
  <c r="F14" i="15"/>
  <c r="E14" i="15"/>
  <c r="D14" i="15"/>
  <c r="C14" i="15"/>
  <c r="B14" i="15"/>
  <c r="G13" i="15"/>
  <c r="F13" i="15"/>
  <c r="E13" i="15"/>
  <c r="D13" i="15"/>
  <c r="C13" i="15"/>
  <c r="B13" i="15"/>
  <c r="G12" i="15"/>
  <c r="F12" i="15"/>
  <c r="E12" i="15"/>
  <c r="D12" i="15"/>
  <c r="C12" i="15"/>
  <c r="B12" i="15"/>
  <c r="B10" i="15"/>
  <c r="G9" i="15"/>
  <c r="F9" i="15"/>
  <c r="E9" i="15"/>
  <c r="D9" i="15"/>
  <c r="C9" i="15"/>
  <c r="B9" i="15"/>
  <c r="G8" i="15"/>
  <c r="F8" i="15"/>
  <c r="E8" i="15"/>
  <c r="D8" i="15"/>
  <c r="C8" i="15"/>
  <c r="B8" i="15"/>
  <c r="B7" i="15"/>
  <c r="B6" i="15"/>
  <c r="D8" i="14"/>
  <c r="E8" i="14"/>
  <c r="F8" i="14"/>
  <c r="G8" i="14"/>
  <c r="D9" i="14"/>
  <c r="E9" i="14"/>
  <c r="F9" i="14"/>
  <c r="G9" i="14"/>
  <c r="D12" i="14"/>
  <c r="E12" i="14"/>
  <c r="F12" i="14"/>
  <c r="G12" i="14"/>
  <c r="D13" i="14"/>
  <c r="E13" i="14"/>
  <c r="F13" i="14"/>
  <c r="G13" i="14"/>
  <c r="D14" i="14"/>
  <c r="E14" i="14"/>
  <c r="F14" i="14"/>
  <c r="G14" i="14"/>
  <c r="D21" i="14"/>
  <c r="E21" i="14"/>
  <c r="F21" i="14"/>
  <c r="G21" i="14"/>
  <c r="D22" i="14"/>
  <c r="E22" i="14"/>
  <c r="F22" i="14"/>
  <c r="G22" i="14"/>
  <c r="D23" i="14"/>
  <c r="E23" i="14"/>
  <c r="F23" i="14"/>
  <c r="G23" i="14"/>
  <c r="D26" i="14"/>
  <c r="E26" i="14"/>
  <c r="F26" i="14"/>
  <c r="G26" i="14"/>
  <c r="D27" i="14"/>
  <c r="E27" i="14"/>
  <c r="F27" i="14"/>
  <c r="G27" i="14"/>
  <c r="D34" i="14"/>
  <c r="E34" i="14"/>
  <c r="F34" i="14"/>
  <c r="G34" i="14"/>
  <c r="D35" i="14"/>
  <c r="E35" i="14"/>
  <c r="F35" i="14"/>
  <c r="G35" i="14"/>
  <c r="D33" i="14"/>
  <c r="E33" i="14"/>
  <c r="F33" i="14"/>
  <c r="G33" i="14"/>
  <c r="D36" i="14"/>
  <c r="E36" i="14"/>
  <c r="F36" i="14"/>
  <c r="G36" i="14"/>
  <c r="D37" i="14"/>
  <c r="E37" i="14"/>
  <c r="F37" i="14"/>
  <c r="G37" i="14"/>
  <c r="D38" i="14"/>
  <c r="E38" i="14"/>
  <c r="F38" i="14"/>
  <c r="G38" i="14"/>
  <c r="B56" i="14"/>
  <c r="B42" i="14"/>
  <c r="B40" i="14"/>
  <c r="C38" i="14"/>
  <c r="B38" i="14"/>
  <c r="C37" i="14"/>
  <c r="B37" i="14"/>
  <c r="C36" i="14"/>
  <c r="B36" i="14"/>
  <c r="C33" i="14"/>
  <c r="B33" i="14"/>
  <c r="C35" i="14"/>
  <c r="B35" i="14"/>
  <c r="C34" i="14"/>
  <c r="B34" i="14"/>
  <c r="B29" i="14"/>
  <c r="B28" i="14"/>
  <c r="C27" i="14"/>
  <c r="B27" i="14"/>
  <c r="C26" i="14"/>
  <c r="B26" i="14"/>
  <c r="B24" i="14"/>
  <c r="C23" i="14"/>
  <c r="B23" i="14"/>
  <c r="C22" i="14"/>
  <c r="B22" i="14"/>
  <c r="C21" i="14"/>
  <c r="B21" i="14"/>
  <c r="B16" i="14"/>
  <c r="B15" i="14"/>
  <c r="C14" i="14"/>
  <c r="B14" i="14"/>
  <c r="C13" i="14"/>
  <c r="B13" i="14"/>
  <c r="C12" i="14"/>
  <c r="B12" i="14"/>
  <c r="B10" i="14"/>
  <c r="C9" i="14"/>
  <c r="B9" i="14"/>
  <c r="C8" i="14"/>
  <c r="B8" i="14"/>
  <c r="B7" i="14"/>
  <c r="B6" i="14"/>
  <c r="D9" i="13"/>
  <c r="E9" i="13"/>
  <c r="F9" i="13"/>
  <c r="G9" i="13"/>
  <c r="D14" i="13"/>
  <c r="E14" i="13"/>
  <c r="F14" i="13"/>
  <c r="G14" i="13"/>
  <c r="D15" i="13"/>
  <c r="E15" i="13"/>
  <c r="F15" i="13"/>
  <c r="G15" i="13"/>
  <c r="D16" i="13"/>
  <c r="E16" i="13"/>
  <c r="F16" i="13"/>
  <c r="G16" i="13"/>
  <c r="D17" i="13"/>
  <c r="E17" i="13"/>
  <c r="F17" i="13"/>
  <c r="G17" i="13"/>
  <c r="D22" i="13"/>
  <c r="D57" i="14" s="1"/>
  <c r="E22" i="13"/>
  <c r="F22" i="13"/>
  <c r="F57" i="14" s="1"/>
  <c r="G22" i="13"/>
  <c r="G57" i="14" s="1"/>
  <c r="D23" i="13"/>
  <c r="E23" i="13"/>
  <c r="F23" i="13"/>
  <c r="G23" i="13"/>
  <c r="D24" i="13"/>
  <c r="E24" i="13"/>
  <c r="F24" i="13"/>
  <c r="G24" i="13"/>
  <c r="D25" i="13"/>
  <c r="E25" i="13"/>
  <c r="F25" i="13"/>
  <c r="G25" i="13"/>
  <c r="D26" i="13"/>
  <c r="E26" i="13"/>
  <c r="F26" i="13"/>
  <c r="G26" i="13"/>
  <c r="D29" i="13"/>
  <c r="E29" i="13"/>
  <c r="F29" i="13"/>
  <c r="G29" i="13"/>
  <c r="B41" i="13"/>
  <c r="B35" i="13"/>
  <c r="B34" i="13"/>
  <c r="C29" i="13"/>
  <c r="B29" i="13"/>
  <c r="C26" i="13"/>
  <c r="B26" i="13"/>
  <c r="C25" i="13"/>
  <c r="B25" i="13"/>
  <c r="C24" i="13"/>
  <c r="B24" i="13"/>
  <c r="C23" i="13"/>
  <c r="B23" i="13"/>
  <c r="C22" i="13"/>
  <c r="C57" i="14" s="1"/>
  <c r="B22" i="13"/>
  <c r="C17" i="13"/>
  <c r="C16" i="13"/>
  <c r="C15" i="13"/>
  <c r="C14" i="13"/>
  <c r="C9" i="13"/>
  <c r="B9" i="13"/>
  <c r="B8" i="13"/>
  <c r="B7" i="13"/>
  <c r="B5" i="13"/>
  <c r="G6" i="16"/>
  <c r="F6" i="16"/>
  <c r="E6" i="16"/>
  <c r="D55" i="15"/>
  <c r="C55" i="15"/>
  <c r="G13" i="16"/>
  <c r="F13" i="16"/>
  <c r="E13" i="16"/>
  <c r="D13" i="16"/>
  <c r="C54" i="15"/>
  <c r="B34" i="12"/>
  <c r="G31" i="12"/>
  <c r="G58" i="12" s="1"/>
  <c r="F31" i="12"/>
  <c r="F58" i="12" s="1"/>
  <c r="E31" i="12"/>
  <c r="E58" i="12" s="1"/>
  <c r="D31" i="12"/>
  <c r="D58" i="12" s="1"/>
  <c r="C31" i="12"/>
  <c r="C58" i="12" s="1"/>
  <c r="B31" i="12"/>
  <c r="B58" i="12" s="1"/>
  <c r="B25" i="12"/>
  <c r="G19" i="12"/>
  <c r="F19" i="12"/>
  <c r="E19" i="12"/>
  <c r="D19" i="12"/>
  <c r="C19" i="12"/>
  <c r="B19" i="12"/>
  <c r="G16" i="12"/>
  <c r="F16" i="12"/>
  <c r="E16" i="12"/>
  <c r="D16" i="12"/>
  <c r="C16" i="12"/>
  <c r="B16" i="12"/>
  <c r="G8" i="12"/>
  <c r="F8" i="12"/>
  <c r="E8" i="12"/>
  <c r="D8" i="12"/>
  <c r="C8" i="12"/>
  <c r="C53" i="15" s="1"/>
  <c r="G4" i="12"/>
  <c r="F4" i="12"/>
  <c r="E4" i="12"/>
  <c r="D4" i="12"/>
  <c r="C4" i="12"/>
  <c r="B4" i="12"/>
  <c r="G55" i="14"/>
  <c r="F55" i="14"/>
  <c r="E55" i="14"/>
  <c r="D55" i="14"/>
  <c r="C55" i="14"/>
  <c r="G54" i="14"/>
  <c r="F54" i="14"/>
  <c r="E54" i="14"/>
  <c r="D54" i="14"/>
  <c r="C13" i="13"/>
  <c r="B34" i="10"/>
  <c r="G31" i="10"/>
  <c r="G58" i="10" s="1"/>
  <c r="F31" i="10"/>
  <c r="F58" i="10" s="1"/>
  <c r="E31" i="10"/>
  <c r="E58" i="10" s="1"/>
  <c r="D31" i="10"/>
  <c r="D58" i="10" s="1"/>
  <c r="C31" i="10"/>
  <c r="C58" i="10" s="1"/>
  <c r="B31" i="10"/>
  <c r="B58" i="10" s="1"/>
  <c r="B25" i="10"/>
  <c r="G19" i="10"/>
  <c r="F19" i="10"/>
  <c r="E19" i="10"/>
  <c r="D19" i="10"/>
  <c r="C19" i="10"/>
  <c r="B19" i="10"/>
  <c r="G16" i="10"/>
  <c r="F16" i="10"/>
  <c r="E16" i="10"/>
  <c r="D16" i="10"/>
  <c r="C16" i="10"/>
  <c r="B16" i="10"/>
  <c r="G8" i="10"/>
  <c r="F8" i="10"/>
  <c r="E8" i="10"/>
  <c r="D8" i="10"/>
  <c r="C8" i="10"/>
  <c r="C53" i="14" s="1"/>
  <c r="G4" i="10"/>
  <c r="F4" i="10"/>
  <c r="E4" i="10"/>
  <c r="D4" i="10"/>
  <c r="C4" i="10"/>
  <c r="B4" i="10"/>
  <c r="C92" i="2"/>
  <c r="C81" i="2" s="1"/>
  <c r="C96" i="2"/>
  <c r="C115" i="2"/>
  <c r="C113" i="2" s="1"/>
  <c r="C116" i="2" s="1"/>
  <c r="C120" i="2"/>
  <c r="B39" i="2"/>
  <c r="B79" i="2" s="1"/>
  <c r="B269" i="2"/>
  <c r="B281" i="2"/>
  <c r="D281" i="2"/>
  <c r="E281" i="2"/>
  <c r="F281" i="2"/>
  <c r="G281" i="2"/>
  <c r="H281" i="2"/>
  <c r="B35" i="6"/>
  <c r="B34" i="6"/>
  <c r="B26" i="6"/>
  <c r="B25" i="6"/>
  <c r="B24" i="6"/>
  <c r="B23" i="6"/>
  <c r="B22" i="6"/>
  <c r="B57" i="14" s="1"/>
  <c r="B29" i="6"/>
  <c r="D29" i="6"/>
  <c r="E29" i="6"/>
  <c r="F29" i="6"/>
  <c r="G29" i="6"/>
  <c r="C29" i="6"/>
  <c r="B208" i="2"/>
  <c r="D208" i="2"/>
  <c r="E208" i="2"/>
  <c r="F208" i="2"/>
  <c r="G208" i="2"/>
  <c r="H208" i="2"/>
  <c r="B38" i="5"/>
  <c r="B37" i="5"/>
  <c r="B36" i="5"/>
  <c r="B33" i="5"/>
  <c r="B35" i="5"/>
  <c r="B34" i="5"/>
  <c r="P281" i="2" l="1"/>
  <c r="O281" i="2"/>
  <c r="N281" i="2"/>
  <c r="R281" i="2"/>
  <c r="Q281" i="2"/>
  <c r="Q208" i="2"/>
  <c r="P208" i="2"/>
  <c r="N208" i="2"/>
  <c r="R208" i="2"/>
  <c r="O208" i="2"/>
  <c r="C3" i="10" a="1"/>
  <c r="C3" i="15" a="1"/>
  <c r="C3" i="3" a="1"/>
  <c r="C3" i="14" a="1"/>
  <c r="C3" i="5" a="1"/>
  <c r="C3" i="12" a="1"/>
  <c r="C3" i="16" a="1"/>
  <c r="C3" i="13" a="1"/>
  <c r="C3" i="6" a="1"/>
  <c r="I208" i="2"/>
  <c r="K208" i="2"/>
  <c r="M208" i="2"/>
  <c r="J208" i="2"/>
  <c r="L208" i="2"/>
  <c r="I281" i="2"/>
  <c r="J281" i="2"/>
  <c r="K281" i="2"/>
  <c r="L281" i="2"/>
  <c r="M281" i="2"/>
  <c r="E40" i="14"/>
  <c r="C40" i="15"/>
  <c r="D48" i="10"/>
  <c r="D52" i="10"/>
  <c r="D45" i="10"/>
  <c r="C5" i="12"/>
  <c r="C45" i="12"/>
  <c r="C48" i="12"/>
  <c r="C52" i="12"/>
  <c r="D40" i="14"/>
  <c r="B9" i="12"/>
  <c r="B45" i="12"/>
  <c r="B52" i="12"/>
  <c r="B48" i="12"/>
  <c r="D48" i="12"/>
  <c r="D52" i="12"/>
  <c r="D45" i="12"/>
  <c r="F45" i="10"/>
  <c r="F52" i="10"/>
  <c r="F48" i="10"/>
  <c r="E52" i="12"/>
  <c r="E48" i="12"/>
  <c r="E45" i="12"/>
  <c r="G52" i="10"/>
  <c r="G45" i="10"/>
  <c r="G48" i="10"/>
  <c r="F45" i="12"/>
  <c r="F52" i="12"/>
  <c r="F48" i="12"/>
  <c r="G52" i="12"/>
  <c r="G45" i="12"/>
  <c r="G48" i="12"/>
  <c r="E40" i="15"/>
  <c r="C40" i="13"/>
  <c r="C45" i="10"/>
  <c r="C48" i="10"/>
  <c r="C52" i="10"/>
  <c r="E45" i="10"/>
  <c r="E48" i="10"/>
  <c r="E52" i="10"/>
  <c r="D40" i="15"/>
  <c r="G40" i="14"/>
  <c r="F40" i="15"/>
  <c r="B9" i="10"/>
  <c r="B48" i="10"/>
  <c r="B45" i="10"/>
  <c r="B52" i="10"/>
  <c r="C40" i="14"/>
  <c r="F40" i="14"/>
  <c r="G40" i="15"/>
  <c r="G53" i="15"/>
  <c r="G10" i="12"/>
  <c r="E10" i="10"/>
  <c r="F53" i="14"/>
  <c r="F10" i="10"/>
  <c r="D53" i="14"/>
  <c r="D10" i="10"/>
  <c r="G53" i="14"/>
  <c r="G10" i="10"/>
  <c r="D53" i="15"/>
  <c r="D10" i="12"/>
  <c r="F53" i="15"/>
  <c r="F10" i="12"/>
  <c r="E53" i="15"/>
  <c r="E10" i="12"/>
  <c r="C20" i="1"/>
  <c r="C25" i="1"/>
  <c r="D25" i="1"/>
  <c r="E25" i="1"/>
  <c r="F25" i="1"/>
  <c r="E10" i="1"/>
  <c r="F5" i="10"/>
  <c r="F6" i="10"/>
  <c r="G52" i="14"/>
  <c r="G6" i="10"/>
  <c r="D5" i="12"/>
  <c r="D6" i="12"/>
  <c r="E40" i="16"/>
  <c r="E6" i="12"/>
  <c r="G40" i="16"/>
  <c r="G6" i="12"/>
  <c r="F5" i="12"/>
  <c r="F6" i="12"/>
  <c r="D52" i="14"/>
  <c r="D6" i="10"/>
  <c r="E40" i="13"/>
  <c r="E6" i="10"/>
  <c r="C121" i="2"/>
  <c r="D22" i="8"/>
  <c r="D19" i="8"/>
  <c r="D18" i="8"/>
  <c r="D24" i="8"/>
  <c r="D23" i="8"/>
  <c r="D20" i="8"/>
  <c r="E27" i="16"/>
  <c r="G27" i="16"/>
  <c r="D18" i="16"/>
  <c r="F27" i="16"/>
  <c r="D40" i="16"/>
  <c r="D27" i="16"/>
  <c r="G54" i="15"/>
  <c r="D6" i="16"/>
  <c r="C52" i="15"/>
  <c r="F54" i="15"/>
  <c r="C6" i="16"/>
  <c r="G55" i="15"/>
  <c r="E54" i="15"/>
  <c r="C13" i="16"/>
  <c r="C18" i="16" s="1"/>
  <c r="F55" i="15"/>
  <c r="D54" i="15"/>
  <c r="C40" i="16"/>
  <c r="E55" i="15"/>
  <c r="G52" i="15"/>
  <c r="F52" i="15"/>
  <c r="G18" i="16"/>
  <c r="E52" i="15"/>
  <c r="F18" i="16"/>
  <c r="F40" i="16"/>
  <c r="D52" i="15"/>
  <c r="E18" i="16"/>
  <c r="E28" i="15"/>
  <c r="D57" i="15"/>
  <c r="E15" i="15"/>
  <c r="F28" i="15"/>
  <c r="C15" i="15"/>
  <c r="C24" i="15"/>
  <c r="B57" i="15"/>
  <c r="D15" i="15"/>
  <c r="D24" i="15"/>
  <c r="F15" i="15"/>
  <c r="F24" i="15"/>
  <c r="C28" i="15"/>
  <c r="D28" i="15"/>
  <c r="E24" i="15"/>
  <c r="C27" i="16"/>
  <c r="G15" i="15"/>
  <c r="G24" i="15"/>
  <c r="G28" i="15"/>
  <c r="F15" i="14"/>
  <c r="C28" i="14"/>
  <c r="D15" i="14"/>
  <c r="G24" i="14"/>
  <c r="F24" i="14"/>
  <c r="E28" i="14"/>
  <c r="G28" i="14"/>
  <c r="E9" i="10"/>
  <c r="G12" i="12"/>
  <c r="F28" i="14"/>
  <c r="E15" i="14"/>
  <c r="E27" i="13"/>
  <c r="F32" i="10"/>
  <c r="E57" i="14"/>
  <c r="E24" i="14"/>
  <c r="D24" i="14"/>
  <c r="F27" i="13"/>
  <c r="G15" i="14"/>
  <c r="F52" i="14"/>
  <c r="G9" i="12"/>
  <c r="C52" i="14"/>
  <c r="E52" i="14"/>
  <c r="F17" i="10"/>
  <c r="F32" i="12"/>
  <c r="C54" i="14"/>
  <c r="E53" i="14"/>
  <c r="D28" i="14"/>
  <c r="C15" i="14"/>
  <c r="C24" i="14"/>
  <c r="D27" i="13"/>
  <c r="G27" i="13"/>
  <c r="C18" i="13"/>
  <c r="G12" i="10"/>
  <c r="D17" i="10"/>
  <c r="F20" i="10"/>
  <c r="F17" i="12"/>
  <c r="C27" i="13"/>
  <c r="F12" i="12"/>
  <c r="F12" i="10"/>
  <c r="E12" i="12"/>
  <c r="D12" i="10"/>
  <c r="C20" i="12"/>
  <c r="G5" i="12"/>
  <c r="D20" i="12"/>
  <c r="D32" i="12"/>
  <c r="C9" i="10"/>
  <c r="G32" i="12"/>
  <c r="G40" i="13"/>
  <c r="E17" i="10"/>
  <c r="E20" i="10"/>
  <c r="C12" i="12"/>
  <c r="C13" i="12" s="1"/>
  <c r="F40" i="13"/>
  <c r="D40" i="13"/>
  <c r="D9" i="12"/>
  <c r="C17" i="12"/>
  <c r="B32" i="12"/>
  <c r="B35" i="12"/>
  <c r="C9" i="12"/>
  <c r="B23" i="10"/>
  <c r="G32" i="10"/>
  <c r="E9" i="12"/>
  <c r="D17" i="12"/>
  <c r="F20" i="12"/>
  <c r="B29" i="12"/>
  <c r="C6" i="13"/>
  <c r="E12" i="10"/>
  <c r="D5" i="10"/>
  <c r="F9" i="12"/>
  <c r="E5" i="10"/>
  <c r="B29" i="10"/>
  <c r="C32" i="12"/>
  <c r="E5" i="12"/>
  <c r="E32" i="12"/>
  <c r="E17" i="12"/>
  <c r="G20" i="12"/>
  <c r="E20" i="12"/>
  <c r="G17" i="12"/>
  <c r="B38" i="12"/>
  <c r="B23" i="12"/>
  <c r="B26" i="12"/>
  <c r="B13" i="12"/>
  <c r="B17" i="12"/>
  <c r="B20" i="12"/>
  <c r="B5" i="12"/>
  <c r="D12" i="12"/>
  <c r="C20" i="10"/>
  <c r="F9" i="10"/>
  <c r="D20" i="10"/>
  <c r="B35" i="10"/>
  <c r="C32" i="10"/>
  <c r="D9" i="10"/>
  <c r="B26" i="10"/>
  <c r="B32" i="10"/>
  <c r="G5" i="10"/>
  <c r="D32" i="10"/>
  <c r="C12" i="10"/>
  <c r="C17" i="10"/>
  <c r="E32" i="10"/>
  <c r="G9" i="10"/>
  <c r="G17" i="10"/>
  <c r="C5" i="10"/>
  <c r="G20" i="10"/>
  <c r="B38" i="10"/>
  <c r="B13" i="10"/>
  <c r="B17" i="10"/>
  <c r="B20" i="10"/>
  <c r="B5" i="10"/>
  <c r="C102" i="2"/>
  <c r="C103" i="2" s="1"/>
  <c r="C84" i="2"/>
  <c r="C99" i="2"/>
  <c r="C100" i="2" s="1"/>
  <c r="B94" i="2"/>
  <c r="C88" i="2"/>
  <c r="B109" i="2"/>
  <c r="C91" i="2"/>
  <c r="C86" i="2"/>
  <c r="B132" i="2"/>
  <c r="M9" i="6" l="1"/>
  <c r="N9" i="6"/>
  <c r="O9" i="6"/>
  <c r="P9" i="6"/>
  <c r="Q9" i="6"/>
  <c r="M9" i="13"/>
  <c r="N9" i="13"/>
  <c r="O9" i="13"/>
  <c r="P9" i="13"/>
  <c r="Q9" i="13"/>
  <c r="P9" i="16"/>
  <c r="O9" i="16"/>
  <c r="Q9" i="16"/>
  <c r="M9" i="16"/>
  <c r="N9" i="16"/>
  <c r="C3" i="13"/>
  <c r="H23" i="13"/>
  <c r="H22" i="14" s="1"/>
  <c r="H17" i="13"/>
  <c r="I9" i="13"/>
  <c r="H16" i="13"/>
  <c r="I16" i="13" s="1"/>
  <c r="J16" i="13" s="1"/>
  <c r="J9" i="13"/>
  <c r="H29" i="13"/>
  <c r="H15" i="13"/>
  <c r="K9" i="13"/>
  <c r="H26" i="13"/>
  <c r="H14" i="13"/>
  <c r="H24" i="13"/>
  <c r="I24" i="13" s="1"/>
  <c r="L9" i="13"/>
  <c r="H25" i="13"/>
  <c r="I25" i="13" s="1"/>
  <c r="J25" i="13" s="1"/>
  <c r="H9" i="13"/>
  <c r="C3" i="16"/>
  <c r="L9" i="16"/>
  <c r="H17" i="16"/>
  <c r="I17" i="16" s="1"/>
  <c r="K9" i="16"/>
  <c r="H16" i="16"/>
  <c r="I16" i="16" s="1"/>
  <c r="J16" i="16" s="1"/>
  <c r="H29" i="16"/>
  <c r="H15" i="16"/>
  <c r="I15" i="16" s="1"/>
  <c r="H26" i="16"/>
  <c r="H14" i="16"/>
  <c r="H25" i="16"/>
  <c r="I25" i="16" s="1"/>
  <c r="J25" i="16" s="1"/>
  <c r="I9" i="16"/>
  <c r="H24" i="16"/>
  <c r="H9" i="16"/>
  <c r="J9" i="16"/>
  <c r="H23" i="16"/>
  <c r="H22" i="15" s="1"/>
  <c r="C3" i="12"/>
  <c r="C3" i="5"/>
  <c r="C3" i="14"/>
  <c r="H37" i="14"/>
  <c r="I37" i="14" s="1"/>
  <c r="J37" i="14" s="1"/>
  <c r="K37" i="14" s="1"/>
  <c r="L37" i="14" s="1"/>
  <c r="M37" i="14" s="1"/>
  <c r="N37" i="14" s="1"/>
  <c r="O37" i="14" s="1"/>
  <c r="P37" i="14" s="1"/>
  <c r="Q37" i="14" s="1"/>
  <c r="H36" i="14"/>
  <c r="I36" i="14" s="1"/>
  <c r="J36" i="14" s="1"/>
  <c r="K36" i="14" s="1"/>
  <c r="L36" i="14" s="1"/>
  <c r="M36" i="14" s="1"/>
  <c r="N36" i="14" s="1"/>
  <c r="O36" i="14" s="1"/>
  <c r="P36" i="14" s="1"/>
  <c r="Q36" i="14" s="1"/>
  <c r="H35" i="14"/>
  <c r="I35" i="14" s="1"/>
  <c r="J35" i="14" s="1"/>
  <c r="K35" i="14" s="1"/>
  <c r="L35" i="14" s="1"/>
  <c r="M35" i="14" s="1"/>
  <c r="N35" i="14" s="1"/>
  <c r="O35" i="14" s="1"/>
  <c r="P35" i="14" s="1"/>
  <c r="Q35" i="14" s="1"/>
  <c r="H14" i="14"/>
  <c r="I14" i="14" s="1"/>
  <c r="J14" i="14" s="1"/>
  <c r="K14" i="14" s="1"/>
  <c r="L14" i="14" s="1"/>
  <c r="M14" i="14" s="1"/>
  <c r="N14" i="14" s="1"/>
  <c r="O14" i="14" s="1"/>
  <c r="P14" i="14" s="1"/>
  <c r="Q14" i="14" s="1"/>
  <c r="H38" i="14"/>
  <c r="I38" i="14" s="1"/>
  <c r="J38" i="14" s="1"/>
  <c r="K38" i="14" s="1"/>
  <c r="L38" i="14" s="1"/>
  <c r="M38" i="14" s="1"/>
  <c r="N38" i="14" s="1"/>
  <c r="O38" i="14" s="1"/>
  <c r="P38" i="14" s="1"/>
  <c r="Q38" i="14" s="1"/>
  <c r="H34" i="14"/>
  <c r="I34" i="14" s="1"/>
  <c r="J34" i="14" s="1"/>
  <c r="K34" i="14" s="1"/>
  <c r="L34" i="14" s="1"/>
  <c r="M34" i="14" s="1"/>
  <c r="N34" i="14" s="1"/>
  <c r="O34" i="14" s="1"/>
  <c r="P34" i="14" s="1"/>
  <c r="Q34" i="14" s="1"/>
  <c r="H13" i="14"/>
  <c r="I13" i="14" s="1"/>
  <c r="J13" i="14" s="1"/>
  <c r="K13" i="14" s="1"/>
  <c r="L13" i="14" s="1"/>
  <c r="M13" i="14" s="1"/>
  <c r="N13" i="14" s="1"/>
  <c r="O13" i="14" s="1"/>
  <c r="P13" i="14" s="1"/>
  <c r="Q13" i="14" s="1"/>
  <c r="H27" i="14"/>
  <c r="I27" i="14" s="1"/>
  <c r="J27" i="14" s="1"/>
  <c r="K27" i="14" s="1"/>
  <c r="L27" i="14" s="1"/>
  <c r="M27" i="14" s="1"/>
  <c r="N27" i="14" s="1"/>
  <c r="O27" i="14" s="1"/>
  <c r="P27" i="14" s="1"/>
  <c r="Q27" i="14" s="1"/>
  <c r="H26" i="14"/>
  <c r="I26" i="14" s="1"/>
  <c r="C3" i="3"/>
  <c r="C3" i="15"/>
  <c r="H37" i="15"/>
  <c r="I37" i="15" s="1"/>
  <c r="J37" i="15" s="1"/>
  <c r="K37" i="15" s="1"/>
  <c r="L37" i="15" s="1"/>
  <c r="M37" i="15" s="1"/>
  <c r="N37" i="15" s="1"/>
  <c r="O37" i="15" s="1"/>
  <c r="P37" i="15" s="1"/>
  <c r="Q37" i="15" s="1"/>
  <c r="H36" i="15"/>
  <c r="I36" i="15" s="1"/>
  <c r="J36" i="15" s="1"/>
  <c r="K36" i="15" s="1"/>
  <c r="L36" i="15" s="1"/>
  <c r="M36" i="15" s="1"/>
  <c r="N36" i="15" s="1"/>
  <c r="O36" i="15" s="1"/>
  <c r="P36" i="15" s="1"/>
  <c r="Q36" i="15" s="1"/>
  <c r="H35" i="15"/>
  <c r="I35" i="15" s="1"/>
  <c r="J35" i="15" s="1"/>
  <c r="K35" i="15" s="1"/>
  <c r="L35" i="15" s="1"/>
  <c r="M35" i="15" s="1"/>
  <c r="N35" i="15" s="1"/>
  <c r="O35" i="15" s="1"/>
  <c r="P35" i="15" s="1"/>
  <c r="Q35" i="15" s="1"/>
  <c r="H14" i="15"/>
  <c r="I14" i="15" s="1"/>
  <c r="J14" i="15" s="1"/>
  <c r="K14" i="15" s="1"/>
  <c r="L14" i="15" s="1"/>
  <c r="M14" i="15" s="1"/>
  <c r="N14" i="15" s="1"/>
  <c r="O14" i="15" s="1"/>
  <c r="P14" i="15" s="1"/>
  <c r="Q14" i="15" s="1"/>
  <c r="H34" i="15"/>
  <c r="I34" i="15" s="1"/>
  <c r="J34" i="15" s="1"/>
  <c r="K34" i="15" s="1"/>
  <c r="L34" i="15" s="1"/>
  <c r="M34" i="15" s="1"/>
  <c r="N34" i="15" s="1"/>
  <c r="O34" i="15" s="1"/>
  <c r="P34" i="15" s="1"/>
  <c r="Q34" i="15" s="1"/>
  <c r="H13" i="15"/>
  <c r="I13" i="15" s="1"/>
  <c r="H38" i="15"/>
  <c r="I38" i="15" s="1"/>
  <c r="J38" i="15" s="1"/>
  <c r="K38" i="15" s="1"/>
  <c r="L38" i="15" s="1"/>
  <c r="M38" i="15" s="1"/>
  <c r="N38" i="15" s="1"/>
  <c r="O38" i="15" s="1"/>
  <c r="P38" i="15" s="1"/>
  <c r="Q38" i="15" s="1"/>
  <c r="H27" i="15"/>
  <c r="I27" i="15" s="1"/>
  <c r="J27" i="15" s="1"/>
  <c r="K27" i="15" s="1"/>
  <c r="L27" i="15" s="1"/>
  <c r="M27" i="15" s="1"/>
  <c r="N27" i="15" s="1"/>
  <c r="O27" i="15" s="1"/>
  <c r="P27" i="15" s="1"/>
  <c r="Q27" i="15" s="1"/>
  <c r="H26" i="15"/>
  <c r="I26" i="15" s="1"/>
  <c r="C3" i="6"/>
  <c r="I9" i="6"/>
  <c r="J9" i="6"/>
  <c r="K9" i="6"/>
  <c r="L9" i="6"/>
  <c r="H29" i="6"/>
  <c r="I29" i="6" s="1"/>
  <c r="J29" i="6" s="1"/>
  <c r="H9" i="6"/>
  <c r="C3" i="10"/>
  <c r="E21" i="17"/>
  <c r="E39" i="17"/>
  <c r="E3" i="17"/>
  <c r="C57" i="2"/>
  <c r="C38" i="9" s="1"/>
  <c r="C41" i="17"/>
  <c r="C5" i="17"/>
  <c r="C23" i="17"/>
  <c r="D14" i="12"/>
  <c r="F22" i="12"/>
  <c r="F14" i="12"/>
  <c r="E13" i="12"/>
  <c r="E14" i="12"/>
  <c r="G13" i="12"/>
  <c r="G14" i="12"/>
  <c r="E22" i="10"/>
  <c r="E14" i="10"/>
  <c r="D22" i="10"/>
  <c r="D14" i="10"/>
  <c r="G13" i="10"/>
  <c r="G14" i="10"/>
  <c r="F22" i="10"/>
  <c r="F14" i="10"/>
  <c r="E7" i="7"/>
  <c r="B7" i="7"/>
  <c r="E4" i="7"/>
  <c r="B4" i="7"/>
  <c r="E29" i="15"/>
  <c r="E42" i="15" s="1"/>
  <c r="H39" i="7"/>
  <c r="H21" i="7"/>
  <c r="F29" i="15"/>
  <c r="F42" i="15" s="1"/>
  <c r="C29" i="15"/>
  <c r="C42" i="15" s="1"/>
  <c r="B3" i="14"/>
  <c r="B3" i="15"/>
  <c r="B3" i="16"/>
  <c r="D29" i="15"/>
  <c r="D42" i="15" s="1"/>
  <c r="G29" i="15"/>
  <c r="G42" i="15" s="1"/>
  <c r="C29" i="14"/>
  <c r="C42" i="14" s="1"/>
  <c r="G29" i="14"/>
  <c r="G42" i="14" s="1"/>
  <c r="F29" i="14"/>
  <c r="F42" i="14" s="1"/>
  <c r="G22" i="12"/>
  <c r="E29" i="14"/>
  <c r="E42" i="14" s="1"/>
  <c r="D29" i="14"/>
  <c r="D42" i="14" s="1"/>
  <c r="F13" i="12"/>
  <c r="G22" i="10"/>
  <c r="F13" i="10"/>
  <c r="B3" i="13"/>
  <c r="B3" i="10"/>
  <c r="B3" i="12"/>
  <c r="C22" i="12"/>
  <c r="D13" i="10"/>
  <c r="E22" i="12"/>
  <c r="E13" i="10"/>
  <c r="D22" i="12"/>
  <c r="D13" i="12"/>
  <c r="C13" i="10"/>
  <c r="C22" i="10"/>
  <c r="C104" i="2"/>
  <c r="C107" i="2" s="1"/>
  <c r="C123" i="2" s="1"/>
  <c r="I29" i="13" l="1"/>
  <c r="J29" i="13" s="1"/>
  <c r="K25" i="16"/>
  <c r="J17" i="16"/>
  <c r="K17" i="16" s="1"/>
  <c r="I17" i="13"/>
  <c r="J17" i="13" s="1"/>
  <c r="I23" i="13"/>
  <c r="I22" i="14" s="1"/>
  <c r="I24" i="16"/>
  <c r="K16" i="13"/>
  <c r="I28" i="14"/>
  <c r="J26" i="14"/>
  <c r="J15" i="16"/>
  <c r="I28" i="15"/>
  <c r="J26" i="15"/>
  <c r="J13" i="15"/>
  <c r="K13" i="15" s="1"/>
  <c r="L13" i="15" s="1"/>
  <c r="M13" i="15" s="1"/>
  <c r="N13" i="15" s="1"/>
  <c r="O13" i="15" s="1"/>
  <c r="P13" i="15" s="1"/>
  <c r="Q13" i="15" s="1"/>
  <c r="I15" i="13"/>
  <c r="K25" i="13"/>
  <c r="I14" i="13"/>
  <c r="J14" i="13" s="1"/>
  <c r="K29" i="6"/>
  <c r="I23" i="16"/>
  <c r="I22" i="15" s="1"/>
  <c r="I26" i="13"/>
  <c r="J26" i="13" s="1"/>
  <c r="I29" i="16"/>
  <c r="I26" i="16"/>
  <c r="K16" i="16"/>
  <c r="I14" i="16"/>
  <c r="J24" i="13"/>
  <c r="N28" i="17"/>
  <c r="L28" i="17"/>
  <c r="K28" i="17"/>
  <c r="M28" i="17"/>
  <c r="O28" i="17"/>
  <c r="N10" i="17"/>
  <c r="K10" i="17"/>
  <c r="O10" i="17"/>
  <c r="L10" i="17"/>
  <c r="M10" i="17"/>
  <c r="K46" i="17"/>
  <c r="N46" i="17"/>
  <c r="O46" i="17"/>
  <c r="L46" i="17"/>
  <c r="M46" i="17"/>
  <c r="D57" i="12"/>
  <c r="D59" i="12" s="1"/>
  <c r="D43" i="12"/>
  <c r="D53" i="12" s="1"/>
  <c r="E57" i="10"/>
  <c r="E59" i="10" s="1"/>
  <c r="E43" i="10"/>
  <c r="E53" i="10" s="1"/>
  <c r="G43" i="10"/>
  <c r="G53" i="10" s="1"/>
  <c r="G57" i="10"/>
  <c r="G59" i="10" s="1"/>
  <c r="F43" i="10"/>
  <c r="F53" i="10" s="1"/>
  <c r="F57" i="10"/>
  <c r="F59" i="10" s="1"/>
  <c r="E57" i="12"/>
  <c r="E59" i="12" s="1"/>
  <c r="E43" i="12"/>
  <c r="E53" i="12" s="1"/>
  <c r="C57" i="12"/>
  <c r="C59" i="12" s="1"/>
  <c r="C43" i="12"/>
  <c r="C53" i="12" s="1"/>
  <c r="C43" i="10"/>
  <c r="C53" i="10" s="1"/>
  <c r="C57" i="10"/>
  <c r="C59" i="10" s="1"/>
  <c r="D43" i="10"/>
  <c r="D53" i="10" s="1"/>
  <c r="D57" i="10"/>
  <c r="D59" i="10" s="1"/>
  <c r="F43" i="12"/>
  <c r="F53" i="12" s="1"/>
  <c r="F57" i="12"/>
  <c r="F59" i="12" s="1"/>
  <c r="G57" i="12"/>
  <c r="G59" i="12" s="1"/>
  <c r="G43" i="12"/>
  <c r="G53" i="12" s="1"/>
  <c r="C22" i="9"/>
  <c r="D22" i="9" s="1"/>
  <c r="F23" i="12"/>
  <c r="C6" i="9"/>
  <c r="C7" i="9" s="1"/>
  <c r="D23" i="10"/>
  <c r="F28" i="17"/>
  <c r="G28" i="17"/>
  <c r="I28" i="17"/>
  <c r="J28" i="17"/>
  <c r="H28" i="17"/>
  <c r="J46" i="17"/>
  <c r="G46" i="17"/>
  <c r="F46" i="17"/>
  <c r="I46" i="17"/>
  <c r="H46" i="17"/>
  <c r="I10" i="17"/>
  <c r="H10" i="17"/>
  <c r="G10" i="17"/>
  <c r="J10" i="17"/>
  <c r="F10" i="17"/>
  <c r="E23" i="10"/>
  <c r="F23" i="10"/>
  <c r="D38" i="9"/>
  <c r="C39" i="9"/>
  <c r="C46" i="9"/>
  <c r="C47" i="9" s="1"/>
  <c r="E22" i="7"/>
  <c r="E25" i="7"/>
  <c r="F41" i="7"/>
  <c r="F23" i="7"/>
  <c r="E43" i="7"/>
  <c r="E40" i="7"/>
  <c r="B25" i="7"/>
  <c r="B22" i="7"/>
  <c r="F5" i="7"/>
  <c r="B40" i="7"/>
  <c r="B43" i="7"/>
  <c r="E23" i="12"/>
  <c r="C23" i="12"/>
  <c r="C41" i="7"/>
  <c r="C23" i="7"/>
  <c r="G23" i="12"/>
  <c r="C5" i="7"/>
  <c r="G23" i="10"/>
  <c r="D23" i="12"/>
  <c r="C23" i="10"/>
  <c r="E269" i="2"/>
  <c r="D35" i="16" s="1"/>
  <c r="F269" i="2"/>
  <c r="E35" i="16" s="1"/>
  <c r="G269" i="2"/>
  <c r="F35" i="16" s="1"/>
  <c r="H269" i="2"/>
  <c r="G35" i="16" s="1"/>
  <c r="D269" i="2"/>
  <c r="B41" i="6"/>
  <c r="B246" i="2"/>
  <c r="D22" i="6"/>
  <c r="E22" i="6"/>
  <c r="F22" i="6"/>
  <c r="G22" i="6"/>
  <c r="D23" i="6"/>
  <c r="E23" i="6"/>
  <c r="F23" i="6"/>
  <c r="G23" i="6"/>
  <c r="D24" i="6"/>
  <c r="E24" i="6"/>
  <c r="F24" i="6"/>
  <c r="G24" i="6"/>
  <c r="D25" i="6"/>
  <c r="E25" i="6"/>
  <c r="F25" i="6"/>
  <c r="G25" i="6"/>
  <c r="D26" i="6"/>
  <c r="E26" i="6"/>
  <c r="F26" i="6"/>
  <c r="G26" i="6"/>
  <c r="C26" i="6"/>
  <c r="C25" i="6"/>
  <c r="C24" i="6"/>
  <c r="C23" i="6"/>
  <c r="C22" i="6"/>
  <c r="B56" i="5"/>
  <c r="B57" i="5"/>
  <c r="D14" i="6"/>
  <c r="E14" i="6"/>
  <c r="F14" i="6"/>
  <c r="G14" i="6"/>
  <c r="D15" i="6"/>
  <c r="E15" i="6"/>
  <c r="F15" i="6"/>
  <c r="G15" i="6"/>
  <c r="D16" i="6"/>
  <c r="E16" i="6"/>
  <c r="F16" i="6"/>
  <c r="G16" i="6"/>
  <c r="D17" i="6"/>
  <c r="E17" i="6"/>
  <c r="F17" i="6"/>
  <c r="G17" i="6"/>
  <c r="C17" i="6"/>
  <c r="C16" i="6"/>
  <c r="C15" i="6"/>
  <c r="C14" i="6"/>
  <c r="D34" i="5"/>
  <c r="E34" i="5"/>
  <c r="F34" i="5"/>
  <c r="G34" i="5"/>
  <c r="H34" i="5" s="1"/>
  <c r="I34" i="5" s="1"/>
  <c r="J34" i="5" s="1"/>
  <c r="K34" i="5" s="1"/>
  <c r="L34" i="5" s="1"/>
  <c r="M34" i="5" s="1"/>
  <c r="N34" i="5" s="1"/>
  <c r="O34" i="5" s="1"/>
  <c r="P34" i="5" s="1"/>
  <c r="Q34" i="5" s="1"/>
  <c r="D35" i="5"/>
  <c r="E35" i="5"/>
  <c r="F35" i="5"/>
  <c r="G35" i="5"/>
  <c r="H35" i="5" s="1"/>
  <c r="I35" i="5" s="1"/>
  <c r="J35" i="5" s="1"/>
  <c r="K35" i="5" s="1"/>
  <c r="L35" i="5" s="1"/>
  <c r="M35" i="5" s="1"/>
  <c r="N35" i="5" s="1"/>
  <c r="O35" i="5" s="1"/>
  <c r="P35" i="5" s="1"/>
  <c r="Q35" i="5" s="1"/>
  <c r="D33" i="5"/>
  <c r="E33" i="5"/>
  <c r="F33" i="5"/>
  <c r="G33" i="5"/>
  <c r="D36" i="5"/>
  <c r="E36" i="5"/>
  <c r="F36" i="5"/>
  <c r="G36" i="5"/>
  <c r="H36" i="5" s="1"/>
  <c r="I36" i="5" s="1"/>
  <c r="J36" i="5" s="1"/>
  <c r="K36" i="5" s="1"/>
  <c r="L36" i="5" s="1"/>
  <c r="M36" i="5" s="1"/>
  <c r="N36" i="5" s="1"/>
  <c r="O36" i="5" s="1"/>
  <c r="P36" i="5" s="1"/>
  <c r="Q36" i="5" s="1"/>
  <c r="D37" i="5"/>
  <c r="E37" i="5"/>
  <c r="F37" i="5"/>
  <c r="G37" i="5"/>
  <c r="H37" i="5" s="1"/>
  <c r="I37" i="5" s="1"/>
  <c r="J37" i="5" s="1"/>
  <c r="K37" i="5" s="1"/>
  <c r="L37" i="5" s="1"/>
  <c r="M37" i="5" s="1"/>
  <c r="N37" i="5" s="1"/>
  <c r="O37" i="5" s="1"/>
  <c r="P37" i="5" s="1"/>
  <c r="Q37" i="5" s="1"/>
  <c r="D38" i="5"/>
  <c r="E38" i="5"/>
  <c r="F38" i="5"/>
  <c r="G38" i="5"/>
  <c r="H38" i="5" s="1"/>
  <c r="I38" i="5" s="1"/>
  <c r="J38" i="5" s="1"/>
  <c r="K38" i="5" s="1"/>
  <c r="L38" i="5" s="1"/>
  <c r="M38" i="5" s="1"/>
  <c r="N38" i="5" s="1"/>
  <c r="O38" i="5" s="1"/>
  <c r="P38" i="5" s="1"/>
  <c r="Q38" i="5" s="1"/>
  <c r="C38" i="5"/>
  <c r="C37" i="5"/>
  <c r="C36" i="5"/>
  <c r="C35" i="5"/>
  <c r="C34" i="5"/>
  <c r="B42" i="5"/>
  <c r="B40" i="5"/>
  <c r="D21" i="5"/>
  <c r="E21" i="5"/>
  <c r="F21" i="5"/>
  <c r="G21" i="5"/>
  <c r="D22" i="5"/>
  <c r="E22" i="5"/>
  <c r="F22" i="5"/>
  <c r="G22" i="5"/>
  <c r="D23" i="5"/>
  <c r="E23" i="5"/>
  <c r="F23" i="5"/>
  <c r="G23" i="5"/>
  <c r="D26" i="5"/>
  <c r="E26" i="5"/>
  <c r="F26" i="5"/>
  <c r="G26" i="5"/>
  <c r="H26" i="5" s="1"/>
  <c r="I26" i="5" s="1"/>
  <c r="D27" i="5"/>
  <c r="E27" i="5"/>
  <c r="F27" i="5"/>
  <c r="G27" i="5"/>
  <c r="H27" i="5" s="1"/>
  <c r="I27" i="5" s="1"/>
  <c r="J27" i="5" s="1"/>
  <c r="K27" i="5" s="1"/>
  <c r="L27" i="5" s="1"/>
  <c r="M27" i="5" s="1"/>
  <c r="N27" i="5" s="1"/>
  <c r="O27" i="5" s="1"/>
  <c r="P27" i="5" s="1"/>
  <c r="Q27" i="5" s="1"/>
  <c r="C27" i="5"/>
  <c r="C26" i="5"/>
  <c r="C23" i="5"/>
  <c r="C22" i="5"/>
  <c r="C21" i="5"/>
  <c r="B27" i="5"/>
  <c r="B26" i="5"/>
  <c r="B23" i="5"/>
  <c r="B22" i="5"/>
  <c r="B21" i="5"/>
  <c r="B29" i="5"/>
  <c r="B28" i="5"/>
  <c r="B24" i="5"/>
  <c r="B16" i="5"/>
  <c r="B15" i="5"/>
  <c r="D13" i="5"/>
  <c r="E13" i="5"/>
  <c r="F13" i="5"/>
  <c r="G13" i="5"/>
  <c r="H13" i="5" s="1"/>
  <c r="I13" i="5" s="1"/>
  <c r="J13" i="5" s="1"/>
  <c r="K13" i="5" s="1"/>
  <c r="L13" i="5" s="1"/>
  <c r="M13" i="5" s="1"/>
  <c r="N13" i="5" s="1"/>
  <c r="O13" i="5" s="1"/>
  <c r="P13" i="5" s="1"/>
  <c r="Q13" i="5" s="1"/>
  <c r="D14" i="5"/>
  <c r="E14" i="5"/>
  <c r="F14" i="5"/>
  <c r="G14" i="5"/>
  <c r="H14" i="5" s="1"/>
  <c r="I14" i="5" s="1"/>
  <c r="J14" i="5" s="1"/>
  <c r="K14" i="5" s="1"/>
  <c r="L14" i="5" s="1"/>
  <c r="M14" i="5" s="1"/>
  <c r="N14" i="5" s="1"/>
  <c r="O14" i="5" s="1"/>
  <c r="P14" i="5" s="1"/>
  <c r="Q14" i="5" s="1"/>
  <c r="C14" i="5"/>
  <c r="C13" i="5"/>
  <c r="B14" i="5"/>
  <c r="B13" i="5"/>
  <c r="D12" i="5"/>
  <c r="E12" i="5"/>
  <c r="F12" i="5"/>
  <c r="G12" i="5"/>
  <c r="C12" i="5"/>
  <c r="B12" i="5"/>
  <c r="D8" i="5"/>
  <c r="E8" i="5"/>
  <c r="F8" i="5"/>
  <c r="G8" i="5"/>
  <c r="D9" i="5"/>
  <c r="E9" i="5"/>
  <c r="F9" i="5"/>
  <c r="G9" i="5"/>
  <c r="C9" i="5"/>
  <c r="C8" i="5"/>
  <c r="B10" i="5"/>
  <c r="B9" i="5"/>
  <c r="B8" i="5"/>
  <c r="B7" i="5"/>
  <c r="B6" i="5"/>
  <c r="E230" i="2"/>
  <c r="F230" i="2"/>
  <c r="G230" i="2"/>
  <c r="H230" i="2"/>
  <c r="D230" i="2"/>
  <c r="B230" i="2"/>
  <c r="D9" i="6"/>
  <c r="E9" i="6"/>
  <c r="F9" i="6"/>
  <c r="G9" i="6"/>
  <c r="C9" i="6"/>
  <c r="B221" i="2"/>
  <c r="B217" i="2"/>
  <c r="B215" i="2"/>
  <c r="D8" i="16"/>
  <c r="E8" i="16"/>
  <c r="F8" i="16"/>
  <c r="G8" i="16"/>
  <c r="C8" i="16"/>
  <c r="E217" i="2"/>
  <c r="F217" i="2"/>
  <c r="G217" i="2"/>
  <c r="H217" i="2"/>
  <c r="E221" i="2"/>
  <c r="F221" i="2"/>
  <c r="G221" i="2"/>
  <c r="H221" i="2"/>
  <c r="D221" i="2"/>
  <c r="D217" i="2"/>
  <c r="E215" i="2"/>
  <c r="F215" i="2"/>
  <c r="G215" i="2"/>
  <c r="H215" i="2"/>
  <c r="D215" i="2"/>
  <c r="B220" i="2"/>
  <c r="B216" i="2"/>
  <c r="B214" i="2"/>
  <c r="B9" i="6"/>
  <c r="B8" i="6"/>
  <c r="B5" i="6"/>
  <c r="E206" i="2"/>
  <c r="D7" i="16" s="1"/>
  <c r="F206" i="2"/>
  <c r="E7" i="16" s="1"/>
  <c r="G206" i="2"/>
  <c r="F7" i="16" s="1"/>
  <c r="H206" i="2"/>
  <c r="G7" i="16" s="1"/>
  <c r="D206" i="2"/>
  <c r="C7" i="16" s="1"/>
  <c r="B7" i="6"/>
  <c r="E284" i="2"/>
  <c r="F284" i="2"/>
  <c r="G284" i="2"/>
  <c r="H284" i="2"/>
  <c r="D284" i="2"/>
  <c r="C7" i="15" s="1"/>
  <c r="B285" i="2"/>
  <c r="C264" i="2"/>
  <c r="D44" i="3"/>
  <c r="E44" i="3"/>
  <c r="F44" i="3"/>
  <c r="G44" i="3"/>
  <c r="C44" i="3"/>
  <c r="C13" i="6" s="1"/>
  <c r="B44" i="3"/>
  <c r="B54" i="15" s="1"/>
  <c r="D47" i="3"/>
  <c r="E47" i="3"/>
  <c r="F47" i="3"/>
  <c r="G47" i="3"/>
  <c r="D51" i="3"/>
  <c r="E51" i="3"/>
  <c r="F51" i="3"/>
  <c r="G51" i="3"/>
  <c r="C51" i="3"/>
  <c r="C47" i="3"/>
  <c r="C6" i="6" s="1"/>
  <c r="B51" i="3"/>
  <c r="B47" i="3"/>
  <c r="E192" i="2"/>
  <c r="F192" i="2"/>
  <c r="G192" i="2"/>
  <c r="H192" i="2"/>
  <c r="D192" i="2"/>
  <c r="B192" i="2"/>
  <c r="H196" i="2"/>
  <c r="G196" i="2"/>
  <c r="F196" i="2"/>
  <c r="E196" i="2"/>
  <c r="D196" i="2"/>
  <c r="B196" i="2"/>
  <c r="B151" i="2"/>
  <c r="B147" i="2"/>
  <c r="B34" i="3"/>
  <c r="E179" i="2"/>
  <c r="E177" i="2" s="1"/>
  <c r="F179" i="2"/>
  <c r="F177" i="2" s="1"/>
  <c r="G179" i="2"/>
  <c r="G177" i="2" s="1"/>
  <c r="H179" i="2"/>
  <c r="H177" i="2" s="1"/>
  <c r="D179" i="2"/>
  <c r="D177" i="2" s="1"/>
  <c r="B31" i="3"/>
  <c r="B58" i="3" s="1"/>
  <c r="E31" i="3"/>
  <c r="E58" i="3" s="1"/>
  <c r="F31" i="3"/>
  <c r="F58" i="3" s="1"/>
  <c r="G31" i="3"/>
  <c r="G58" i="3" s="1"/>
  <c r="C31" i="3"/>
  <c r="C58" i="3" s="1"/>
  <c r="B25" i="3"/>
  <c r="E154" i="2"/>
  <c r="D25" i="12" s="1"/>
  <c r="D26" i="12" s="1"/>
  <c r="F154" i="2"/>
  <c r="E25" i="12" s="1"/>
  <c r="G154" i="2"/>
  <c r="F25" i="12" s="1"/>
  <c r="H154" i="2"/>
  <c r="G25" i="12" s="1"/>
  <c r="C25" i="12"/>
  <c r="B155" i="2"/>
  <c r="D16" i="3"/>
  <c r="E16" i="3"/>
  <c r="F16" i="3"/>
  <c r="G16" i="3"/>
  <c r="D19" i="3"/>
  <c r="E19" i="3"/>
  <c r="F19" i="3"/>
  <c r="G19" i="3"/>
  <c r="C19" i="3"/>
  <c r="C16" i="3"/>
  <c r="B19" i="3"/>
  <c r="B16" i="3"/>
  <c r="D8" i="3"/>
  <c r="E8" i="3"/>
  <c r="F8" i="3"/>
  <c r="G8" i="3"/>
  <c r="C8" i="3"/>
  <c r="C53" i="5" s="1"/>
  <c r="D4" i="3"/>
  <c r="E4" i="3"/>
  <c r="F4" i="3"/>
  <c r="G4" i="3"/>
  <c r="C4" i="3"/>
  <c r="C5" i="3" s="1"/>
  <c r="B4" i="3"/>
  <c r="B166" i="2"/>
  <c r="E156" i="2"/>
  <c r="E166" i="2" s="1"/>
  <c r="E167" i="2" s="1"/>
  <c r="F156" i="2"/>
  <c r="F166" i="2" s="1"/>
  <c r="F167" i="2" s="1"/>
  <c r="G156" i="2"/>
  <c r="G166" i="2" s="1"/>
  <c r="G167" i="2" s="1"/>
  <c r="H156" i="2"/>
  <c r="H166" i="2" s="1"/>
  <c r="H167" i="2" s="1"/>
  <c r="B278" i="2"/>
  <c r="H188" i="2"/>
  <c r="G188" i="2"/>
  <c r="F188" i="2"/>
  <c r="E188" i="2"/>
  <c r="D188" i="2"/>
  <c r="H151" i="2"/>
  <c r="G151" i="2"/>
  <c r="F151" i="2"/>
  <c r="E151" i="2"/>
  <c r="D151" i="2"/>
  <c r="H147" i="2"/>
  <c r="G147" i="2"/>
  <c r="F147" i="2"/>
  <c r="E147" i="2"/>
  <c r="D147" i="2"/>
  <c r="E143" i="2"/>
  <c r="F143" i="2"/>
  <c r="G143" i="2"/>
  <c r="H143" i="2"/>
  <c r="D143" i="2"/>
  <c r="B188" i="2"/>
  <c r="B143" i="2"/>
  <c r="F137" i="2"/>
  <c r="G137" i="2"/>
  <c r="H137" i="2"/>
  <c r="E137" i="2"/>
  <c r="B142" i="2"/>
  <c r="B8" i="12" s="1"/>
  <c r="M137" i="2" l="1"/>
  <c r="K137" i="2"/>
  <c r="I137" i="2"/>
  <c r="H23" i="5" s="1"/>
  <c r="L137" i="2"/>
  <c r="J137" i="2"/>
  <c r="K29" i="13"/>
  <c r="J23" i="13"/>
  <c r="K23" i="13" s="1"/>
  <c r="N196" i="2"/>
  <c r="Q196" i="2"/>
  <c r="R196" i="2"/>
  <c r="P196" i="2"/>
  <c r="O196" i="2"/>
  <c r="P215" i="2"/>
  <c r="O215" i="2"/>
  <c r="Q215" i="2"/>
  <c r="N215" i="2"/>
  <c r="R215" i="2"/>
  <c r="J15" i="13"/>
  <c r="K15" i="13" s="1"/>
  <c r="L16" i="13"/>
  <c r="R147" i="2"/>
  <c r="Q147" i="2"/>
  <c r="N147" i="2"/>
  <c r="P147" i="2"/>
  <c r="O147" i="2"/>
  <c r="O143" i="2"/>
  <c r="N143" i="2"/>
  <c r="P143" i="2"/>
  <c r="Q143" i="2"/>
  <c r="R143" i="2"/>
  <c r="L17" i="16"/>
  <c r="M17" i="16" s="1"/>
  <c r="N188" i="2"/>
  <c r="P188" i="2"/>
  <c r="O188" i="2"/>
  <c r="R188" i="2"/>
  <c r="Q188" i="2"/>
  <c r="K24" i="13"/>
  <c r="L24" i="13" s="1"/>
  <c r="M24" i="13" s="1"/>
  <c r="J24" i="16"/>
  <c r="J14" i="16"/>
  <c r="K14" i="16" s="1"/>
  <c r="L14" i="16" s="1"/>
  <c r="R217" i="2"/>
  <c r="Q217" i="2"/>
  <c r="P217" i="2"/>
  <c r="O217" i="2"/>
  <c r="N217" i="2"/>
  <c r="O230" i="2"/>
  <c r="N230" i="2"/>
  <c r="P230" i="2"/>
  <c r="Q230" i="2"/>
  <c r="R230" i="2"/>
  <c r="L16" i="16"/>
  <c r="M16" i="16" s="1"/>
  <c r="N16" i="16" s="1"/>
  <c r="L29" i="6"/>
  <c r="P151" i="2"/>
  <c r="Q151" i="2"/>
  <c r="N151" i="2"/>
  <c r="O151" i="2"/>
  <c r="R151" i="2"/>
  <c r="D10" i="3"/>
  <c r="N192" i="2"/>
  <c r="R192" i="2"/>
  <c r="O192" i="2"/>
  <c r="P192" i="2"/>
  <c r="Q192" i="2"/>
  <c r="O221" i="2"/>
  <c r="P221" i="2"/>
  <c r="R221" i="2"/>
  <c r="Q221" i="2"/>
  <c r="N221" i="2"/>
  <c r="N269" i="2"/>
  <c r="Q269" i="2"/>
  <c r="R269" i="2"/>
  <c r="O269" i="2"/>
  <c r="P269" i="2"/>
  <c r="L25" i="16"/>
  <c r="M25" i="16" s="1"/>
  <c r="K15" i="16"/>
  <c r="L15" i="16" s="1"/>
  <c r="K26" i="13"/>
  <c r="L26" i="13" s="1"/>
  <c r="K17" i="13"/>
  <c r="H25" i="6"/>
  <c r="H8" i="16"/>
  <c r="H16" i="6"/>
  <c r="H26" i="6"/>
  <c r="I26" i="6" s="1"/>
  <c r="J26" i="6" s="1"/>
  <c r="H17" i="6"/>
  <c r="J26" i="16"/>
  <c r="L25" i="13"/>
  <c r="J23" i="16"/>
  <c r="K14" i="13"/>
  <c r="L14" i="13" s="1"/>
  <c r="G10" i="3"/>
  <c r="K26" i="14"/>
  <c r="J28" i="14"/>
  <c r="F10" i="3"/>
  <c r="H23" i="6"/>
  <c r="I160" i="2" s="1"/>
  <c r="I157" i="2" s="1"/>
  <c r="K26" i="15"/>
  <c r="J28" i="15"/>
  <c r="E10" i="3"/>
  <c r="H14" i="6"/>
  <c r="H24" i="6"/>
  <c r="J29" i="16"/>
  <c r="I28" i="5"/>
  <c r="J26" i="5"/>
  <c r="H15" i="6"/>
  <c r="I15" i="6" s="1"/>
  <c r="M143" i="2"/>
  <c r="K143" i="2"/>
  <c r="I143" i="2"/>
  <c r="L143" i="2"/>
  <c r="J143" i="2"/>
  <c r="M217" i="2"/>
  <c r="I217" i="2"/>
  <c r="L217" i="2"/>
  <c r="K217" i="2"/>
  <c r="J217" i="2"/>
  <c r="J230" i="2"/>
  <c r="K230" i="2"/>
  <c r="M230" i="2"/>
  <c r="L230" i="2"/>
  <c r="I230" i="2"/>
  <c r="K188" i="2"/>
  <c r="M188" i="2"/>
  <c r="L188" i="2"/>
  <c r="I188" i="2"/>
  <c r="J188" i="2"/>
  <c r="K196" i="2"/>
  <c r="L196" i="2"/>
  <c r="J196" i="2"/>
  <c r="M196" i="2"/>
  <c r="I196" i="2"/>
  <c r="M221" i="2"/>
  <c r="L221" i="2"/>
  <c r="J221" i="2"/>
  <c r="I221" i="2"/>
  <c r="K221" i="2"/>
  <c r="I215" i="2"/>
  <c r="M215" i="2"/>
  <c r="K215" i="2"/>
  <c r="J215" i="2"/>
  <c r="L215" i="2"/>
  <c r="I269" i="2"/>
  <c r="K269" i="2"/>
  <c r="L269" i="2"/>
  <c r="J269" i="2"/>
  <c r="M269" i="2"/>
  <c r="M151" i="2"/>
  <c r="K151" i="2"/>
  <c r="L151" i="2"/>
  <c r="J151" i="2"/>
  <c r="I151" i="2"/>
  <c r="I147" i="2"/>
  <c r="K147" i="2"/>
  <c r="J147" i="2"/>
  <c r="M147" i="2"/>
  <c r="L147" i="2"/>
  <c r="K192" i="2"/>
  <c r="J192" i="2"/>
  <c r="L192" i="2"/>
  <c r="M192" i="2"/>
  <c r="I192" i="2"/>
  <c r="C35" i="16"/>
  <c r="N17" i="7"/>
  <c r="Q17" i="7"/>
  <c r="O17" i="7"/>
  <c r="P17" i="7"/>
  <c r="R17" i="7"/>
  <c r="O35" i="7"/>
  <c r="P35" i="7"/>
  <c r="Q35" i="7"/>
  <c r="R35" i="7"/>
  <c r="N35" i="7"/>
  <c r="P53" i="7"/>
  <c r="O53" i="7"/>
  <c r="Q53" i="7"/>
  <c r="R53" i="7"/>
  <c r="N53" i="7"/>
  <c r="C30" i="9"/>
  <c r="C31" i="9" s="1"/>
  <c r="C23" i="9"/>
  <c r="C34" i="12"/>
  <c r="C35" i="12" s="1"/>
  <c r="D178" i="2"/>
  <c r="G34" i="12"/>
  <c r="G35" i="12" s="1"/>
  <c r="H178" i="2"/>
  <c r="F34" i="12"/>
  <c r="F35" i="12" s="1"/>
  <c r="G178" i="2"/>
  <c r="E34" i="12"/>
  <c r="E35" i="12" s="1"/>
  <c r="F178" i="2"/>
  <c r="D34" i="12"/>
  <c r="D35" i="12" s="1"/>
  <c r="E178" i="2"/>
  <c r="D7" i="9"/>
  <c r="E7" i="9"/>
  <c r="F7" i="9"/>
  <c r="G7" i="9"/>
  <c r="H7" i="9"/>
  <c r="L6" i="3"/>
  <c r="D40" i="5"/>
  <c r="F40" i="5"/>
  <c r="E40" i="5"/>
  <c r="G40" i="5"/>
  <c r="F6" i="3"/>
  <c r="C14" i="7"/>
  <c r="C32" i="17"/>
  <c r="C14" i="17"/>
  <c r="C50" i="17"/>
  <c r="E38" i="9"/>
  <c r="D39" i="9"/>
  <c r="G6" i="3"/>
  <c r="E22" i="9"/>
  <c r="D23" i="9"/>
  <c r="C14" i="9"/>
  <c r="C15" i="9" s="1"/>
  <c r="M35" i="7"/>
  <c r="J35" i="7"/>
  <c r="K35" i="7"/>
  <c r="L35" i="7"/>
  <c r="I35" i="7"/>
  <c r="L53" i="7"/>
  <c r="M53" i="7"/>
  <c r="K53" i="7"/>
  <c r="J53" i="7"/>
  <c r="I53" i="7"/>
  <c r="E6" i="3"/>
  <c r="L17" i="7"/>
  <c r="I17" i="7"/>
  <c r="M17" i="7"/>
  <c r="J17" i="7"/>
  <c r="K17" i="7"/>
  <c r="D6" i="3"/>
  <c r="F5" i="3"/>
  <c r="E5" i="3"/>
  <c r="D40" i="6"/>
  <c r="F50" i="7"/>
  <c r="F32" i="7"/>
  <c r="F14" i="7"/>
  <c r="C32" i="7"/>
  <c r="C50" i="7"/>
  <c r="G5" i="3"/>
  <c r="B55" i="14"/>
  <c r="B6" i="16"/>
  <c r="B55" i="15"/>
  <c r="F13" i="13"/>
  <c r="F18" i="13" s="1"/>
  <c r="E7" i="14"/>
  <c r="E7" i="15"/>
  <c r="E7" i="13"/>
  <c r="G8" i="13"/>
  <c r="G13" i="13"/>
  <c r="G18" i="13" s="1"/>
  <c r="G6" i="13"/>
  <c r="E13" i="13"/>
  <c r="E18" i="13" s="1"/>
  <c r="D7" i="14"/>
  <c r="D7" i="15"/>
  <c r="D7" i="13"/>
  <c r="F8" i="13"/>
  <c r="F6" i="13"/>
  <c r="D13" i="13"/>
  <c r="D18" i="13" s="1"/>
  <c r="E8" i="13"/>
  <c r="G35" i="13"/>
  <c r="E6" i="13"/>
  <c r="D8" i="13"/>
  <c r="F35" i="13"/>
  <c r="D6" i="13"/>
  <c r="E35" i="13"/>
  <c r="F7" i="14"/>
  <c r="F7" i="15"/>
  <c r="B52" i="14"/>
  <c r="B40" i="16"/>
  <c r="B52" i="15"/>
  <c r="D35" i="13"/>
  <c r="F7" i="13"/>
  <c r="G7" i="14"/>
  <c r="G7" i="15"/>
  <c r="G7" i="13"/>
  <c r="B49" i="3"/>
  <c r="B54" i="14"/>
  <c r="G7" i="5"/>
  <c r="E7" i="5"/>
  <c r="C7" i="5"/>
  <c r="C7" i="14"/>
  <c r="D7" i="5"/>
  <c r="F7" i="5"/>
  <c r="G57" i="5"/>
  <c r="C57" i="5"/>
  <c r="F57" i="5"/>
  <c r="E57" i="5"/>
  <c r="D7" i="6"/>
  <c r="F8" i="6"/>
  <c r="C35" i="6"/>
  <c r="C35" i="13"/>
  <c r="E8" i="6"/>
  <c r="G35" i="6"/>
  <c r="D8" i="6"/>
  <c r="F35" i="6"/>
  <c r="E35" i="6"/>
  <c r="C7" i="6"/>
  <c r="C7" i="13"/>
  <c r="D35" i="6"/>
  <c r="G7" i="6"/>
  <c r="F7" i="6"/>
  <c r="E7" i="6"/>
  <c r="G8" i="6"/>
  <c r="C8" i="6"/>
  <c r="C8" i="13"/>
  <c r="G26" i="12"/>
  <c r="G28" i="12"/>
  <c r="F26" i="12"/>
  <c r="F28" i="12"/>
  <c r="B6" i="6"/>
  <c r="B6" i="13"/>
  <c r="F13" i="6"/>
  <c r="F18" i="6" s="1"/>
  <c r="D28" i="12"/>
  <c r="D29" i="12" s="1"/>
  <c r="E26" i="12"/>
  <c r="E28" i="12"/>
  <c r="G6" i="6"/>
  <c r="E13" i="6"/>
  <c r="E18" i="6" s="1"/>
  <c r="F6" i="6"/>
  <c r="D13" i="6"/>
  <c r="D18" i="6" s="1"/>
  <c r="E6" i="6"/>
  <c r="D6" i="6"/>
  <c r="B17" i="3"/>
  <c r="B40" i="13"/>
  <c r="C26" i="12"/>
  <c r="C28" i="12"/>
  <c r="G13" i="6"/>
  <c r="G18" i="6" s="1"/>
  <c r="E25" i="10"/>
  <c r="C34" i="10"/>
  <c r="C35" i="10" s="1"/>
  <c r="F34" i="10"/>
  <c r="F35" i="10" s="1"/>
  <c r="D25" i="10"/>
  <c r="G34" i="3"/>
  <c r="G35" i="3" s="1"/>
  <c r="G34" i="10"/>
  <c r="G35" i="10" s="1"/>
  <c r="C25" i="3"/>
  <c r="C26" i="3" s="1"/>
  <c r="C25" i="10"/>
  <c r="E34" i="3"/>
  <c r="E35" i="3" s="1"/>
  <c r="E34" i="10"/>
  <c r="E35" i="10" s="1"/>
  <c r="G25" i="3"/>
  <c r="G26" i="3" s="1"/>
  <c r="G25" i="10"/>
  <c r="D34" i="3"/>
  <c r="D35" i="3" s="1"/>
  <c r="D34" i="10"/>
  <c r="D35" i="10" s="1"/>
  <c r="B8" i="10"/>
  <c r="F25" i="10"/>
  <c r="D53" i="5"/>
  <c r="E53" i="5"/>
  <c r="F53" i="5"/>
  <c r="G53" i="5"/>
  <c r="B8" i="3"/>
  <c r="B53" i="15" s="1"/>
  <c r="G52" i="5"/>
  <c r="F52" i="5"/>
  <c r="E52" i="5"/>
  <c r="D52" i="5"/>
  <c r="C52" i="5"/>
  <c r="B52" i="5"/>
  <c r="C18" i="6"/>
  <c r="D55" i="5"/>
  <c r="C54" i="5"/>
  <c r="G27" i="6"/>
  <c r="F27" i="6"/>
  <c r="E27" i="6"/>
  <c r="D27" i="6"/>
  <c r="B54" i="5"/>
  <c r="C55" i="5"/>
  <c r="C27" i="6"/>
  <c r="B55" i="5"/>
  <c r="G54" i="5"/>
  <c r="G55" i="5"/>
  <c r="F54" i="5"/>
  <c r="F55" i="5"/>
  <c r="E54" i="5"/>
  <c r="D57" i="5"/>
  <c r="E55" i="5"/>
  <c r="D54" i="5"/>
  <c r="C28" i="5"/>
  <c r="E28" i="5"/>
  <c r="G28" i="5"/>
  <c r="E24" i="5"/>
  <c r="D24" i="5"/>
  <c r="G24" i="5"/>
  <c r="F28" i="5"/>
  <c r="D15" i="5"/>
  <c r="D28" i="5"/>
  <c r="F24" i="5"/>
  <c r="C24" i="5"/>
  <c r="G15" i="5"/>
  <c r="C15" i="5"/>
  <c r="F15" i="5"/>
  <c r="E15" i="5"/>
  <c r="B205" i="2"/>
  <c r="C40" i="6"/>
  <c r="G40" i="6"/>
  <c r="B40" i="6"/>
  <c r="F40" i="6"/>
  <c r="E40" i="6"/>
  <c r="H3" i="7"/>
  <c r="D45" i="3"/>
  <c r="G49" i="3"/>
  <c r="E49" i="3"/>
  <c r="C52" i="3"/>
  <c r="C45" i="3"/>
  <c r="C17" i="3"/>
  <c r="C9" i="3"/>
  <c r="C20" i="3"/>
  <c r="C32" i="3"/>
  <c r="D49" i="3"/>
  <c r="E17" i="3"/>
  <c r="D48" i="3"/>
  <c r="D9" i="3"/>
  <c r="D20" i="3"/>
  <c r="F48" i="3"/>
  <c r="F45" i="3"/>
  <c r="C48" i="3"/>
  <c r="E45" i="3"/>
  <c r="G17" i="3"/>
  <c r="F49" i="3"/>
  <c r="F52" i="3"/>
  <c r="D52" i="3"/>
  <c r="F17" i="3"/>
  <c r="G52" i="3"/>
  <c r="F9" i="3"/>
  <c r="D17" i="3"/>
  <c r="G20" i="3"/>
  <c r="E9" i="3"/>
  <c r="E20" i="3"/>
  <c r="E32" i="3"/>
  <c r="G45" i="3"/>
  <c r="G48" i="3"/>
  <c r="C49" i="3"/>
  <c r="G32" i="3"/>
  <c r="F20" i="3"/>
  <c r="E52" i="3"/>
  <c r="G9" i="3"/>
  <c r="F32" i="3"/>
  <c r="E48" i="3"/>
  <c r="B45" i="3"/>
  <c r="B48" i="3"/>
  <c r="B52" i="3"/>
  <c r="B35" i="3"/>
  <c r="B38" i="3"/>
  <c r="C34" i="3"/>
  <c r="C35" i="3" s="1"/>
  <c r="F34" i="3"/>
  <c r="F35" i="3" s="1"/>
  <c r="F25" i="3"/>
  <c r="F26" i="3" s="1"/>
  <c r="D31" i="3"/>
  <c r="B32" i="3"/>
  <c r="E25" i="3"/>
  <c r="E26" i="3" s="1"/>
  <c r="D25" i="3"/>
  <c r="D26" i="3" s="1"/>
  <c r="B29" i="3"/>
  <c r="B5" i="3"/>
  <c r="B9" i="3"/>
  <c r="B26" i="3"/>
  <c r="D5" i="3"/>
  <c r="D12" i="3"/>
  <c r="E12" i="3"/>
  <c r="G12" i="3"/>
  <c r="B13" i="3"/>
  <c r="B20" i="3"/>
  <c r="C12" i="3"/>
  <c r="C13" i="3" s="1"/>
  <c r="B23" i="3"/>
  <c r="F12" i="3"/>
  <c r="I23" i="5" l="1"/>
  <c r="J23" i="5" s="1"/>
  <c r="K23" i="5" s="1"/>
  <c r="L23" i="5" s="1"/>
  <c r="M23" i="5" s="1"/>
  <c r="N23" i="5" s="1"/>
  <c r="O23" i="5" s="1"/>
  <c r="P23" i="5" s="1"/>
  <c r="Q23" i="5" s="1"/>
  <c r="J138" i="2"/>
  <c r="I6" i="10" s="1"/>
  <c r="J139" i="2"/>
  <c r="I6" i="12" s="1"/>
  <c r="I139" i="2"/>
  <c r="I138" i="2"/>
  <c r="K138" i="2"/>
  <c r="J6" i="10" s="1"/>
  <c r="K139" i="2"/>
  <c r="J6" i="12" s="1"/>
  <c r="M138" i="2"/>
  <c r="L6" i="10" s="1"/>
  <c r="M139" i="2"/>
  <c r="L6" i="12" s="1"/>
  <c r="L139" i="2"/>
  <c r="K6" i="12" s="1"/>
  <c r="L138" i="2"/>
  <c r="K6" i="10" s="1"/>
  <c r="H7" i="5"/>
  <c r="I7" i="5" s="1"/>
  <c r="J7" i="5" s="1"/>
  <c r="K7" i="5" s="1"/>
  <c r="L7" i="5" s="1"/>
  <c r="M7" i="5" s="1"/>
  <c r="N7" i="5" s="1"/>
  <c r="O7" i="5" s="1"/>
  <c r="P7" i="5" s="1"/>
  <c r="Q7" i="5" s="1"/>
  <c r="H9" i="5"/>
  <c r="I9" i="5" s="1"/>
  <c r="J9" i="5" s="1"/>
  <c r="K9" i="5" s="1"/>
  <c r="L9" i="5" s="1"/>
  <c r="M9" i="5" s="1"/>
  <c r="N9" i="5" s="1"/>
  <c r="O9" i="5" s="1"/>
  <c r="P9" i="5" s="1"/>
  <c r="Q9" i="5" s="1"/>
  <c r="J22" i="14"/>
  <c r="M15" i="16"/>
  <c r="N15" i="16" s="1"/>
  <c r="L29" i="13"/>
  <c r="N25" i="16"/>
  <c r="O25" i="16" s="1"/>
  <c r="M14" i="16"/>
  <c r="N14" i="16" s="1"/>
  <c r="J15" i="6"/>
  <c r="K15" i="6" s="1"/>
  <c r="L15" i="6" s="1"/>
  <c r="Q35" i="16"/>
  <c r="Q35" i="6"/>
  <c r="Q35" i="13"/>
  <c r="M20" i="12"/>
  <c r="M20" i="10"/>
  <c r="O17" i="12"/>
  <c r="O17" i="10"/>
  <c r="I25" i="6"/>
  <c r="J25" i="6" s="1"/>
  <c r="K25" i="6" s="1"/>
  <c r="L25" i="6" s="1"/>
  <c r="P35" i="16"/>
  <c r="P35" i="13"/>
  <c r="P35" i="6"/>
  <c r="P20" i="12"/>
  <c r="P20" i="10"/>
  <c r="K24" i="16"/>
  <c r="M17" i="10"/>
  <c r="M17" i="12"/>
  <c r="K26" i="16"/>
  <c r="L26" i="16" s="1"/>
  <c r="M35" i="16"/>
  <c r="M35" i="6"/>
  <c r="M35" i="13"/>
  <c r="O20" i="10"/>
  <c r="O20" i="12"/>
  <c r="Q9" i="12"/>
  <c r="Q9" i="10"/>
  <c r="P17" i="12"/>
  <c r="P17" i="10"/>
  <c r="L17" i="13"/>
  <c r="M17" i="13" s="1"/>
  <c r="N17" i="13" s="1"/>
  <c r="O17" i="13" s="1"/>
  <c r="O15" i="16"/>
  <c r="P15" i="16" s="1"/>
  <c r="M25" i="13"/>
  <c r="N25" i="13" s="1"/>
  <c r="O25" i="13" s="1"/>
  <c r="P25" i="13" s="1"/>
  <c r="Q25" i="13" s="1"/>
  <c r="M29" i="6"/>
  <c r="N29" i="6" s="1"/>
  <c r="O29" i="6" s="1"/>
  <c r="N17" i="16"/>
  <c r="P9" i="12"/>
  <c r="P9" i="10"/>
  <c r="Q17" i="12"/>
  <c r="Q17" i="10"/>
  <c r="O178" i="2"/>
  <c r="N178" i="2"/>
  <c r="P178" i="2"/>
  <c r="Q178" i="2"/>
  <c r="R178" i="2"/>
  <c r="K29" i="16"/>
  <c r="I17" i="6"/>
  <c r="I8" i="16"/>
  <c r="J8" i="16" s="1"/>
  <c r="N24" i="13"/>
  <c r="M26" i="13"/>
  <c r="O9" i="12"/>
  <c r="O9" i="10"/>
  <c r="H8" i="13"/>
  <c r="I8" i="13" s="1"/>
  <c r="J8" i="13" s="1"/>
  <c r="O16" i="16"/>
  <c r="P16" i="16" s="1"/>
  <c r="Q16" i="16" s="1"/>
  <c r="M9" i="10"/>
  <c r="M9" i="12"/>
  <c r="L15" i="13"/>
  <c r="O35" i="16"/>
  <c r="O35" i="13"/>
  <c r="O35" i="6"/>
  <c r="Q20" i="12"/>
  <c r="Q20" i="10"/>
  <c r="N9" i="10"/>
  <c r="N9" i="12"/>
  <c r="N35" i="13"/>
  <c r="N35" i="16"/>
  <c r="N35" i="6"/>
  <c r="N20" i="10"/>
  <c r="N20" i="12"/>
  <c r="M14" i="13"/>
  <c r="M15" i="13"/>
  <c r="N17" i="12"/>
  <c r="N17" i="10"/>
  <c r="M16" i="13"/>
  <c r="N16" i="13" s="1"/>
  <c r="O16" i="13" s="1"/>
  <c r="K23" i="16"/>
  <c r="J22" i="15"/>
  <c r="I23" i="6"/>
  <c r="J160" i="2" s="1"/>
  <c r="J157" i="2" s="1"/>
  <c r="H22" i="5"/>
  <c r="L23" i="13"/>
  <c r="M23" i="13" s="1"/>
  <c r="K22" i="14"/>
  <c r="I16" i="6"/>
  <c r="I20" i="12"/>
  <c r="I20" i="10"/>
  <c r="H35" i="13"/>
  <c r="H35" i="16"/>
  <c r="H35" i="6"/>
  <c r="K9" i="12"/>
  <c r="K9" i="10"/>
  <c r="K20" i="12"/>
  <c r="K20" i="10"/>
  <c r="H9" i="12"/>
  <c r="H9" i="10"/>
  <c r="K17" i="12"/>
  <c r="K17" i="10"/>
  <c r="J20" i="12"/>
  <c r="J20" i="10"/>
  <c r="J9" i="10"/>
  <c r="J9" i="12"/>
  <c r="K26" i="5"/>
  <c r="J28" i="5"/>
  <c r="H8" i="6"/>
  <c r="I8" i="6" s="1"/>
  <c r="L17" i="12"/>
  <c r="L17" i="10"/>
  <c r="L20" i="12"/>
  <c r="L20" i="10"/>
  <c r="L9" i="10"/>
  <c r="L9" i="12"/>
  <c r="I17" i="10"/>
  <c r="I17" i="12"/>
  <c r="L35" i="13"/>
  <c r="L35" i="16"/>
  <c r="L35" i="6"/>
  <c r="K26" i="6"/>
  <c r="J17" i="10"/>
  <c r="J17" i="12"/>
  <c r="I35" i="13"/>
  <c r="I35" i="16"/>
  <c r="I35" i="6"/>
  <c r="I14" i="6"/>
  <c r="J14" i="6" s="1"/>
  <c r="H17" i="12"/>
  <c r="H17" i="10"/>
  <c r="K35" i="6"/>
  <c r="K35" i="13"/>
  <c r="K35" i="16"/>
  <c r="K28" i="14"/>
  <c r="L26" i="14"/>
  <c r="H20" i="12"/>
  <c r="H20" i="10"/>
  <c r="J35" i="16"/>
  <c r="J35" i="6"/>
  <c r="J35" i="13"/>
  <c r="I9" i="10"/>
  <c r="I9" i="12"/>
  <c r="K28" i="15"/>
  <c r="L26" i="15"/>
  <c r="I24" i="6"/>
  <c r="J178" i="2"/>
  <c r="L178" i="2"/>
  <c r="M178" i="2"/>
  <c r="I178" i="2"/>
  <c r="K178" i="2"/>
  <c r="Q49" i="10"/>
  <c r="Q49" i="12"/>
  <c r="Q49" i="3"/>
  <c r="H49" i="10"/>
  <c r="H49" i="12"/>
  <c r="H49" i="3"/>
  <c r="H52" i="3"/>
  <c r="H52" i="10"/>
  <c r="H52" i="12"/>
  <c r="H45" i="3"/>
  <c r="H45" i="10"/>
  <c r="H45" i="12"/>
  <c r="I156" i="2"/>
  <c r="I155" i="2" s="1"/>
  <c r="I154" i="2" s="1"/>
  <c r="H20" i="3"/>
  <c r="C12" i="9"/>
  <c r="C16" i="9" s="1"/>
  <c r="C53" i="9" s="1"/>
  <c r="C15" i="1" s="1"/>
  <c r="O6" i="3"/>
  <c r="M6" i="3"/>
  <c r="N6" i="3"/>
  <c r="Q6" i="3"/>
  <c r="H6" i="3"/>
  <c r="H4" i="3" s="1"/>
  <c r="I6" i="3"/>
  <c r="P6" i="3"/>
  <c r="J6" i="3"/>
  <c r="K6" i="3"/>
  <c r="H17" i="3"/>
  <c r="H9" i="3"/>
  <c r="F22" i="9"/>
  <c r="E23" i="9"/>
  <c r="F38" i="9"/>
  <c r="E39" i="9"/>
  <c r="G13" i="3"/>
  <c r="G14" i="3"/>
  <c r="D13" i="3"/>
  <c r="D14" i="3"/>
  <c r="E13" i="3"/>
  <c r="E14" i="3"/>
  <c r="F13" i="3"/>
  <c r="F14" i="3"/>
  <c r="D32" i="3"/>
  <c r="D58" i="3"/>
  <c r="B53" i="5"/>
  <c r="B53" i="14"/>
  <c r="D37" i="12"/>
  <c r="C29" i="12"/>
  <c r="C37" i="12"/>
  <c r="E29" i="12"/>
  <c r="E37" i="12"/>
  <c r="F37" i="12"/>
  <c r="F29" i="12"/>
  <c r="G37" i="12"/>
  <c r="G29" i="12"/>
  <c r="F26" i="10"/>
  <c r="F28" i="10"/>
  <c r="G26" i="10"/>
  <c r="G28" i="10"/>
  <c r="E26" i="10"/>
  <c r="E28" i="10"/>
  <c r="C26" i="10"/>
  <c r="C28" i="10"/>
  <c r="D26" i="10"/>
  <c r="D28" i="10"/>
  <c r="D29" i="5"/>
  <c r="D42" i="5" s="1"/>
  <c r="E29" i="5"/>
  <c r="E42" i="5" s="1"/>
  <c r="C29" i="5"/>
  <c r="F29" i="5"/>
  <c r="F42" i="5" s="1"/>
  <c r="G29" i="5"/>
  <c r="G42" i="5" s="1"/>
  <c r="B3" i="3"/>
  <c r="B3" i="6"/>
  <c r="B3" i="5"/>
  <c r="D22" i="3"/>
  <c r="G22" i="3"/>
  <c r="E22" i="3"/>
  <c r="C22" i="3"/>
  <c r="F22" i="3"/>
  <c r="H6" i="12" l="1"/>
  <c r="H4" i="12" s="1"/>
  <c r="H19" i="12" s="1"/>
  <c r="H9" i="15"/>
  <c r="I9" i="15" s="1"/>
  <c r="J9" i="15" s="1"/>
  <c r="K9" i="15" s="1"/>
  <c r="L9" i="15" s="1"/>
  <c r="M9" i="15" s="1"/>
  <c r="N9" i="15" s="1"/>
  <c r="O9" i="15" s="1"/>
  <c r="P9" i="15" s="1"/>
  <c r="Q9" i="15" s="1"/>
  <c r="H23" i="15"/>
  <c r="I23" i="15" s="1"/>
  <c r="J23" i="15" s="1"/>
  <c r="K23" i="15" s="1"/>
  <c r="L23" i="15" s="1"/>
  <c r="M23" i="15" s="1"/>
  <c r="N23" i="15" s="1"/>
  <c r="O23" i="15" s="1"/>
  <c r="P23" i="15" s="1"/>
  <c r="Q23" i="15" s="1"/>
  <c r="H8" i="12"/>
  <c r="H10" i="12" s="1"/>
  <c r="H6" i="10"/>
  <c r="H4" i="10" s="1"/>
  <c r="H16" i="10" s="1"/>
  <c r="H23" i="14"/>
  <c r="I23" i="14" s="1"/>
  <c r="J23" i="14" s="1"/>
  <c r="K23" i="14" s="1"/>
  <c r="L23" i="14" s="1"/>
  <c r="M23" i="14" s="1"/>
  <c r="N23" i="14" s="1"/>
  <c r="O23" i="14" s="1"/>
  <c r="P23" i="14" s="1"/>
  <c r="Q23" i="14" s="1"/>
  <c r="H9" i="14"/>
  <c r="I9" i="14" s="1"/>
  <c r="J9" i="14" s="1"/>
  <c r="K9" i="14" s="1"/>
  <c r="L9" i="14" s="1"/>
  <c r="M9" i="14" s="1"/>
  <c r="N9" i="14" s="1"/>
  <c r="O9" i="14" s="1"/>
  <c r="P9" i="14" s="1"/>
  <c r="Q9" i="14" s="1"/>
  <c r="H7" i="14"/>
  <c r="I7" i="14" s="1"/>
  <c r="J7" i="14" s="1"/>
  <c r="K7" i="14" s="1"/>
  <c r="L7" i="14" s="1"/>
  <c r="M7" i="14" s="1"/>
  <c r="N7" i="14" s="1"/>
  <c r="O7" i="14" s="1"/>
  <c r="P7" i="14" s="1"/>
  <c r="Q7" i="14" s="1"/>
  <c r="H7" i="15"/>
  <c r="I7" i="15" s="1"/>
  <c r="J7" i="15" s="1"/>
  <c r="K7" i="15" s="1"/>
  <c r="L7" i="15" s="1"/>
  <c r="M7" i="15" s="1"/>
  <c r="N7" i="15" s="1"/>
  <c r="O7" i="15" s="1"/>
  <c r="P7" i="15" s="1"/>
  <c r="Q7" i="15" s="1"/>
  <c r="Q15" i="16"/>
  <c r="M26" i="16"/>
  <c r="N26" i="16" s="1"/>
  <c r="O26" i="16" s="1"/>
  <c r="O14" i="16"/>
  <c r="P14" i="16" s="1"/>
  <c r="M25" i="6"/>
  <c r="N25" i="6" s="1"/>
  <c r="O25" i="6" s="1"/>
  <c r="P25" i="6" s="1"/>
  <c r="L29" i="16"/>
  <c r="M29" i="16" s="1"/>
  <c r="N29" i="16" s="1"/>
  <c r="M29" i="13"/>
  <c r="N29" i="13" s="1"/>
  <c r="N23" i="13"/>
  <c r="M22" i="14"/>
  <c r="P25" i="16"/>
  <c r="Q25" i="16" s="1"/>
  <c r="M15" i="6"/>
  <c r="O35" i="12"/>
  <c r="O35" i="10"/>
  <c r="O24" i="13"/>
  <c r="P24" i="13" s="1"/>
  <c r="Q24" i="13" s="1"/>
  <c r="M35" i="10"/>
  <c r="M35" i="12"/>
  <c r="P35" i="12"/>
  <c r="P35" i="10"/>
  <c r="N35" i="10"/>
  <c r="N35" i="12"/>
  <c r="L28" i="15"/>
  <c r="M26" i="15"/>
  <c r="K14" i="6"/>
  <c r="L14" i="6" s="1"/>
  <c r="N14" i="13"/>
  <c r="O14" i="13" s="1"/>
  <c r="J17" i="6"/>
  <c r="K17" i="6" s="1"/>
  <c r="P29" i="6"/>
  <c r="Q29" i="6" s="1"/>
  <c r="L28" i="14"/>
  <c r="M26" i="14"/>
  <c r="J16" i="6"/>
  <c r="N26" i="13"/>
  <c r="O26" i="13" s="1"/>
  <c r="P26" i="13" s="1"/>
  <c r="L24" i="16"/>
  <c r="J8" i="6"/>
  <c r="K8" i="6" s="1"/>
  <c r="L8" i="6" s="1"/>
  <c r="P16" i="13"/>
  <c r="Q16" i="13" s="1"/>
  <c r="O17" i="16"/>
  <c r="P17" i="16" s="1"/>
  <c r="Q17" i="16" s="1"/>
  <c r="L26" i="6"/>
  <c r="K8" i="16"/>
  <c r="L8" i="16" s="1"/>
  <c r="L22" i="14"/>
  <c r="N15" i="13"/>
  <c r="Q35" i="12"/>
  <c r="Q35" i="10"/>
  <c r="P17" i="13"/>
  <c r="Q17" i="13" s="1"/>
  <c r="I4" i="3"/>
  <c r="J4" i="3" s="1"/>
  <c r="K4" i="3" s="1"/>
  <c r="L4" i="3" s="1"/>
  <c r="M4" i="3" s="1"/>
  <c r="N4" i="3" s="1"/>
  <c r="O4" i="3" s="1"/>
  <c r="P4" i="3" s="1"/>
  <c r="Q4" i="3" s="1"/>
  <c r="J23" i="6"/>
  <c r="K160" i="2" s="1"/>
  <c r="K157" i="2" s="1"/>
  <c r="I22" i="5"/>
  <c r="L23" i="16"/>
  <c r="K22" i="15"/>
  <c r="L35" i="10"/>
  <c r="L35" i="12"/>
  <c r="K35" i="10"/>
  <c r="K35" i="12"/>
  <c r="I35" i="12"/>
  <c r="I35" i="10"/>
  <c r="K8" i="13"/>
  <c r="J35" i="12"/>
  <c r="J35" i="10"/>
  <c r="J24" i="6"/>
  <c r="H35" i="12"/>
  <c r="H34" i="12" s="1"/>
  <c r="H35" i="10"/>
  <c r="K28" i="5"/>
  <c r="L26" i="5"/>
  <c r="I45" i="10"/>
  <c r="I45" i="12"/>
  <c r="I52" i="12"/>
  <c r="I52" i="3"/>
  <c r="I52" i="10"/>
  <c r="I49" i="10"/>
  <c r="I49" i="12"/>
  <c r="I49" i="3"/>
  <c r="J156" i="2"/>
  <c r="J155" i="2" s="1"/>
  <c r="J154" i="2" s="1"/>
  <c r="H5" i="3"/>
  <c r="H19" i="3"/>
  <c r="H16" i="3"/>
  <c r="H8" i="3"/>
  <c r="H10" i="3" s="1"/>
  <c r="H35" i="3"/>
  <c r="H34" i="3" s="1"/>
  <c r="I20" i="3"/>
  <c r="H52" i="5"/>
  <c r="H40" i="6"/>
  <c r="H7" i="6" s="1"/>
  <c r="H44" i="3"/>
  <c r="I9" i="3"/>
  <c r="I17" i="3"/>
  <c r="I45" i="3"/>
  <c r="E39" i="12"/>
  <c r="G39" i="12"/>
  <c r="G38" i="9"/>
  <c r="F39" i="9"/>
  <c r="G22" i="9"/>
  <c r="F23" i="9"/>
  <c r="D39" i="12"/>
  <c r="F39" i="12"/>
  <c r="G23" i="3"/>
  <c r="G57" i="3"/>
  <c r="G59" i="3" s="1"/>
  <c r="G43" i="3"/>
  <c r="G53" i="3" s="1"/>
  <c r="F43" i="3"/>
  <c r="F53" i="3" s="1"/>
  <c r="F57" i="3"/>
  <c r="F59" i="3" s="1"/>
  <c r="D23" i="3"/>
  <c r="D43" i="3"/>
  <c r="D53" i="3" s="1"/>
  <c r="D57" i="3"/>
  <c r="D59" i="3" s="1"/>
  <c r="C57" i="3"/>
  <c r="C59" i="3" s="1"/>
  <c r="C43" i="3"/>
  <c r="C53" i="3" s="1"/>
  <c r="E57" i="3"/>
  <c r="E59" i="3" s="1"/>
  <c r="E43" i="3"/>
  <c r="E53" i="3" s="1"/>
  <c r="D38" i="12"/>
  <c r="D56" i="15"/>
  <c r="D5" i="16"/>
  <c r="D10" i="16" s="1"/>
  <c r="D31" i="16" s="1"/>
  <c r="D41" i="16"/>
  <c r="G38" i="12"/>
  <c r="G41" i="16"/>
  <c r="G56" i="15"/>
  <c r="G5" i="16"/>
  <c r="G10" i="16" s="1"/>
  <c r="G31" i="16" s="1"/>
  <c r="F38" i="12"/>
  <c r="F56" i="15"/>
  <c r="F41" i="16"/>
  <c r="F5" i="16"/>
  <c r="F10" i="16" s="1"/>
  <c r="F31" i="16" s="1"/>
  <c r="C38" i="12"/>
  <c r="C56" i="15"/>
  <c r="C41" i="16"/>
  <c r="C5" i="16"/>
  <c r="E38" i="12"/>
  <c r="E56" i="15"/>
  <c r="E5" i="16"/>
  <c r="E10" i="16" s="1"/>
  <c r="E31" i="16" s="1"/>
  <c r="E41" i="16"/>
  <c r="G37" i="10"/>
  <c r="G29" i="10"/>
  <c r="E29" i="10"/>
  <c r="E37" i="10"/>
  <c r="D37" i="10"/>
  <c r="D29" i="10"/>
  <c r="C29" i="10"/>
  <c r="C37" i="10"/>
  <c r="F37" i="10"/>
  <c r="F29" i="10"/>
  <c r="C23" i="3"/>
  <c r="E23" i="3"/>
  <c r="F23" i="3"/>
  <c r="D28" i="3"/>
  <c r="G28" i="3"/>
  <c r="E28" i="3"/>
  <c r="F28" i="3"/>
  <c r="C28" i="3"/>
  <c r="H52" i="14" l="1"/>
  <c r="H34" i="10"/>
  <c r="H12" i="12"/>
  <c r="H44" i="10"/>
  <c r="H47" i="10" s="1"/>
  <c r="H6" i="13" s="1"/>
  <c r="H51" i="10"/>
  <c r="H40" i="13"/>
  <c r="H7" i="13" s="1"/>
  <c r="H19" i="10"/>
  <c r="I4" i="10"/>
  <c r="I34" i="10" s="1"/>
  <c r="H5" i="10"/>
  <c r="H5" i="12"/>
  <c r="I4" i="12"/>
  <c r="H8" i="10"/>
  <c r="H53" i="14" s="1"/>
  <c r="H16" i="12"/>
  <c r="H22" i="12" s="1"/>
  <c r="H23" i="12" s="1"/>
  <c r="O29" i="13"/>
  <c r="P29" i="13" s="1"/>
  <c r="Q29" i="13" s="1"/>
  <c r="Q14" i="16"/>
  <c r="H21" i="15"/>
  <c r="H8" i="15"/>
  <c r="P14" i="13"/>
  <c r="M8" i="6"/>
  <c r="N8" i="6" s="1"/>
  <c r="O15" i="13"/>
  <c r="P15" i="13" s="1"/>
  <c r="Q15" i="13" s="1"/>
  <c r="O29" i="16"/>
  <c r="P26" i="16"/>
  <c r="Q26" i="16" s="1"/>
  <c r="Q25" i="6"/>
  <c r="L28" i="5"/>
  <c r="M26" i="5"/>
  <c r="L8" i="13"/>
  <c r="Q26" i="13"/>
  <c r="M14" i="6"/>
  <c r="N14" i="6" s="1"/>
  <c r="N22" i="14"/>
  <c r="O23" i="13"/>
  <c r="N26" i="15"/>
  <c r="M28" i="15"/>
  <c r="K24" i="6"/>
  <c r="L22" i="15"/>
  <c r="M23" i="16"/>
  <c r="K16" i="6"/>
  <c r="L17" i="6"/>
  <c r="M17" i="6" s="1"/>
  <c r="M26" i="6"/>
  <c r="N26" i="6" s="1"/>
  <c r="O26" i="6" s="1"/>
  <c r="M8" i="16"/>
  <c r="N8" i="16" s="1"/>
  <c r="M28" i="14"/>
  <c r="N26" i="14"/>
  <c r="Q14" i="13"/>
  <c r="N15" i="6"/>
  <c r="O15" i="6" s="1"/>
  <c r="P15" i="6" s="1"/>
  <c r="Q15" i="6" s="1"/>
  <c r="M24" i="16"/>
  <c r="N4" i="10"/>
  <c r="N4" i="12"/>
  <c r="K23" i="6"/>
  <c r="J22" i="5"/>
  <c r="H48" i="10"/>
  <c r="H47" i="3"/>
  <c r="H6" i="6" s="1"/>
  <c r="H13" i="12"/>
  <c r="H14" i="12"/>
  <c r="H8" i="5"/>
  <c r="H21" i="5"/>
  <c r="H53" i="5"/>
  <c r="I51" i="3"/>
  <c r="I51" i="10"/>
  <c r="I44" i="10"/>
  <c r="I47" i="10" s="1"/>
  <c r="H51" i="12"/>
  <c r="H44" i="12"/>
  <c r="J49" i="12"/>
  <c r="J49" i="10"/>
  <c r="J49" i="3"/>
  <c r="J45" i="10"/>
  <c r="J45" i="12"/>
  <c r="J52" i="3"/>
  <c r="J52" i="12"/>
  <c r="J52" i="10"/>
  <c r="K156" i="2"/>
  <c r="K155" i="2" s="1"/>
  <c r="K154" i="2" s="1"/>
  <c r="H12" i="3"/>
  <c r="I19" i="3"/>
  <c r="I5" i="3"/>
  <c r="I16" i="3"/>
  <c r="I8" i="3"/>
  <c r="I10" i="3" s="1"/>
  <c r="I35" i="3"/>
  <c r="I34" i="3" s="1"/>
  <c r="I40" i="6"/>
  <c r="I7" i="6" s="1"/>
  <c r="J20" i="3"/>
  <c r="I52" i="5"/>
  <c r="H52" i="15"/>
  <c r="I44" i="3"/>
  <c r="J10" i="7" s="1"/>
  <c r="H40" i="16"/>
  <c r="H7" i="16" s="1"/>
  <c r="J9" i="3"/>
  <c r="J17" i="3"/>
  <c r="D39" i="10"/>
  <c r="F39" i="10"/>
  <c r="J45" i="3"/>
  <c r="H22" i="9"/>
  <c r="H23" i="9" s="1"/>
  <c r="G23" i="9"/>
  <c r="H38" i="9"/>
  <c r="H39" i="9" s="1"/>
  <c r="G39" i="9"/>
  <c r="E39" i="10"/>
  <c r="G39" i="10"/>
  <c r="H54" i="14"/>
  <c r="I26" i="7"/>
  <c r="E56" i="14"/>
  <c r="G56" i="14"/>
  <c r="C56" i="14"/>
  <c r="C10" i="16"/>
  <c r="C31" i="16" s="1"/>
  <c r="C34" i="16" s="1"/>
  <c r="C36" i="16" s="1"/>
  <c r="D34" i="16" s="1"/>
  <c r="D36" i="16" s="1"/>
  <c r="E34" i="16" s="1"/>
  <c r="E36" i="16" s="1"/>
  <c r="F34" i="16" s="1"/>
  <c r="F36" i="16" s="1"/>
  <c r="G34" i="16" s="1"/>
  <c r="G36" i="16" s="1"/>
  <c r="H34" i="16" s="1"/>
  <c r="F56" i="14"/>
  <c r="D56" i="14"/>
  <c r="D38" i="10"/>
  <c r="D41" i="13"/>
  <c r="F38" i="10"/>
  <c r="F41" i="13"/>
  <c r="C38" i="10"/>
  <c r="C41" i="13"/>
  <c r="C5" i="13"/>
  <c r="C10" i="13" s="1"/>
  <c r="C31" i="13" s="1"/>
  <c r="C34" i="13" s="1"/>
  <c r="C36" i="13" s="1"/>
  <c r="C6" i="14" s="1"/>
  <c r="G38" i="10"/>
  <c r="G41" i="13"/>
  <c r="E38" i="10"/>
  <c r="E41" i="13"/>
  <c r="E37" i="3"/>
  <c r="E29" i="3"/>
  <c r="D37" i="3"/>
  <c r="D29" i="3"/>
  <c r="C37" i="3"/>
  <c r="C29" i="3"/>
  <c r="G37" i="3"/>
  <c r="G29" i="3"/>
  <c r="F37" i="3"/>
  <c r="F29" i="3"/>
  <c r="E174" i="2"/>
  <c r="H174" i="2"/>
  <c r="G174" i="2"/>
  <c r="F174" i="2"/>
  <c r="D174" i="2"/>
  <c r="I40" i="13" l="1"/>
  <c r="I7" i="13" s="1"/>
  <c r="I28" i="7"/>
  <c r="I52" i="14"/>
  <c r="I5" i="12"/>
  <c r="J4" i="12"/>
  <c r="I8" i="12"/>
  <c r="I10" i="12" s="1"/>
  <c r="I21" i="15" s="1"/>
  <c r="I19" i="12"/>
  <c r="I16" i="12"/>
  <c r="I5" i="10"/>
  <c r="J4" i="10"/>
  <c r="J51" i="10" s="1"/>
  <c r="I16" i="10"/>
  <c r="I8" i="10"/>
  <c r="I10" i="10" s="1"/>
  <c r="I19" i="10"/>
  <c r="H10" i="10"/>
  <c r="H12" i="10"/>
  <c r="I34" i="12"/>
  <c r="O8" i="6"/>
  <c r="P8" i="6" s="1"/>
  <c r="O8" i="16"/>
  <c r="P8" i="16" s="1"/>
  <c r="Q8" i="16" s="1"/>
  <c r="M10" i="10"/>
  <c r="P29" i="16"/>
  <c r="Q29" i="16" s="1"/>
  <c r="O26" i="15"/>
  <c r="N28" i="15"/>
  <c r="Q8" i="6"/>
  <c r="L160" i="2"/>
  <c r="L157" i="2" s="1"/>
  <c r="L156" i="2" s="1"/>
  <c r="L155" i="2" s="1"/>
  <c r="L154" i="2" s="1"/>
  <c r="N23" i="16"/>
  <c r="M22" i="15"/>
  <c r="O14" i="6"/>
  <c r="P14" i="6" s="1"/>
  <c r="Q14" i="6" s="1"/>
  <c r="N24" i="16"/>
  <c r="O24" i="16" s="1"/>
  <c r="L16" i="6"/>
  <c r="P23" i="13"/>
  <c r="P22" i="14" s="1"/>
  <c r="O22" i="14"/>
  <c r="M28" i="5"/>
  <c r="N26" i="5"/>
  <c r="O26" i="14"/>
  <c r="N28" i="14"/>
  <c r="N17" i="6"/>
  <c r="O17" i="6" s="1"/>
  <c r="P17" i="6" s="1"/>
  <c r="Q17" i="6" s="1"/>
  <c r="L24" i="6"/>
  <c r="M24" i="6" s="1"/>
  <c r="N24" i="6" s="1"/>
  <c r="O24" i="6" s="1"/>
  <c r="M8" i="13"/>
  <c r="N8" i="13" s="1"/>
  <c r="O8" i="13" s="1"/>
  <c r="P8" i="13" s="1"/>
  <c r="P26" i="6"/>
  <c r="Q26" i="6" s="1"/>
  <c r="O4" i="12"/>
  <c r="N16" i="12"/>
  <c r="N19" i="12"/>
  <c r="N5" i="12"/>
  <c r="N8" i="12"/>
  <c r="N10" i="12" s="1"/>
  <c r="N34" i="12"/>
  <c r="M14" i="10"/>
  <c r="O4" i="10"/>
  <c r="N34" i="10"/>
  <c r="N8" i="10"/>
  <c r="N10" i="10" s="1"/>
  <c r="N16" i="10"/>
  <c r="N5" i="10"/>
  <c r="N19" i="10"/>
  <c r="M10" i="12"/>
  <c r="L23" i="6"/>
  <c r="K22" i="5"/>
  <c r="I46" i="7"/>
  <c r="I21" i="5"/>
  <c r="I8" i="5"/>
  <c r="I48" i="10"/>
  <c r="I6" i="13"/>
  <c r="H13" i="3"/>
  <c r="H14" i="3"/>
  <c r="H53" i="15"/>
  <c r="H47" i="12"/>
  <c r="H22" i="3"/>
  <c r="H23" i="3" s="1"/>
  <c r="J51" i="3"/>
  <c r="K45" i="12"/>
  <c r="K45" i="10"/>
  <c r="K52" i="12"/>
  <c r="K52" i="10"/>
  <c r="K52" i="3"/>
  <c r="J28" i="7"/>
  <c r="K49" i="3"/>
  <c r="K49" i="12"/>
  <c r="K49" i="10"/>
  <c r="I44" i="12"/>
  <c r="I54" i="15" s="1"/>
  <c r="I51" i="12"/>
  <c r="J35" i="3"/>
  <c r="J34" i="3" s="1"/>
  <c r="J5" i="3"/>
  <c r="J19" i="3"/>
  <c r="J8" i="3"/>
  <c r="J10" i="3" s="1"/>
  <c r="J16" i="3"/>
  <c r="I52" i="15"/>
  <c r="I40" i="16"/>
  <c r="I7" i="16" s="1"/>
  <c r="K20" i="3"/>
  <c r="I53" i="5"/>
  <c r="H54" i="15"/>
  <c r="J44" i="3"/>
  <c r="J54" i="5" s="1"/>
  <c r="J52" i="5"/>
  <c r="J40" i="6"/>
  <c r="J7" i="6" s="1"/>
  <c r="I47" i="3"/>
  <c r="I6" i="6" s="1"/>
  <c r="I54" i="5"/>
  <c r="I12" i="3"/>
  <c r="K17" i="3"/>
  <c r="K9" i="3"/>
  <c r="K45" i="3"/>
  <c r="C44" i="9"/>
  <c r="C48" i="9" s="1"/>
  <c r="C55" i="9" s="1"/>
  <c r="F15" i="1" s="1"/>
  <c r="C28" i="9"/>
  <c r="C32" i="9" s="1"/>
  <c r="C54" i="9" s="1"/>
  <c r="D15" i="1" s="1"/>
  <c r="E39" i="3"/>
  <c r="F6" i="8"/>
  <c r="D26" i="8" s="1"/>
  <c r="G39" i="3"/>
  <c r="D39" i="3"/>
  <c r="F39" i="3"/>
  <c r="H55" i="14"/>
  <c r="H12" i="14" s="1"/>
  <c r="J26" i="7"/>
  <c r="C6" i="15"/>
  <c r="E5" i="13"/>
  <c r="E10" i="13" s="1"/>
  <c r="E31" i="13" s="1"/>
  <c r="I54" i="14"/>
  <c r="G5" i="13"/>
  <c r="G10" i="13" s="1"/>
  <c r="G31" i="13" s="1"/>
  <c r="F5" i="13"/>
  <c r="F10" i="13" s="1"/>
  <c r="F31" i="13" s="1"/>
  <c r="D5" i="13"/>
  <c r="D10" i="13" s="1"/>
  <c r="D31" i="13" s="1"/>
  <c r="D34" i="13"/>
  <c r="G56" i="5"/>
  <c r="G41" i="6"/>
  <c r="H246" i="2"/>
  <c r="C56" i="5"/>
  <c r="C41" i="6"/>
  <c r="D246" i="2"/>
  <c r="E56" i="5"/>
  <c r="E41" i="6"/>
  <c r="F246" i="2"/>
  <c r="F56" i="5"/>
  <c r="F41" i="6"/>
  <c r="G246" i="2"/>
  <c r="D56" i="5"/>
  <c r="D41" i="6"/>
  <c r="E246" i="2"/>
  <c r="C33" i="5"/>
  <c r="C40" i="5" s="1"/>
  <c r="G38" i="3"/>
  <c r="G5" i="6"/>
  <c r="G10" i="6" s="1"/>
  <c r="G31" i="6" s="1"/>
  <c r="E38" i="3"/>
  <c r="E5" i="6"/>
  <c r="E10" i="6" s="1"/>
  <c r="E31" i="6" s="1"/>
  <c r="F38" i="3"/>
  <c r="F5" i="6"/>
  <c r="F10" i="6" s="1"/>
  <c r="F31" i="6" s="1"/>
  <c r="D38" i="3"/>
  <c r="D5" i="6"/>
  <c r="D10" i="6" s="1"/>
  <c r="D31" i="6" s="1"/>
  <c r="C38" i="3"/>
  <c r="C5" i="6"/>
  <c r="C10" i="6" s="1"/>
  <c r="C31" i="6" s="1"/>
  <c r="C34" i="6" s="1"/>
  <c r="J44" i="10" l="1"/>
  <c r="J47" i="10" s="1"/>
  <c r="J40" i="13"/>
  <c r="J7" i="13" s="1"/>
  <c r="I53" i="14"/>
  <c r="I12" i="10"/>
  <c r="I22" i="10" s="1"/>
  <c r="I23" i="10" s="1"/>
  <c r="J5" i="10"/>
  <c r="K4" i="10"/>
  <c r="K44" i="10" s="1"/>
  <c r="K47" i="10" s="1"/>
  <c r="J8" i="10"/>
  <c r="J10" i="10" s="1"/>
  <c r="J19" i="10"/>
  <c r="J16" i="10"/>
  <c r="J34" i="10"/>
  <c r="J52" i="14"/>
  <c r="I12" i="12"/>
  <c r="H8" i="14"/>
  <c r="I8" i="14" s="1"/>
  <c r="H21" i="14"/>
  <c r="I21" i="14" s="1"/>
  <c r="J5" i="12"/>
  <c r="K4" i="12"/>
  <c r="J8" i="12"/>
  <c r="J10" i="12" s="1"/>
  <c r="J21" i="15" s="1"/>
  <c r="J16" i="12"/>
  <c r="J19" i="12"/>
  <c r="J34" i="12"/>
  <c r="H13" i="10"/>
  <c r="H22" i="10"/>
  <c r="H57" i="10" s="1"/>
  <c r="H14" i="10"/>
  <c r="I8" i="15"/>
  <c r="I13" i="10"/>
  <c r="M21" i="15"/>
  <c r="N21" i="15" s="1"/>
  <c r="N12" i="12"/>
  <c r="N13" i="12" s="1"/>
  <c r="M8" i="14"/>
  <c r="N8" i="14" s="1"/>
  <c r="M8" i="15"/>
  <c r="N8" i="15" s="1"/>
  <c r="P26" i="14"/>
  <c r="O28" i="14"/>
  <c r="P24" i="16"/>
  <c r="Q24" i="16" s="1"/>
  <c r="O28" i="15"/>
  <c r="P26" i="15"/>
  <c r="O26" i="5"/>
  <c r="N28" i="5"/>
  <c r="M16" i="6"/>
  <c r="N16" i="6" s="1"/>
  <c r="R246" i="2"/>
  <c r="Q246" i="2"/>
  <c r="N246" i="2"/>
  <c r="P246" i="2"/>
  <c r="O246" i="2"/>
  <c r="P24" i="6"/>
  <c r="Q24" i="6" s="1"/>
  <c r="Q8" i="13"/>
  <c r="N22" i="15"/>
  <c r="O23" i="16"/>
  <c r="L22" i="5"/>
  <c r="M23" i="6"/>
  <c r="Q23" i="13"/>
  <c r="Q22" i="14" s="1"/>
  <c r="N14" i="12"/>
  <c r="M14" i="12"/>
  <c r="N12" i="10"/>
  <c r="O34" i="10"/>
  <c r="O16" i="10"/>
  <c r="O5" i="10"/>
  <c r="P4" i="10"/>
  <c r="O19" i="10"/>
  <c r="O8" i="10"/>
  <c r="O10" i="10" s="1"/>
  <c r="O34" i="12"/>
  <c r="O8" i="12"/>
  <c r="O10" i="12" s="1"/>
  <c r="O21" i="15" s="1"/>
  <c r="O16" i="12"/>
  <c r="O5" i="12"/>
  <c r="O19" i="12"/>
  <c r="P4" i="12"/>
  <c r="H13" i="13"/>
  <c r="H18" i="13" s="1"/>
  <c r="J8" i="5"/>
  <c r="J21" i="5"/>
  <c r="I13" i="3"/>
  <c r="I14" i="3"/>
  <c r="J48" i="10"/>
  <c r="J6" i="13"/>
  <c r="H48" i="12"/>
  <c r="H6" i="16"/>
  <c r="K246" i="2"/>
  <c r="M246" i="2"/>
  <c r="J246" i="2"/>
  <c r="I246" i="2"/>
  <c r="L246" i="2"/>
  <c r="M160" i="2"/>
  <c r="M157" i="2" s="1"/>
  <c r="M156" i="2" s="1"/>
  <c r="M155" i="2" s="1"/>
  <c r="M154" i="2" s="1"/>
  <c r="I44" i="7"/>
  <c r="H57" i="3"/>
  <c r="H43" i="3"/>
  <c r="K28" i="7"/>
  <c r="K51" i="3"/>
  <c r="L49" i="10"/>
  <c r="L49" i="3"/>
  <c r="L49" i="12"/>
  <c r="H15" i="14"/>
  <c r="L52" i="12"/>
  <c r="L52" i="10"/>
  <c r="L52" i="3"/>
  <c r="J40" i="16"/>
  <c r="J7" i="16" s="1"/>
  <c r="L45" i="12"/>
  <c r="L45" i="10"/>
  <c r="I47" i="12"/>
  <c r="I6" i="16" s="1"/>
  <c r="J46" i="7"/>
  <c r="J44" i="12"/>
  <c r="J51" i="12"/>
  <c r="J52" i="15"/>
  <c r="J8" i="7"/>
  <c r="I48" i="3"/>
  <c r="K52" i="5"/>
  <c r="I53" i="15"/>
  <c r="K40" i="6"/>
  <c r="K7" i="6" s="1"/>
  <c r="K44" i="3"/>
  <c r="L10" i="7" s="1"/>
  <c r="H55" i="15"/>
  <c r="H12" i="15" s="1"/>
  <c r="J53" i="5"/>
  <c r="J12" i="3"/>
  <c r="K19" i="3"/>
  <c r="K8" i="3"/>
  <c r="K10" i="3" s="1"/>
  <c r="K5" i="3"/>
  <c r="K16" i="3"/>
  <c r="K35" i="3"/>
  <c r="K34" i="3" s="1"/>
  <c r="L20" i="3"/>
  <c r="L40" i="6"/>
  <c r="L7" i="6" s="1"/>
  <c r="K10" i="7"/>
  <c r="J47" i="3"/>
  <c r="J6" i="6" s="1"/>
  <c r="I55" i="5"/>
  <c r="I22" i="3"/>
  <c r="I23" i="3" s="1"/>
  <c r="L9" i="3"/>
  <c r="L17" i="3"/>
  <c r="D27" i="8"/>
  <c r="L45" i="3"/>
  <c r="K26" i="7"/>
  <c r="J54" i="14"/>
  <c r="D28" i="8"/>
  <c r="I55" i="14"/>
  <c r="D36" i="13"/>
  <c r="D6" i="14" s="1"/>
  <c r="C10" i="15"/>
  <c r="C48" i="15"/>
  <c r="D6" i="15"/>
  <c r="C10" i="14"/>
  <c r="C48" i="14"/>
  <c r="D34" i="6"/>
  <c r="D36" i="6" s="1"/>
  <c r="C42" i="5"/>
  <c r="D265" i="2"/>
  <c r="I14" i="10" l="1"/>
  <c r="J12" i="10"/>
  <c r="K52" i="14"/>
  <c r="K40" i="13"/>
  <c r="K7" i="13" s="1"/>
  <c r="K51" i="10"/>
  <c r="J12" i="12"/>
  <c r="I13" i="12"/>
  <c r="I14" i="12"/>
  <c r="I22" i="12"/>
  <c r="I23" i="12" s="1"/>
  <c r="J8" i="15"/>
  <c r="K5" i="10"/>
  <c r="L4" i="10"/>
  <c r="L51" i="10" s="1"/>
  <c r="K19" i="10"/>
  <c r="K8" i="10"/>
  <c r="K10" i="10" s="1"/>
  <c r="K16" i="10"/>
  <c r="K34" i="10"/>
  <c r="J21" i="14"/>
  <c r="J13" i="10"/>
  <c r="J22" i="10"/>
  <c r="J23" i="10" s="1"/>
  <c r="J14" i="10"/>
  <c r="K5" i="12"/>
  <c r="L4" i="12"/>
  <c r="K16" i="12"/>
  <c r="K19" i="12"/>
  <c r="K8" i="12"/>
  <c r="K10" i="12" s="1"/>
  <c r="K21" i="15" s="1"/>
  <c r="K34" i="12"/>
  <c r="J53" i="14"/>
  <c r="H23" i="10"/>
  <c r="H43" i="10"/>
  <c r="H53" i="10" s="1"/>
  <c r="I22" i="7" s="1"/>
  <c r="J8" i="14"/>
  <c r="N22" i="12"/>
  <c r="N23" i="12" s="1"/>
  <c r="O8" i="14"/>
  <c r="O16" i="6"/>
  <c r="P16" i="6" s="1"/>
  <c r="O8" i="15"/>
  <c r="P23" i="16"/>
  <c r="P22" i="15" s="1"/>
  <c r="O22" i="15"/>
  <c r="Q26" i="15"/>
  <c r="Q28" i="15" s="1"/>
  <c r="P28" i="15"/>
  <c r="P26" i="5"/>
  <c r="O28" i="5"/>
  <c r="N160" i="2"/>
  <c r="N157" i="2" s="1"/>
  <c r="N156" i="2" s="1"/>
  <c r="N155" i="2" s="1"/>
  <c r="N154" i="2" s="1"/>
  <c r="M22" i="5"/>
  <c r="N23" i="6"/>
  <c r="P28" i="14"/>
  <c r="Q26" i="14"/>
  <c r="Q28" i="14" s="1"/>
  <c r="N13" i="10"/>
  <c r="N22" i="10"/>
  <c r="N23" i="10" s="1"/>
  <c r="N14" i="10"/>
  <c r="O12" i="10"/>
  <c r="P34" i="12"/>
  <c r="P16" i="12"/>
  <c r="Q4" i="12"/>
  <c r="P5" i="12"/>
  <c r="P8" i="12"/>
  <c r="P10" i="12" s="1"/>
  <c r="P21" i="15" s="1"/>
  <c r="P19" i="12"/>
  <c r="O12" i="12"/>
  <c r="P5" i="10"/>
  <c r="P8" i="10"/>
  <c r="P10" i="10" s="1"/>
  <c r="P8" i="14" s="1"/>
  <c r="P16" i="10"/>
  <c r="Q4" i="10"/>
  <c r="P34" i="10"/>
  <c r="P19" i="10"/>
  <c r="H13" i="16"/>
  <c r="H18" i="16" s="1"/>
  <c r="J22" i="3"/>
  <c r="J23" i="3" s="1"/>
  <c r="J13" i="3"/>
  <c r="J14" i="3"/>
  <c r="K21" i="5"/>
  <c r="K8" i="5"/>
  <c r="K48" i="10"/>
  <c r="K6" i="13"/>
  <c r="I12" i="14"/>
  <c r="I13" i="13" s="1"/>
  <c r="I18" i="13" s="1"/>
  <c r="L26" i="7"/>
  <c r="L52" i="5"/>
  <c r="L44" i="3"/>
  <c r="L47" i="3" s="1"/>
  <c r="L51" i="3"/>
  <c r="K12" i="3"/>
  <c r="K47" i="3"/>
  <c r="K53" i="5"/>
  <c r="K54" i="5"/>
  <c r="M52" i="12"/>
  <c r="M52" i="3"/>
  <c r="M52" i="10"/>
  <c r="H43" i="12"/>
  <c r="H53" i="12" s="1"/>
  <c r="I40" i="7" s="1"/>
  <c r="H57" i="12"/>
  <c r="I55" i="15"/>
  <c r="M49" i="12"/>
  <c r="M49" i="3"/>
  <c r="M49" i="10"/>
  <c r="I57" i="10"/>
  <c r="I43" i="10"/>
  <c r="I53" i="10" s="1"/>
  <c r="J22" i="7" s="1"/>
  <c r="M45" i="10"/>
  <c r="M45" i="12"/>
  <c r="J47" i="12"/>
  <c r="J6" i="16" s="1"/>
  <c r="J54" i="15"/>
  <c r="K46" i="7"/>
  <c r="K51" i="12"/>
  <c r="K44" i="12"/>
  <c r="K52" i="15"/>
  <c r="K40" i="16"/>
  <c r="K7" i="16" s="1"/>
  <c r="J53" i="15"/>
  <c r="I48" i="12"/>
  <c r="J44" i="7"/>
  <c r="H15" i="15"/>
  <c r="K8" i="7"/>
  <c r="J48" i="3"/>
  <c r="J55" i="5"/>
  <c r="L35" i="3"/>
  <c r="L34" i="3" s="1"/>
  <c r="L16" i="3"/>
  <c r="L8" i="3"/>
  <c r="L10" i="3" s="1"/>
  <c r="L5" i="3"/>
  <c r="L19" i="3"/>
  <c r="M40" i="6"/>
  <c r="M7" i="6" s="1"/>
  <c r="M20" i="3"/>
  <c r="I43" i="3"/>
  <c r="I57" i="3"/>
  <c r="E265" i="2"/>
  <c r="E164" i="2" s="1"/>
  <c r="D164" i="2"/>
  <c r="M17" i="3"/>
  <c r="M9" i="3"/>
  <c r="L28" i="7"/>
  <c r="M45" i="3"/>
  <c r="J55" i="14"/>
  <c r="K54" i="14"/>
  <c r="E34" i="13"/>
  <c r="E36" i="13" s="1"/>
  <c r="E6" i="14" s="1"/>
  <c r="E6" i="15"/>
  <c r="D10" i="15"/>
  <c r="D48" i="15"/>
  <c r="C16" i="15"/>
  <c r="C43" i="15" s="1"/>
  <c r="C47" i="15"/>
  <c r="D10" i="14"/>
  <c r="D48" i="14"/>
  <c r="K55" i="14"/>
  <c r="C47" i="14"/>
  <c r="C16" i="14"/>
  <c r="C43" i="14" s="1"/>
  <c r="E34" i="6"/>
  <c r="K53" i="14" l="1"/>
  <c r="K8" i="15"/>
  <c r="L52" i="14"/>
  <c r="L44" i="10"/>
  <c r="L47" i="10" s="1"/>
  <c r="L48" i="10" s="1"/>
  <c r="L40" i="13"/>
  <c r="L7" i="13" s="1"/>
  <c r="K12" i="12"/>
  <c r="K14" i="12" s="1"/>
  <c r="L21" i="15"/>
  <c r="M4" i="12"/>
  <c r="L34" i="12"/>
  <c r="L16" i="12"/>
  <c r="L5" i="12"/>
  <c r="L19" i="12"/>
  <c r="L8" i="12"/>
  <c r="L10" i="12" s="1"/>
  <c r="L12" i="12"/>
  <c r="K8" i="14"/>
  <c r="M4" i="10"/>
  <c r="M40" i="13" s="1"/>
  <c r="M7" i="13" s="1"/>
  <c r="L19" i="10"/>
  <c r="L8" i="10"/>
  <c r="L10" i="10" s="1"/>
  <c r="L34" i="10"/>
  <c r="L16" i="10"/>
  <c r="L5" i="10"/>
  <c r="J57" i="10"/>
  <c r="K12" i="10"/>
  <c r="J43" i="10"/>
  <c r="J53" i="10" s="1"/>
  <c r="K22" i="7" s="1"/>
  <c r="K21" i="14"/>
  <c r="I57" i="12"/>
  <c r="J22" i="12"/>
  <c r="J23" i="12" s="1"/>
  <c r="J14" i="12"/>
  <c r="J13" i="12"/>
  <c r="Q16" i="6"/>
  <c r="P8" i="15"/>
  <c r="P12" i="12"/>
  <c r="P13" i="12" s="1"/>
  <c r="Q26" i="5"/>
  <c r="Q28" i="5" s="1"/>
  <c r="P28" i="5"/>
  <c r="J43" i="3"/>
  <c r="Q23" i="16"/>
  <c r="Q22" i="15" s="1"/>
  <c r="J57" i="3"/>
  <c r="O160" i="2"/>
  <c r="O157" i="2" s="1"/>
  <c r="O156" i="2" s="1"/>
  <c r="O155" i="2" s="1"/>
  <c r="O154" i="2" s="1"/>
  <c r="N22" i="5"/>
  <c r="O23" i="6"/>
  <c r="Q19" i="12"/>
  <c r="Q16" i="12"/>
  <c r="Q5" i="12"/>
  <c r="Q34" i="12"/>
  <c r="Q8" i="12"/>
  <c r="Q10" i="12" s="1"/>
  <c r="Q21" i="15" s="1"/>
  <c r="Q34" i="10"/>
  <c r="Q5" i="10"/>
  <c r="Q16" i="10"/>
  <c r="Q8" i="10"/>
  <c r="Q10" i="10" s="1"/>
  <c r="Q8" i="14" s="1"/>
  <c r="Q19" i="10"/>
  <c r="N21" i="14"/>
  <c r="O22" i="12"/>
  <c r="O23" i="12" s="1"/>
  <c r="O13" i="12"/>
  <c r="O14" i="12"/>
  <c r="O22" i="10"/>
  <c r="O23" i="10" s="1"/>
  <c r="O13" i="10"/>
  <c r="O14" i="10"/>
  <c r="P12" i="10"/>
  <c r="P14" i="12"/>
  <c r="L8" i="5"/>
  <c r="I15" i="14"/>
  <c r="J12" i="14"/>
  <c r="L21" i="5"/>
  <c r="K48" i="3"/>
  <c r="K6" i="6"/>
  <c r="K13" i="3"/>
  <c r="K14" i="3"/>
  <c r="L48" i="3"/>
  <c r="L6" i="6"/>
  <c r="I12" i="15"/>
  <c r="I43" i="12"/>
  <c r="I53" i="12" s="1"/>
  <c r="J40" i="7" s="1"/>
  <c r="M10" i="7"/>
  <c r="L54" i="5"/>
  <c r="L8" i="7"/>
  <c r="K55" i="5"/>
  <c r="K22" i="3"/>
  <c r="K23" i="3" s="1"/>
  <c r="L12" i="3"/>
  <c r="L53" i="5"/>
  <c r="M52" i="5"/>
  <c r="M44" i="3"/>
  <c r="M51" i="3"/>
  <c r="N52" i="14"/>
  <c r="N49" i="12"/>
  <c r="N49" i="10"/>
  <c r="N49" i="3"/>
  <c r="N52" i="10"/>
  <c r="N52" i="3"/>
  <c r="N52" i="12"/>
  <c r="N45" i="12"/>
  <c r="N45" i="10"/>
  <c r="L51" i="12"/>
  <c r="L44" i="12"/>
  <c r="L52" i="15"/>
  <c r="L40" i="16"/>
  <c r="L7" i="16" s="1"/>
  <c r="K53" i="15"/>
  <c r="J48" i="12"/>
  <c r="K44" i="7"/>
  <c r="J55" i="15"/>
  <c r="K47" i="12"/>
  <c r="K6" i="16" s="1"/>
  <c r="L46" i="7"/>
  <c r="K54" i="15"/>
  <c r="M16" i="3"/>
  <c r="M8" i="3"/>
  <c r="M5" i="3"/>
  <c r="M19" i="3"/>
  <c r="M35" i="3"/>
  <c r="M34" i="3" s="1"/>
  <c r="N20" i="3"/>
  <c r="N40" i="6"/>
  <c r="N7" i="6" s="1"/>
  <c r="F265" i="2"/>
  <c r="F164" i="2" s="1"/>
  <c r="N9" i="3"/>
  <c r="N17" i="3"/>
  <c r="N45" i="3"/>
  <c r="M8" i="7"/>
  <c r="F34" i="13"/>
  <c r="F36" i="13" s="1"/>
  <c r="F6" i="14" s="1"/>
  <c r="E10" i="15"/>
  <c r="E48" i="15"/>
  <c r="F6" i="15"/>
  <c r="D16" i="15"/>
  <c r="D43" i="15" s="1"/>
  <c r="D47" i="15"/>
  <c r="D16" i="14"/>
  <c r="D43" i="14" s="1"/>
  <c r="D47" i="14"/>
  <c r="E10" i="14"/>
  <c r="E48" i="14"/>
  <c r="L55" i="5"/>
  <c r="D10" i="5"/>
  <c r="D48" i="5"/>
  <c r="E36" i="6"/>
  <c r="M26" i="7" l="1"/>
  <c r="L8" i="15"/>
  <c r="L54" i="14"/>
  <c r="L6" i="13"/>
  <c r="K22" i="12"/>
  <c r="K23" i="12" s="1"/>
  <c r="L21" i="14"/>
  <c r="M21" i="14" s="1"/>
  <c r="M24" i="14" s="1"/>
  <c r="M29" i="14" s="1"/>
  <c r="L53" i="14"/>
  <c r="K13" i="12"/>
  <c r="L8" i="14"/>
  <c r="L12" i="10"/>
  <c r="L13" i="10" s="1"/>
  <c r="M28" i="7"/>
  <c r="L14" i="12"/>
  <c r="L22" i="12"/>
  <c r="L23" i="12" s="1"/>
  <c r="L13" i="12"/>
  <c r="M34" i="10"/>
  <c r="M16" i="10"/>
  <c r="M8" i="10"/>
  <c r="M12" i="10" s="1"/>
  <c r="M5" i="10"/>
  <c r="M19" i="10"/>
  <c r="M44" i="10"/>
  <c r="M47" i="10" s="1"/>
  <c r="M52" i="14"/>
  <c r="M34" i="12"/>
  <c r="M8" i="12"/>
  <c r="M12" i="12" s="1"/>
  <c r="M5" i="12"/>
  <c r="M16" i="12"/>
  <c r="M19" i="12"/>
  <c r="M51" i="10"/>
  <c r="K13" i="10"/>
  <c r="K14" i="10"/>
  <c r="K22" i="10"/>
  <c r="K23" i="10" s="1"/>
  <c r="P22" i="12"/>
  <c r="P23" i="12" s="1"/>
  <c r="Q12" i="10"/>
  <c r="Q13" i="10" s="1"/>
  <c r="Q8" i="15"/>
  <c r="P160" i="2"/>
  <c r="P157" i="2" s="1"/>
  <c r="P156" i="2" s="1"/>
  <c r="P155" i="2" s="1"/>
  <c r="P154" i="2" s="1"/>
  <c r="O22" i="5"/>
  <c r="P23" i="6"/>
  <c r="P14" i="10"/>
  <c r="P22" i="10"/>
  <c r="P23" i="10" s="1"/>
  <c r="P13" i="10"/>
  <c r="Q12" i="12"/>
  <c r="O21" i="14"/>
  <c r="N24" i="14"/>
  <c r="N29" i="14" s="1"/>
  <c r="M10" i="3"/>
  <c r="M47" i="3"/>
  <c r="N8" i="7" s="1"/>
  <c r="J15" i="14"/>
  <c r="K12" i="14"/>
  <c r="L13" i="3"/>
  <c r="L14" i="3"/>
  <c r="J12" i="15"/>
  <c r="I15" i="15"/>
  <c r="I13" i="16"/>
  <c r="I18" i="16" s="1"/>
  <c r="J13" i="13"/>
  <c r="J18" i="13" s="1"/>
  <c r="L22" i="3"/>
  <c r="L23" i="3" s="1"/>
  <c r="K43" i="3"/>
  <c r="N10" i="7"/>
  <c r="N28" i="7"/>
  <c r="K57" i="3"/>
  <c r="M54" i="5"/>
  <c r="N44" i="3"/>
  <c r="O10" i="7" s="1"/>
  <c r="N52" i="5"/>
  <c r="O45" i="12"/>
  <c r="O45" i="10"/>
  <c r="N51" i="3"/>
  <c r="O52" i="3"/>
  <c r="O52" i="12"/>
  <c r="O52" i="10"/>
  <c r="O49" i="10"/>
  <c r="O49" i="3"/>
  <c r="O49" i="12"/>
  <c r="M12" i="3"/>
  <c r="M14" i="3" s="1"/>
  <c r="M53" i="5"/>
  <c r="N51" i="10"/>
  <c r="N44" i="10"/>
  <c r="L53" i="15"/>
  <c r="K48" i="12"/>
  <c r="L44" i="7"/>
  <c r="K55" i="15"/>
  <c r="J57" i="12"/>
  <c r="J43" i="12"/>
  <c r="J53" i="12" s="1"/>
  <c r="K40" i="7" s="1"/>
  <c r="L47" i="12"/>
  <c r="L6" i="16" s="1"/>
  <c r="M46" i="7"/>
  <c r="L54" i="15"/>
  <c r="M51" i="12"/>
  <c r="M44" i="12"/>
  <c r="M52" i="15"/>
  <c r="M40" i="16"/>
  <c r="M7" i="16" s="1"/>
  <c r="G265" i="2"/>
  <c r="G164" i="2" s="1"/>
  <c r="N35" i="3"/>
  <c r="N34" i="3" s="1"/>
  <c r="N8" i="3"/>
  <c r="N16" i="3"/>
  <c r="N5" i="3"/>
  <c r="N19" i="3"/>
  <c r="O20" i="3"/>
  <c r="O17" i="3"/>
  <c r="O9" i="3"/>
  <c r="O45" i="3"/>
  <c r="N40" i="13"/>
  <c r="N7" i="13" s="1"/>
  <c r="L55" i="14"/>
  <c r="G34" i="13"/>
  <c r="G36" i="13" s="1"/>
  <c r="F10" i="15"/>
  <c r="F48" i="15"/>
  <c r="E47" i="15"/>
  <c r="E16" i="15"/>
  <c r="E43" i="15" s="1"/>
  <c r="G6" i="15"/>
  <c r="E16" i="14"/>
  <c r="E43" i="14" s="1"/>
  <c r="E47" i="14"/>
  <c r="F10" i="14"/>
  <c r="F48" i="14"/>
  <c r="E10" i="5"/>
  <c r="H28" i="5"/>
  <c r="D16" i="5"/>
  <c r="D43" i="5" s="1"/>
  <c r="D47" i="5"/>
  <c r="F34" i="6"/>
  <c r="F36" i="6" s="1"/>
  <c r="K43" i="10" l="1"/>
  <c r="K53" i="10" s="1"/>
  <c r="L22" i="7" s="1"/>
  <c r="K57" i="10"/>
  <c r="M54" i="14"/>
  <c r="L14" i="10"/>
  <c r="L22" i="10"/>
  <c r="L23" i="10" s="1"/>
  <c r="M13" i="10"/>
  <c r="M22" i="10"/>
  <c r="M23" i="10" s="1"/>
  <c r="M53" i="14"/>
  <c r="M22" i="12"/>
  <c r="M23" i="12" s="1"/>
  <c r="M13" i="12"/>
  <c r="Q14" i="10"/>
  <c r="Q22" i="10"/>
  <c r="Q23" i="10" s="1"/>
  <c r="M55" i="5"/>
  <c r="Q160" i="2"/>
  <c r="Q157" i="2" s="1"/>
  <c r="Q156" i="2" s="1"/>
  <c r="Q155" i="2" s="1"/>
  <c r="Q154" i="2" s="1"/>
  <c r="P22" i="5"/>
  <c r="Q23" i="6"/>
  <c r="L57" i="3"/>
  <c r="L43" i="3"/>
  <c r="O24" i="14"/>
  <c r="O29" i="14" s="1"/>
  <c r="P21" i="14"/>
  <c r="Q14" i="12"/>
  <c r="Q13" i="12"/>
  <c r="Q22" i="12"/>
  <c r="Q23" i="12" s="1"/>
  <c r="N10" i="3"/>
  <c r="N47" i="3"/>
  <c r="N55" i="5" s="1"/>
  <c r="M48" i="3"/>
  <c r="M6" i="6"/>
  <c r="N46" i="7"/>
  <c r="M48" i="10"/>
  <c r="M6" i="13"/>
  <c r="M21" i="5"/>
  <c r="M8" i="5"/>
  <c r="M22" i="3"/>
  <c r="M23" i="3" s="1"/>
  <c r="M13" i="3"/>
  <c r="J15" i="15"/>
  <c r="K12" i="15"/>
  <c r="J13" i="16"/>
  <c r="J18" i="16" s="1"/>
  <c r="K15" i="14"/>
  <c r="L12" i="14"/>
  <c r="L15" i="14" s="1"/>
  <c r="G6" i="14"/>
  <c r="G48" i="14" s="1"/>
  <c r="H34" i="13"/>
  <c r="K13" i="13"/>
  <c r="K18" i="13" s="1"/>
  <c r="N54" i="5"/>
  <c r="N47" i="10"/>
  <c r="O26" i="7" s="1"/>
  <c r="O28" i="7"/>
  <c r="L57" i="10"/>
  <c r="N12" i="3"/>
  <c r="N14" i="3" s="1"/>
  <c r="N53" i="5"/>
  <c r="N54" i="14"/>
  <c r="L57" i="12"/>
  <c r="P52" i="3"/>
  <c r="P52" i="12"/>
  <c r="P52" i="10"/>
  <c r="O51" i="10"/>
  <c r="O44" i="10"/>
  <c r="P45" i="10"/>
  <c r="P45" i="12"/>
  <c r="P49" i="3"/>
  <c r="P49" i="10"/>
  <c r="P49" i="12"/>
  <c r="H265" i="2"/>
  <c r="H164" i="2" s="1"/>
  <c r="L164" i="2" s="1"/>
  <c r="O51" i="3"/>
  <c r="L48" i="12"/>
  <c r="M44" i="7"/>
  <c r="L55" i="15"/>
  <c r="N44" i="12"/>
  <c r="N51" i="12"/>
  <c r="N40" i="16"/>
  <c r="N7" i="16" s="1"/>
  <c r="N52" i="15"/>
  <c r="M53" i="15"/>
  <c r="K57" i="12"/>
  <c r="K43" i="12"/>
  <c r="K53" i="12" s="1"/>
  <c r="L40" i="7" s="1"/>
  <c r="M47" i="12"/>
  <c r="M54" i="15"/>
  <c r="O19" i="3"/>
  <c r="O8" i="3"/>
  <c r="O5" i="3"/>
  <c r="O16" i="3"/>
  <c r="O52" i="5"/>
  <c r="O35" i="3"/>
  <c r="O34" i="3" s="1"/>
  <c r="O44" i="3"/>
  <c r="P20" i="3"/>
  <c r="O40" i="6"/>
  <c r="O7" i="6" s="1"/>
  <c r="P9" i="3"/>
  <c r="P17" i="3"/>
  <c r="N53" i="14"/>
  <c r="O40" i="13"/>
  <c r="O7" i="13" s="1"/>
  <c r="P45" i="3"/>
  <c r="N26" i="7"/>
  <c r="O52" i="14"/>
  <c r="M55" i="14"/>
  <c r="G10" i="15"/>
  <c r="G48" i="15"/>
  <c r="F16" i="15"/>
  <c r="F43" i="15" s="1"/>
  <c r="F47" i="15"/>
  <c r="F16" i="14"/>
  <c r="F43" i="14" s="1"/>
  <c r="F47" i="14"/>
  <c r="E48" i="5"/>
  <c r="E16" i="5"/>
  <c r="E43" i="5" s="1"/>
  <c r="E47" i="5"/>
  <c r="G34" i="6"/>
  <c r="G36" i="6" s="1"/>
  <c r="H34" i="6" s="1"/>
  <c r="M43" i="10" l="1"/>
  <c r="M53" i="10" s="1"/>
  <c r="M57" i="10"/>
  <c r="L43" i="10"/>
  <c r="L53" i="10" s="1"/>
  <c r="M22" i="7" s="1"/>
  <c r="M12" i="14"/>
  <c r="M15" i="14" s="1"/>
  <c r="R164" i="2"/>
  <c r="N164" i="2"/>
  <c r="P164" i="2"/>
  <c r="R160" i="2"/>
  <c r="R157" i="2" s="1"/>
  <c r="R156" i="2" s="1"/>
  <c r="R155" i="2" s="1"/>
  <c r="R154" i="2" s="1"/>
  <c r="Q22" i="5"/>
  <c r="M57" i="3"/>
  <c r="O164" i="2"/>
  <c r="G10" i="14"/>
  <c r="G47" i="14" s="1"/>
  <c r="Q164" i="2"/>
  <c r="M43" i="3"/>
  <c r="N8" i="5"/>
  <c r="Q21" i="14"/>
  <c r="Q24" i="14" s="1"/>
  <c r="Q29" i="14" s="1"/>
  <c r="P24" i="14"/>
  <c r="P29" i="14" s="1"/>
  <c r="M24" i="15"/>
  <c r="M29" i="15" s="1"/>
  <c r="O46" i="7"/>
  <c r="N48" i="10"/>
  <c r="N6" i="13"/>
  <c r="N48" i="3"/>
  <c r="N6" i="6"/>
  <c r="N44" i="7"/>
  <c r="M6" i="16"/>
  <c r="O47" i="3"/>
  <c r="O55" i="5" s="1"/>
  <c r="O8" i="7"/>
  <c r="O10" i="3"/>
  <c r="N21" i="5"/>
  <c r="M24" i="5"/>
  <c r="M29" i="5" s="1"/>
  <c r="N22" i="3"/>
  <c r="N23" i="3" s="1"/>
  <c r="N13" i="3"/>
  <c r="L12" i="15"/>
  <c r="L15" i="15" s="1"/>
  <c r="K15" i="15"/>
  <c r="K13" i="16"/>
  <c r="K18" i="16" s="1"/>
  <c r="L13" i="13"/>
  <c r="L18" i="13" s="1"/>
  <c r="J164" i="2"/>
  <c r="I164" i="2"/>
  <c r="M164" i="2"/>
  <c r="K164" i="2"/>
  <c r="P10" i="7"/>
  <c r="O47" i="10"/>
  <c r="P28" i="7"/>
  <c r="L43" i="12"/>
  <c r="L53" i="12" s="1"/>
  <c r="M40" i="7" s="1"/>
  <c r="O54" i="14"/>
  <c r="O12" i="3"/>
  <c r="Q9" i="3"/>
  <c r="N57" i="10"/>
  <c r="N43" i="10"/>
  <c r="N53" i="10" s="1"/>
  <c r="Q20" i="3"/>
  <c r="P51" i="10"/>
  <c r="P44" i="10"/>
  <c r="Q52" i="10"/>
  <c r="Q52" i="12"/>
  <c r="Q52" i="3"/>
  <c r="Q45" i="10"/>
  <c r="Q45" i="12"/>
  <c r="O53" i="14"/>
  <c r="P40" i="6"/>
  <c r="P7" i="6" s="1"/>
  <c r="P51" i="3"/>
  <c r="O53" i="5"/>
  <c r="Q17" i="3"/>
  <c r="N53" i="15"/>
  <c r="N47" i="12"/>
  <c r="N54" i="15"/>
  <c r="O44" i="12"/>
  <c r="O51" i="12"/>
  <c r="O40" i="16"/>
  <c r="O7" i="16" s="1"/>
  <c r="O52" i="15"/>
  <c r="M48" i="12"/>
  <c r="M55" i="15"/>
  <c r="P19" i="3"/>
  <c r="P16" i="3"/>
  <c r="P8" i="3"/>
  <c r="P5" i="3"/>
  <c r="P52" i="5"/>
  <c r="P44" i="3"/>
  <c r="P35" i="3"/>
  <c r="P34" i="3" s="1"/>
  <c r="O54" i="5"/>
  <c r="Q40" i="6"/>
  <c r="Q7" i="6" s="1"/>
  <c r="P40" i="13"/>
  <c r="P7" i="13" s="1"/>
  <c r="P52" i="14"/>
  <c r="Q45" i="3"/>
  <c r="N55" i="14"/>
  <c r="N22" i="7"/>
  <c r="G16" i="15"/>
  <c r="G43" i="15" s="1"/>
  <c r="G47" i="15"/>
  <c r="F10" i="5"/>
  <c r="F48" i="5"/>
  <c r="G16" i="14" l="1"/>
  <c r="G43" i="14" s="1"/>
  <c r="N57" i="3"/>
  <c r="M13" i="13"/>
  <c r="M18" i="13" s="1"/>
  <c r="N12" i="14"/>
  <c r="N13" i="13" s="1"/>
  <c r="N18" i="13" s="1"/>
  <c r="N43" i="3"/>
  <c r="P8" i="7"/>
  <c r="O8" i="5"/>
  <c r="L13" i="16"/>
  <c r="L18" i="16" s="1"/>
  <c r="M12" i="15"/>
  <c r="M13" i="16" s="1"/>
  <c r="M18" i="16" s="1"/>
  <c r="O44" i="7"/>
  <c r="N6" i="16"/>
  <c r="O13" i="3"/>
  <c r="O14" i="3"/>
  <c r="N24" i="15"/>
  <c r="N29" i="15" s="1"/>
  <c r="O21" i="5"/>
  <c r="N24" i="5"/>
  <c r="N29" i="5" s="1"/>
  <c r="O48" i="3"/>
  <c r="O6" i="6"/>
  <c r="P54" i="5"/>
  <c r="P10" i="3"/>
  <c r="P46" i="7"/>
  <c r="O48" i="10"/>
  <c r="O6" i="13"/>
  <c r="Q10" i="7"/>
  <c r="P47" i="10"/>
  <c r="Q28" i="7"/>
  <c r="P47" i="3"/>
  <c r="Q8" i="7" s="1"/>
  <c r="P53" i="14"/>
  <c r="O57" i="10"/>
  <c r="O22" i="3"/>
  <c r="O23" i="3" s="1"/>
  <c r="P12" i="3"/>
  <c r="P14" i="3" s="1"/>
  <c r="P53" i="5"/>
  <c r="Q52" i="5"/>
  <c r="Q44" i="3"/>
  <c r="R10" i="7" s="1"/>
  <c r="Q35" i="3"/>
  <c r="Q34" i="3" s="1"/>
  <c r="Q44" i="10"/>
  <c r="Q51" i="10"/>
  <c r="Q51" i="3"/>
  <c r="O47" i="12"/>
  <c r="O54" i="15"/>
  <c r="N48" i="12"/>
  <c r="N55" i="15"/>
  <c r="P44" i="12"/>
  <c r="P51" i="12"/>
  <c r="P52" i="15"/>
  <c r="P40" i="16"/>
  <c r="P7" i="16" s="1"/>
  <c r="O53" i="15"/>
  <c r="M57" i="12"/>
  <c r="M43" i="12"/>
  <c r="M53" i="12" s="1"/>
  <c r="N40" i="7" s="1"/>
  <c r="Q19" i="3"/>
  <c r="Q16" i="3"/>
  <c r="Q8" i="3"/>
  <c r="Q5" i="3"/>
  <c r="P54" i="14"/>
  <c r="O22" i="7"/>
  <c r="Q52" i="14"/>
  <c r="Q40" i="13"/>
  <c r="Q7" i="13" s="1"/>
  <c r="O55" i="14"/>
  <c r="P26" i="7"/>
  <c r="F16" i="5"/>
  <c r="F43" i="5" s="1"/>
  <c r="F47" i="5"/>
  <c r="G10" i="5"/>
  <c r="G48" i="5"/>
  <c r="N15" i="14" l="1"/>
  <c r="P8" i="5"/>
  <c r="O12" i="14"/>
  <c r="O15" i="14" s="1"/>
  <c r="M15" i="15"/>
  <c r="N12" i="15"/>
  <c r="N15" i="15" s="1"/>
  <c r="O13" i="13"/>
  <c r="O18" i="13" s="1"/>
  <c r="Q10" i="3"/>
  <c r="Q46" i="7"/>
  <c r="P48" i="3"/>
  <c r="P6" i="6"/>
  <c r="P21" i="5"/>
  <c r="O24" i="5"/>
  <c r="O29" i="5" s="1"/>
  <c r="Q47" i="3"/>
  <c r="Q55" i="5" s="1"/>
  <c r="P55" i="14"/>
  <c r="P12" i="14" s="1"/>
  <c r="P6" i="13"/>
  <c r="O24" i="15"/>
  <c r="O29" i="15" s="1"/>
  <c r="P44" i="7"/>
  <c r="O6" i="16"/>
  <c r="P22" i="3"/>
  <c r="P57" i="3" s="1"/>
  <c r="P13" i="3"/>
  <c r="P55" i="5"/>
  <c r="O43" i="10"/>
  <c r="O53" i="10" s="1"/>
  <c r="P22" i="7" s="1"/>
  <c r="Q54" i="5"/>
  <c r="Q47" i="10"/>
  <c r="R28" i="7"/>
  <c r="P48" i="10"/>
  <c r="Q26" i="7"/>
  <c r="O43" i="3"/>
  <c r="O57" i="3"/>
  <c r="Q12" i="3"/>
  <c r="Q14" i="3" s="1"/>
  <c r="P43" i="10"/>
  <c r="P53" i="10" s="1"/>
  <c r="Q53" i="5"/>
  <c r="Q44" i="12"/>
  <c r="Q51" i="12"/>
  <c r="Q40" i="16"/>
  <c r="Q7" i="16" s="1"/>
  <c r="Q52" i="15"/>
  <c r="N57" i="12"/>
  <c r="N43" i="12"/>
  <c r="N53" i="12" s="1"/>
  <c r="O40" i="7" s="1"/>
  <c r="P53" i="15"/>
  <c r="P47" i="12"/>
  <c r="P54" i="15"/>
  <c r="O48" i="12"/>
  <c r="O55" i="15"/>
  <c r="Q54" i="14"/>
  <c r="Q53" i="14"/>
  <c r="C13" i="7"/>
  <c r="C49" i="17"/>
  <c r="C31" i="17"/>
  <c r="C13" i="17"/>
  <c r="E19" i="8"/>
  <c r="F19" i="8" s="1"/>
  <c r="H19" i="8" s="1"/>
  <c r="E28" i="8"/>
  <c r="E18" i="8"/>
  <c r="F18" i="8" s="1"/>
  <c r="H18" i="8" s="1"/>
  <c r="E27" i="8"/>
  <c r="E26" i="8"/>
  <c r="E24" i="8"/>
  <c r="E23" i="8"/>
  <c r="E22" i="8"/>
  <c r="E20" i="8"/>
  <c r="F31" i="7"/>
  <c r="F49" i="7"/>
  <c r="F13" i="7"/>
  <c r="C49" i="7"/>
  <c r="C31" i="7"/>
  <c r="G16" i="5"/>
  <c r="G43" i="5" s="1"/>
  <c r="G47" i="5"/>
  <c r="Q8" i="5" l="1"/>
  <c r="O12" i="15"/>
  <c r="O15" i="15" s="1"/>
  <c r="N13" i="16"/>
  <c r="N18" i="16" s="1"/>
  <c r="R8" i="7"/>
  <c r="P15" i="14"/>
  <c r="P13" i="13"/>
  <c r="P18" i="13" s="1"/>
  <c r="O13" i="16"/>
  <c r="O18" i="16" s="1"/>
  <c r="Q21" i="5"/>
  <c r="Q24" i="5" s="1"/>
  <c r="Q29" i="5" s="1"/>
  <c r="P24" i="5"/>
  <c r="P29" i="5" s="1"/>
  <c r="Q44" i="7"/>
  <c r="P6" i="16"/>
  <c r="Q48" i="10"/>
  <c r="Q6" i="13"/>
  <c r="Q48" i="3"/>
  <c r="Q6" i="6"/>
  <c r="R46" i="7"/>
  <c r="P43" i="3"/>
  <c r="P23" i="3"/>
  <c r="Q24" i="15"/>
  <c r="Q29" i="15" s="1"/>
  <c r="P24" i="15"/>
  <c r="P29" i="15" s="1"/>
  <c r="R26" i="7"/>
  <c r="Q22" i="3"/>
  <c r="Q23" i="3" s="1"/>
  <c r="Q13" i="3"/>
  <c r="Q55" i="14"/>
  <c r="Q12" i="14" s="1"/>
  <c r="Q57" i="10"/>
  <c r="P57" i="10"/>
  <c r="P48" i="12"/>
  <c r="P55" i="15"/>
  <c r="O57" i="12"/>
  <c r="O43" i="12"/>
  <c r="O53" i="12" s="1"/>
  <c r="P40" i="7" s="1"/>
  <c r="Q47" i="12"/>
  <c r="Q54" i="15"/>
  <c r="Q53" i="15"/>
  <c r="Q22" i="7"/>
  <c r="F20" i="8"/>
  <c r="H20" i="8" s="1"/>
  <c r="F23" i="8"/>
  <c r="H23" i="8" s="1"/>
  <c r="F22" i="8"/>
  <c r="H22" i="8" s="1"/>
  <c r="F28" i="8"/>
  <c r="H28" i="8" s="1"/>
  <c r="F24" i="8"/>
  <c r="H24" i="8" s="1"/>
  <c r="F26" i="8"/>
  <c r="H26" i="8" s="1"/>
  <c r="F27" i="8"/>
  <c r="H27" i="8" s="1"/>
  <c r="P12" i="15" l="1"/>
  <c r="P15" i="15" s="1"/>
  <c r="Q43" i="3"/>
  <c r="Q15" i="14"/>
  <c r="Q13" i="13"/>
  <c r="Q18" i="13" s="1"/>
  <c r="R44" i="7"/>
  <c r="Q6" i="16"/>
  <c r="Q57" i="3"/>
  <c r="Q43" i="10"/>
  <c r="Q53" i="10" s="1"/>
  <c r="R22" i="7" s="1"/>
  <c r="F22" i="7" s="1" a="1"/>
  <c r="F22" i="7" s="1"/>
  <c r="F25" i="7" s="1"/>
  <c r="F27" i="7" s="1"/>
  <c r="Q43" i="12"/>
  <c r="Q53" i="12" s="1"/>
  <c r="R40" i="7" s="1"/>
  <c r="P43" i="12"/>
  <c r="P53" i="12" s="1"/>
  <c r="Q40" i="7" s="1"/>
  <c r="P57" i="12"/>
  <c r="Q48" i="12"/>
  <c r="Q55" i="15"/>
  <c r="C33" i="8"/>
  <c r="D13" i="1" s="1"/>
  <c r="C32" i="8"/>
  <c r="C34" i="8"/>
  <c r="F13" i="1" s="1"/>
  <c r="P13" i="16" l="1"/>
  <c r="P18" i="16" s="1"/>
  <c r="Q12" i="15"/>
  <c r="Q15" i="15" s="1"/>
  <c r="Q13" i="16"/>
  <c r="Q18" i="16" s="1"/>
  <c r="Q57" i="12"/>
  <c r="F40" i="7" a="1"/>
  <c r="F40" i="7" s="1"/>
  <c r="F43" i="7" s="1"/>
  <c r="F45" i="7" s="1"/>
  <c r="C13" i="1"/>
  <c r="E13" i="1"/>
  <c r="H54" i="5" l="1"/>
  <c r="H48" i="3"/>
  <c r="I10" i="7"/>
  <c r="I8" i="7" l="1"/>
  <c r="H55" i="5"/>
  <c r="H12" i="5" s="1"/>
  <c r="I12" i="5" l="1"/>
  <c r="I13" i="6" s="1"/>
  <c r="I18" i="6" s="1"/>
  <c r="H15" i="5"/>
  <c r="H13" i="6"/>
  <c r="H18" i="6" s="1"/>
  <c r="I15" i="5" l="1"/>
  <c r="J12" i="5"/>
  <c r="J15" i="5" l="1"/>
  <c r="K12" i="5"/>
  <c r="K13" i="6" s="1"/>
  <c r="K18" i="6" s="1"/>
  <c r="J13" i="6"/>
  <c r="J18" i="6" s="1"/>
  <c r="L12" i="5" l="1"/>
  <c r="L13" i="6" s="1"/>
  <c r="L18" i="6" s="1"/>
  <c r="K15" i="5"/>
  <c r="L15" i="5" l="1"/>
  <c r="M12" i="5"/>
  <c r="N12" i="5" l="1"/>
  <c r="M13" i="6"/>
  <c r="M18" i="6" s="1"/>
  <c r="M15" i="5"/>
  <c r="O12" i="5" l="1"/>
  <c r="N15" i="5"/>
  <c r="N13" i="6"/>
  <c r="N18" i="6" s="1"/>
  <c r="D156" i="2"/>
  <c r="H51" i="3"/>
  <c r="H53" i="3" s="1"/>
  <c r="I4" i="7" s="1"/>
  <c r="N53" i="3"/>
  <c r="O4" i="7" s="1"/>
  <c r="P53" i="3"/>
  <c r="Q4" i="7" s="1"/>
  <c r="I53" i="3"/>
  <c r="J4" i="7" s="1"/>
  <c r="M53" i="3"/>
  <c r="N4" i="7" s="1"/>
  <c r="O53" i="3"/>
  <c r="P4" i="7" s="1"/>
  <c r="K53" i="3"/>
  <c r="L4" i="7" s="1"/>
  <c r="Q53" i="3"/>
  <c r="R4" i="7" s="1"/>
  <c r="L53" i="3"/>
  <c r="M4" i="7" s="1"/>
  <c r="J53" i="3"/>
  <c r="K4" i="7" s="1"/>
  <c r="P12" i="5" l="1"/>
  <c r="O15" i="5"/>
  <c r="O13" i="6"/>
  <c r="O18" i="6" s="1"/>
  <c r="F4" i="7" a="1"/>
  <c r="F4" i="7" s="1"/>
  <c r="F7" i="7" s="1"/>
  <c r="F9" i="7" s="1"/>
  <c r="D166" i="2"/>
  <c r="D167" i="2" s="1"/>
  <c r="Q167" i="2" l="1"/>
  <c r="P167" i="2"/>
  <c r="R167" i="2"/>
  <c r="O167" i="2"/>
  <c r="N167" i="2"/>
  <c r="P13" i="6"/>
  <c r="P18" i="6" s="1"/>
  <c r="P15" i="5"/>
  <c r="Q12" i="5"/>
  <c r="L167" i="2"/>
  <c r="J167" i="2"/>
  <c r="I167" i="2"/>
  <c r="Q25" i="3" s="1"/>
  <c r="K167" i="2"/>
  <c r="M167" i="2"/>
  <c r="M25" i="3" l="1"/>
  <c r="J25" i="3"/>
  <c r="H6" i="17" s="1"/>
  <c r="K25" i="3"/>
  <c r="K26" i="3" s="1"/>
  <c r="Q15" i="5"/>
  <c r="Q13" i="6"/>
  <c r="Q18" i="6" s="1"/>
  <c r="P25" i="3"/>
  <c r="P28" i="3" s="1"/>
  <c r="H25" i="3"/>
  <c r="F6" i="17" s="1"/>
  <c r="H25" i="10"/>
  <c r="F24" i="17" s="1"/>
  <c r="H25" i="12"/>
  <c r="F42" i="17" s="1"/>
  <c r="I25" i="12"/>
  <c r="G42" i="17" s="1"/>
  <c r="I25" i="10"/>
  <c r="G24" i="17" s="1"/>
  <c r="J25" i="10"/>
  <c r="H24" i="17" s="1"/>
  <c r="J25" i="12"/>
  <c r="H42" i="17" s="1"/>
  <c r="K25" i="12"/>
  <c r="I42" i="17" s="1"/>
  <c r="K25" i="10"/>
  <c r="M25" i="12"/>
  <c r="K42" i="17" s="1"/>
  <c r="L25" i="10"/>
  <c r="J24" i="17" s="1"/>
  <c r="L25" i="12"/>
  <c r="J42" i="17" s="1"/>
  <c r="O25" i="10"/>
  <c r="O25" i="12"/>
  <c r="M42" i="17" s="1"/>
  <c r="M25" i="10"/>
  <c r="N25" i="10"/>
  <c r="N25" i="12"/>
  <c r="L42" i="17" s="1"/>
  <c r="Q25" i="10"/>
  <c r="Q25" i="12"/>
  <c r="O42" i="17" s="1"/>
  <c r="P25" i="12"/>
  <c r="N42" i="17" s="1"/>
  <c r="P25" i="10"/>
  <c r="O25" i="3"/>
  <c r="O28" i="3" s="1"/>
  <c r="N25" i="3"/>
  <c r="N26" i="3" s="1"/>
  <c r="L25" i="3"/>
  <c r="L28" i="3" s="1"/>
  <c r="I25" i="3"/>
  <c r="I26" i="3" s="1"/>
  <c r="O24" i="17"/>
  <c r="O6" i="17"/>
  <c r="N24" i="17"/>
  <c r="K6" i="17"/>
  <c r="K24" i="17"/>
  <c r="Q26" i="3"/>
  <c r="Q28" i="3"/>
  <c r="M26" i="3"/>
  <c r="M28" i="3"/>
  <c r="J26" i="3" l="1"/>
  <c r="H26" i="3"/>
  <c r="J28" i="3"/>
  <c r="J29" i="3" s="1"/>
  <c r="P26" i="3"/>
  <c r="N6" i="17"/>
  <c r="K28" i="3"/>
  <c r="K29" i="3" s="1"/>
  <c r="I6" i="17"/>
  <c r="M6" i="17"/>
  <c r="L24" i="17"/>
  <c r="L6" i="17"/>
  <c r="O26" i="3"/>
  <c r="M24" i="17"/>
  <c r="N28" i="3"/>
  <c r="N29" i="3" s="1"/>
  <c r="N28" i="12"/>
  <c r="N26" i="12"/>
  <c r="K26" i="10"/>
  <c r="K28" i="10"/>
  <c r="N26" i="10"/>
  <c r="N28" i="10"/>
  <c r="K26" i="12"/>
  <c r="K28" i="12"/>
  <c r="M28" i="10"/>
  <c r="M26" i="10"/>
  <c r="J26" i="12"/>
  <c r="J28" i="12"/>
  <c r="O26" i="12"/>
  <c r="O28" i="12"/>
  <c r="J26" i="10"/>
  <c r="J28" i="10"/>
  <c r="H28" i="3"/>
  <c r="H31" i="3" s="1"/>
  <c r="H37" i="3" s="1"/>
  <c r="P26" i="10"/>
  <c r="P28" i="10"/>
  <c r="O26" i="10"/>
  <c r="O28" i="10"/>
  <c r="I26" i="10"/>
  <c r="I28" i="10"/>
  <c r="P26" i="12"/>
  <c r="P28" i="12"/>
  <c r="L26" i="12"/>
  <c r="L28" i="12"/>
  <c r="I26" i="12"/>
  <c r="I28" i="12"/>
  <c r="Q26" i="12"/>
  <c r="Q28" i="12"/>
  <c r="L26" i="10"/>
  <c r="L28" i="10"/>
  <c r="H26" i="12"/>
  <c r="H28" i="12"/>
  <c r="I24" i="17"/>
  <c r="Q26" i="10"/>
  <c r="Q28" i="10"/>
  <c r="M26" i="12"/>
  <c r="M28" i="12"/>
  <c r="H26" i="10"/>
  <c r="H28" i="10"/>
  <c r="J6" i="17"/>
  <c r="L26" i="3"/>
  <c r="I28" i="3"/>
  <c r="I29" i="3" s="1"/>
  <c r="G6" i="17"/>
  <c r="P29" i="3"/>
  <c r="P31" i="3"/>
  <c r="L29" i="3"/>
  <c r="L31" i="3"/>
  <c r="L37" i="3" s="1"/>
  <c r="M29" i="3"/>
  <c r="M31" i="3"/>
  <c r="N14" i="7" s="1"/>
  <c r="Q29" i="3"/>
  <c r="Q31" i="3"/>
  <c r="O29" i="3"/>
  <c r="O31" i="3"/>
  <c r="J31" i="3" l="1"/>
  <c r="J37" i="3" s="1"/>
  <c r="J38" i="3" s="1"/>
  <c r="N31" i="3"/>
  <c r="N37" i="3" s="1"/>
  <c r="K31" i="3"/>
  <c r="K37" i="3" s="1"/>
  <c r="K56" i="5" s="1"/>
  <c r="H29" i="3"/>
  <c r="I31" i="3"/>
  <c r="I37" i="3" s="1"/>
  <c r="I5" i="6" s="1"/>
  <c r="I10" i="6" s="1"/>
  <c r="J29" i="10"/>
  <c r="J31" i="10"/>
  <c r="J32" i="10" s="1"/>
  <c r="K29" i="12"/>
  <c r="K31" i="12"/>
  <c r="K32" i="12" s="1"/>
  <c r="M31" i="12"/>
  <c r="M32" i="12" s="1"/>
  <c r="M29" i="12"/>
  <c r="Q31" i="12"/>
  <c r="Q32" i="12" s="1"/>
  <c r="Q29" i="12"/>
  <c r="I29" i="10"/>
  <c r="I31" i="10"/>
  <c r="I32" i="10" s="1"/>
  <c r="Q31" i="10"/>
  <c r="Q32" i="10" s="1"/>
  <c r="Q29" i="10"/>
  <c r="O29" i="12"/>
  <c r="O31" i="12"/>
  <c r="O32" i="12" s="1"/>
  <c r="N29" i="10"/>
  <c r="N31" i="10"/>
  <c r="N32" i="10" s="1"/>
  <c r="J31" i="12"/>
  <c r="J32" i="12" s="1"/>
  <c r="J29" i="12"/>
  <c r="K29" i="10"/>
  <c r="K31" i="10"/>
  <c r="K32" i="10" s="1"/>
  <c r="I31" i="12"/>
  <c r="I32" i="12" s="1"/>
  <c r="I29" i="12"/>
  <c r="L5" i="6"/>
  <c r="L10" i="6" s="1"/>
  <c r="H31" i="12"/>
  <c r="H32" i="12" s="1"/>
  <c r="H29" i="12"/>
  <c r="L31" i="12"/>
  <c r="L32" i="12" s="1"/>
  <c r="L29" i="12"/>
  <c r="P29" i="10"/>
  <c r="P31" i="10"/>
  <c r="H31" i="10"/>
  <c r="H32" i="10" s="1"/>
  <c r="H29" i="10"/>
  <c r="O29" i="10"/>
  <c r="O31" i="10"/>
  <c r="L29" i="10"/>
  <c r="L31" i="10"/>
  <c r="L32" i="10" s="1"/>
  <c r="P29" i="12"/>
  <c r="P31" i="12"/>
  <c r="P58" i="12" s="1"/>
  <c r="P59" i="12" s="1"/>
  <c r="Q42" i="7" s="1"/>
  <c r="M29" i="10"/>
  <c r="M31" i="10"/>
  <c r="M32" i="10" s="1"/>
  <c r="N29" i="12"/>
  <c r="N31" i="12"/>
  <c r="N32" i="12" s="1"/>
  <c r="H39" i="3"/>
  <c r="H5" i="6"/>
  <c r="H10" i="6" s="1"/>
  <c r="O37" i="3"/>
  <c r="P14" i="7"/>
  <c r="P37" i="3"/>
  <c r="Q14" i="7"/>
  <c r="Q37" i="3"/>
  <c r="R14" i="7"/>
  <c r="R50" i="7"/>
  <c r="M32" i="3"/>
  <c r="M58" i="3"/>
  <c r="M59" i="3" s="1"/>
  <c r="N6" i="7" s="1"/>
  <c r="P32" i="3"/>
  <c r="P58" i="3"/>
  <c r="P59" i="3" s="1"/>
  <c r="Q6" i="7" s="1"/>
  <c r="J58" i="3"/>
  <c r="J59" i="3" s="1"/>
  <c r="K6" i="7" s="1"/>
  <c r="H56" i="5"/>
  <c r="H41" i="6"/>
  <c r="H22" i="6" s="1"/>
  <c r="H38" i="3"/>
  <c r="L38" i="3"/>
  <c r="L56" i="5"/>
  <c r="L41" i="6"/>
  <c r="L22" i="6" s="1"/>
  <c r="L27" i="6" s="1"/>
  <c r="J56" i="5"/>
  <c r="H32" i="3"/>
  <c r="H58" i="3"/>
  <c r="H59" i="3" s="1"/>
  <c r="I6" i="7" s="1"/>
  <c r="I14" i="7"/>
  <c r="L32" i="3"/>
  <c r="M14" i="7"/>
  <c r="L58" i="3"/>
  <c r="L59" i="3" s="1"/>
  <c r="M6" i="7" s="1"/>
  <c r="O32" i="3"/>
  <c r="O58" i="3"/>
  <c r="O59" i="3" s="1"/>
  <c r="P6" i="7" s="1"/>
  <c r="Q32" i="3"/>
  <c r="Q58" i="3"/>
  <c r="Q59" i="3" s="1"/>
  <c r="R6" i="7" s="1"/>
  <c r="M37" i="3"/>
  <c r="J5" i="6" l="1"/>
  <c r="J10" i="6" s="1"/>
  <c r="J39" i="3"/>
  <c r="J41" i="6"/>
  <c r="J22" i="6" s="1"/>
  <c r="J27" i="6" s="1"/>
  <c r="K14" i="7"/>
  <c r="J32" i="3"/>
  <c r="J14" i="7"/>
  <c r="I58" i="3"/>
  <c r="I59" i="3" s="1"/>
  <c r="J6" i="7" s="1"/>
  <c r="I32" i="3"/>
  <c r="I39" i="3"/>
  <c r="Q58" i="12"/>
  <c r="Q59" i="12" s="1"/>
  <c r="R42" i="7" s="1"/>
  <c r="I56" i="5"/>
  <c r="I38" i="3"/>
  <c r="L31" i="6"/>
  <c r="H58" i="12"/>
  <c r="H59" i="12" s="1"/>
  <c r="I42" i="7" s="1"/>
  <c r="I58" i="10"/>
  <c r="I59" i="10" s="1"/>
  <c r="J24" i="7" s="1"/>
  <c r="I41" i="6"/>
  <c r="I22" i="6" s="1"/>
  <c r="I27" i="6" s="1"/>
  <c r="I31" i="6" s="1"/>
  <c r="K50" i="7"/>
  <c r="N32" i="3"/>
  <c r="O14" i="7"/>
  <c r="N58" i="3"/>
  <c r="N59" i="3" s="1"/>
  <c r="O6" i="7" s="1"/>
  <c r="O50" i="7"/>
  <c r="M50" i="7"/>
  <c r="J32" i="7"/>
  <c r="L50" i="7"/>
  <c r="J50" i="7"/>
  <c r="K32" i="7"/>
  <c r="K41" i="6"/>
  <c r="K22" i="6" s="1"/>
  <c r="K27" i="6" s="1"/>
  <c r="J58" i="10"/>
  <c r="J59" i="10" s="1"/>
  <c r="K24" i="7" s="1"/>
  <c r="K58" i="3"/>
  <c r="K59" i="3" s="1"/>
  <c r="L6" i="7" s="1"/>
  <c r="L39" i="3"/>
  <c r="K32" i="3"/>
  <c r="K39" i="3"/>
  <c r="K5" i="6"/>
  <c r="K10" i="6" s="1"/>
  <c r="K38" i="3"/>
  <c r="L14" i="7"/>
  <c r="K58" i="12"/>
  <c r="K59" i="12" s="1"/>
  <c r="L42" i="7" s="1"/>
  <c r="I58" i="12"/>
  <c r="I59" i="12" s="1"/>
  <c r="J42" i="7" s="1"/>
  <c r="P50" i="7"/>
  <c r="O58" i="12"/>
  <c r="O59" i="12" s="1"/>
  <c r="P42" i="7" s="1"/>
  <c r="O32" i="7"/>
  <c r="O37" i="12"/>
  <c r="O41" i="16" s="1"/>
  <c r="O22" i="16" s="1"/>
  <c r="O27" i="16" s="1"/>
  <c r="J37" i="10"/>
  <c r="J56" i="14" s="1"/>
  <c r="K58" i="10"/>
  <c r="K59" i="10" s="1"/>
  <c r="L24" i="7" s="1"/>
  <c r="L32" i="7"/>
  <c r="J37" i="12"/>
  <c r="J56" i="15" s="1"/>
  <c r="Q37" i="10"/>
  <c r="Q38" i="10" s="1"/>
  <c r="J58" i="12"/>
  <c r="J59" i="12" s="1"/>
  <c r="K42" i="7" s="1"/>
  <c r="R32" i="7"/>
  <c r="M58" i="10"/>
  <c r="M59" i="10" s="1"/>
  <c r="N24" i="7" s="1"/>
  <c r="Q58" i="10"/>
  <c r="Q59" i="10" s="1"/>
  <c r="R24" i="7" s="1"/>
  <c r="N50" i="7"/>
  <c r="I50" i="7"/>
  <c r="H37" i="10"/>
  <c r="H56" i="14" s="1"/>
  <c r="M58" i="12"/>
  <c r="M59" i="12" s="1"/>
  <c r="N42" i="7" s="1"/>
  <c r="I32" i="7"/>
  <c r="H58" i="10"/>
  <c r="H59" i="10" s="1"/>
  <c r="I24" i="7" s="1"/>
  <c r="L58" i="12"/>
  <c r="L59" i="12" s="1"/>
  <c r="M42" i="7" s="1"/>
  <c r="P5" i="6"/>
  <c r="P10" i="6" s="1"/>
  <c r="P39" i="3"/>
  <c r="M39" i="3"/>
  <c r="M5" i="6"/>
  <c r="M10" i="6" s="1"/>
  <c r="N41" i="6"/>
  <c r="N22" i="6" s="1"/>
  <c r="N27" i="6" s="1"/>
  <c r="N39" i="3"/>
  <c r="N5" i="6"/>
  <c r="N10" i="6" s="1"/>
  <c r="O38" i="3"/>
  <c r="O39" i="3"/>
  <c r="O5" i="6"/>
  <c r="O10" i="6" s="1"/>
  <c r="N32" i="7"/>
  <c r="Q5" i="6"/>
  <c r="Q10" i="6" s="1"/>
  <c r="Q39" i="3"/>
  <c r="M37" i="10"/>
  <c r="M41" i="13" s="1"/>
  <c r="M22" i="13" s="1"/>
  <c r="M27" i="13" s="1"/>
  <c r="M37" i="12"/>
  <c r="M56" i="15" s="1"/>
  <c r="N58" i="10"/>
  <c r="N59" i="10" s="1"/>
  <c r="O24" i="7" s="1"/>
  <c r="P32" i="12"/>
  <c r="Q50" i="7"/>
  <c r="M32" i="7"/>
  <c r="P32" i="10"/>
  <c r="Q32" i="7"/>
  <c r="L58" i="10"/>
  <c r="L59" i="10" s="1"/>
  <c r="M24" i="7" s="1"/>
  <c r="O32" i="10"/>
  <c r="P32" i="7"/>
  <c r="L37" i="12"/>
  <c r="L38" i="12" s="1"/>
  <c r="L37" i="10"/>
  <c r="L41" i="13" s="1"/>
  <c r="L22" i="13" s="1"/>
  <c r="L27" i="13" s="1"/>
  <c r="I37" i="12"/>
  <c r="I5" i="16" s="1"/>
  <c r="I10" i="16" s="1"/>
  <c r="I37" i="10"/>
  <c r="I38" i="10" s="1"/>
  <c r="I24" i="15"/>
  <c r="I29" i="15" s="1"/>
  <c r="P37" i="12"/>
  <c r="P41" i="16" s="1"/>
  <c r="P22" i="16" s="1"/>
  <c r="P27" i="16" s="1"/>
  <c r="P37" i="10"/>
  <c r="P41" i="13" s="1"/>
  <c r="P22" i="13" s="1"/>
  <c r="P27" i="13" s="1"/>
  <c r="H24" i="5"/>
  <c r="N37" i="12"/>
  <c r="Q37" i="12"/>
  <c r="Q41" i="16" s="1"/>
  <c r="Q22" i="16" s="1"/>
  <c r="Q27" i="16" s="1"/>
  <c r="K37" i="12"/>
  <c r="N58" i="12"/>
  <c r="N59" i="12" s="1"/>
  <c r="O42" i="7" s="1"/>
  <c r="P58" i="10"/>
  <c r="P59" i="10" s="1"/>
  <c r="Q24" i="7" s="1"/>
  <c r="O58" i="10"/>
  <c r="O59" i="10" s="1"/>
  <c r="P24" i="7" s="1"/>
  <c r="O37" i="10"/>
  <c r="H37" i="12"/>
  <c r="K37" i="10"/>
  <c r="N37" i="10"/>
  <c r="N41" i="13" s="1"/>
  <c r="N22" i="13" s="1"/>
  <c r="N27" i="13" s="1"/>
  <c r="O41" i="6"/>
  <c r="O22" i="6" s="1"/>
  <c r="O27" i="6" s="1"/>
  <c r="O56" i="5"/>
  <c r="P38" i="3"/>
  <c r="N38" i="3"/>
  <c r="N56" i="5"/>
  <c r="P41" i="6"/>
  <c r="P56" i="5"/>
  <c r="Q38" i="3"/>
  <c r="Q41" i="6"/>
  <c r="Q56" i="5"/>
  <c r="H57" i="5"/>
  <c r="H33" i="5" s="1"/>
  <c r="H27" i="6"/>
  <c r="H31" i="6" s="1"/>
  <c r="H36" i="6" s="1"/>
  <c r="M56" i="5"/>
  <c r="M41" i="6"/>
  <c r="M22" i="6" s="1"/>
  <c r="M27" i="6" s="1"/>
  <c r="M38" i="3"/>
  <c r="H28" i="15"/>
  <c r="L57" i="5"/>
  <c r="J57" i="5" l="1"/>
  <c r="J31" i="6"/>
  <c r="H39" i="10"/>
  <c r="I57" i="5"/>
  <c r="I33" i="5" s="1"/>
  <c r="K57" i="5"/>
  <c r="O56" i="15"/>
  <c r="J38" i="12"/>
  <c r="Q56" i="14"/>
  <c r="Q41" i="13"/>
  <c r="Q22" i="13" s="1"/>
  <c r="Q27" i="13" s="1"/>
  <c r="J41" i="16"/>
  <c r="J22" i="16" s="1"/>
  <c r="J27" i="16" s="1"/>
  <c r="H41" i="13"/>
  <c r="H22" i="13" s="1"/>
  <c r="H57" i="14" s="1"/>
  <c r="H33" i="14" s="1"/>
  <c r="H40" i="14" s="1"/>
  <c r="H5" i="13"/>
  <c r="H10" i="13" s="1"/>
  <c r="I56" i="14"/>
  <c r="I5" i="13"/>
  <c r="I10" i="13" s="1"/>
  <c r="I41" i="13"/>
  <c r="I22" i="13" s="1"/>
  <c r="I27" i="13" s="1"/>
  <c r="L5" i="16"/>
  <c r="L10" i="16" s="1"/>
  <c r="H38" i="10"/>
  <c r="K31" i="6"/>
  <c r="J41" i="13"/>
  <c r="J22" i="13" s="1"/>
  <c r="J27" i="13" s="1"/>
  <c r="P56" i="14"/>
  <c r="J38" i="10"/>
  <c r="J5" i="13"/>
  <c r="J10" i="13" s="1"/>
  <c r="M56" i="14"/>
  <c r="J39" i="10"/>
  <c r="O5" i="16"/>
  <c r="O10" i="16" s="1"/>
  <c r="O31" i="16" s="1"/>
  <c r="J5" i="16"/>
  <c r="J10" i="16" s="1"/>
  <c r="L39" i="12"/>
  <c r="O57" i="15"/>
  <c r="O39" i="12"/>
  <c r="O38" i="12"/>
  <c r="Q5" i="13"/>
  <c r="Q10" i="13" s="1"/>
  <c r="J39" i="12"/>
  <c r="I39" i="10"/>
  <c r="I38" i="12"/>
  <c r="K41" i="16"/>
  <c r="K22" i="16" s="1"/>
  <c r="K27" i="16" s="1"/>
  <c r="L57" i="14"/>
  <c r="K56" i="15"/>
  <c r="P56" i="15"/>
  <c r="L56" i="14"/>
  <c r="L5" i="13"/>
  <c r="L10" i="13" s="1"/>
  <c r="L31" i="13" s="1"/>
  <c r="O38" i="10"/>
  <c r="O5" i="13"/>
  <c r="O10" i="13" s="1"/>
  <c r="O39" i="10"/>
  <c r="M31" i="6"/>
  <c r="P38" i="10"/>
  <c r="P5" i="13"/>
  <c r="P10" i="13" s="1"/>
  <c r="P31" i="13" s="1"/>
  <c r="P39" i="10"/>
  <c r="M38" i="12"/>
  <c r="M5" i="16"/>
  <c r="M10" i="16" s="1"/>
  <c r="M39" i="12"/>
  <c r="M41" i="16"/>
  <c r="M22" i="16" s="1"/>
  <c r="O31" i="6"/>
  <c r="P38" i="12"/>
  <c r="P39" i="12"/>
  <c r="P5" i="16"/>
  <c r="P10" i="16" s="1"/>
  <c r="P31" i="16" s="1"/>
  <c r="M38" i="10"/>
  <c r="M5" i="13"/>
  <c r="M10" i="13" s="1"/>
  <c r="M31" i="13" s="1"/>
  <c r="M39" i="10"/>
  <c r="N38" i="10"/>
  <c r="N5" i="13"/>
  <c r="N10" i="13" s="1"/>
  <c r="N31" i="13" s="1"/>
  <c r="N39" i="10"/>
  <c r="P22" i="6"/>
  <c r="P27" i="6" s="1"/>
  <c r="P31" i="6" s="1"/>
  <c r="Q22" i="6"/>
  <c r="Q27" i="6" s="1"/>
  <c r="Q31" i="6" s="1"/>
  <c r="N57" i="5"/>
  <c r="N31" i="6"/>
  <c r="Q39" i="10"/>
  <c r="O57" i="5"/>
  <c r="N56" i="14"/>
  <c r="Q38" i="12"/>
  <c r="Q5" i="16"/>
  <c r="Q10" i="16" s="1"/>
  <c r="Q31" i="16" s="1"/>
  <c r="Q39" i="12"/>
  <c r="Q56" i="15"/>
  <c r="N5" i="16"/>
  <c r="N10" i="16" s="1"/>
  <c r="N39" i="12"/>
  <c r="L41" i="16"/>
  <c r="L22" i="16" s="1"/>
  <c r="L56" i="15"/>
  <c r="L38" i="10"/>
  <c r="I56" i="15"/>
  <c r="I41" i="16"/>
  <c r="I22" i="16" s="1"/>
  <c r="H5" i="16"/>
  <c r="H10" i="16" s="1"/>
  <c r="H39" i="12"/>
  <c r="H38" i="12"/>
  <c r="H41" i="16"/>
  <c r="H22" i="16" s="1"/>
  <c r="H56" i="15"/>
  <c r="I24" i="5"/>
  <c r="I29" i="5" s="1"/>
  <c r="K5" i="16"/>
  <c r="K10" i="16" s="1"/>
  <c r="K39" i="12"/>
  <c r="K38" i="12"/>
  <c r="N38" i="12"/>
  <c r="N56" i="15"/>
  <c r="N41" i="16"/>
  <c r="N22" i="16" s="1"/>
  <c r="I24" i="14"/>
  <c r="I29" i="14" s="1"/>
  <c r="O56" i="14"/>
  <c r="O41" i="13"/>
  <c r="O22" i="13" s="1"/>
  <c r="O27" i="13" s="1"/>
  <c r="K5" i="13"/>
  <c r="K10" i="13" s="1"/>
  <c r="K38" i="10"/>
  <c r="K39" i="10"/>
  <c r="K41" i="13"/>
  <c r="K22" i="13" s="1"/>
  <c r="K56" i="14"/>
  <c r="I39" i="12"/>
  <c r="L39" i="10"/>
  <c r="J24" i="15"/>
  <c r="J29" i="15" s="1"/>
  <c r="H6" i="5"/>
  <c r="H10" i="5" s="1"/>
  <c r="I34" i="6"/>
  <c r="I36" i="6" s="1"/>
  <c r="M57" i="14"/>
  <c r="N57" i="14"/>
  <c r="Q57" i="15"/>
  <c r="H29" i="5"/>
  <c r="M57" i="5"/>
  <c r="P57" i="15"/>
  <c r="H28" i="14"/>
  <c r="H24" i="15"/>
  <c r="H29" i="15" s="1"/>
  <c r="H40" i="5"/>
  <c r="H24" i="14"/>
  <c r="P57" i="14"/>
  <c r="J33" i="5" l="1"/>
  <c r="K33" i="5" s="1"/>
  <c r="I57" i="14"/>
  <c r="I33" i="14" s="1"/>
  <c r="I40" i="14" s="1"/>
  <c r="I42" i="14" s="1"/>
  <c r="J31" i="16"/>
  <c r="Q57" i="14"/>
  <c r="J31" i="13"/>
  <c r="I31" i="13"/>
  <c r="Q31" i="13"/>
  <c r="J57" i="15"/>
  <c r="H27" i="13"/>
  <c r="H31" i="13" s="1"/>
  <c r="H36" i="13" s="1"/>
  <c r="I34" i="13" s="1"/>
  <c r="J57" i="14"/>
  <c r="K57" i="15"/>
  <c r="K31" i="16"/>
  <c r="O57" i="14"/>
  <c r="I40" i="5"/>
  <c r="I42" i="5" s="1"/>
  <c r="N27" i="16"/>
  <c r="N31" i="16" s="1"/>
  <c r="N57" i="15"/>
  <c r="Q57" i="5"/>
  <c r="M27" i="16"/>
  <c r="M31" i="16" s="1"/>
  <c r="M57" i="15"/>
  <c r="P57" i="5"/>
  <c r="O31" i="13"/>
  <c r="L27" i="16"/>
  <c r="L31" i="16" s="1"/>
  <c r="L57" i="15"/>
  <c r="I27" i="16"/>
  <c r="I31" i="16" s="1"/>
  <c r="I57" i="15"/>
  <c r="L24" i="15"/>
  <c r="L29" i="15" s="1"/>
  <c r="K24" i="15"/>
  <c r="K29" i="15" s="1"/>
  <c r="H57" i="15"/>
  <c r="H33" i="15" s="1"/>
  <c r="H27" i="16"/>
  <c r="H31" i="16" s="1"/>
  <c r="H36" i="16" s="1"/>
  <c r="K27" i="13"/>
  <c r="K31" i="13" s="1"/>
  <c r="K57" i="14"/>
  <c r="J24" i="14"/>
  <c r="J29" i="14" s="1"/>
  <c r="J24" i="5"/>
  <c r="J29" i="5" s="1"/>
  <c r="J34" i="6"/>
  <c r="J36" i="6" s="1"/>
  <c r="I6" i="5"/>
  <c r="I10" i="5" s="1"/>
  <c r="I16" i="5" s="1"/>
  <c r="H48" i="5"/>
  <c r="H42" i="5"/>
  <c r="H29" i="14"/>
  <c r="H42" i="14" s="1"/>
  <c r="H16" i="5"/>
  <c r="H47" i="5"/>
  <c r="I12" i="7" s="1"/>
  <c r="I15" i="7" s="1"/>
  <c r="J40" i="5" l="1"/>
  <c r="J42" i="5" s="1"/>
  <c r="J33" i="14"/>
  <c r="J40" i="14" s="1"/>
  <c r="J42" i="14" s="1"/>
  <c r="I36" i="13"/>
  <c r="J34" i="13" s="1"/>
  <c r="J36" i="13" s="1"/>
  <c r="K34" i="13" s="1"/>
  <c r="K36" i="13" s="1"/>
  <c r="H6" i="14"/>
  <c r="I43" i="5"/>
  <c r="I33" i="15"/>
  <c r="H40" i="15"/>
  <c r="H42" i="15" s="1"/>
  <c r="L24" i="5"/>
  <c r="L29" i="5" s="1"/>
  <c r="K24" i="5"/>
  <c r="K29" i="5" s="1"/>
  <c r="H6" i="15"/>
  <c r="I34" i="16"/>
  <c r="I36" i="16" s="1"/>
  <c r="L24" i="14"/>
  <c r="L29" i="14" s="1"/>
  <c r="K24" i="14"/>
  <c r="K29" i="14" s="1"/>
  <c r="L33" i="5"/>
  <c r="K40" i="5"/>
  <c r="K34" i="6"/>
  <c r="K36" i="6" s="1"/>
  <c r="J6" i="5"/>
  <c r="J10" i="5" s="1"/>
  <c r="J16" i="5" s="1"/>
  <c r="I18" i="7"/>
  <c r="F4" i="17"/>
  <c r="F8" i="17" s="1"/>
  <c r="F12" i="17" s="1"/>
  <c r="H43" i="5"/>
  <c r="I48" i="5"/>
  <c r="K33" i="14" l="1"/>
  <c r="K40" i="14" s="1"/>
  <c r="K42" i="14" s="1"/>
  <c r="J6" i="14"/>
  <c r="J10" i="14" s="1"/>
  <c r="J16" i="14" s="1"/>
  <c r="J43" i="14" s="1"/>
  <c r="I6" i="14"/>
  <c r="I10" i="14" s="1"/>
  <c r="I16" i="14" s="1"/>
  <c r="I43" i="14" s="1"/>
  <c r="H48" i="14"/>
  <c r="H10" i="14"/>
  <c r="L40" i="5"/>
  <c r="L42" i="5" s="1"/>
  <c r="M33" i="5"/>
  <c r="J43" i="5"/>
  <c r="J34" i="16"/>
  <c r="J36" i="16" s="1"/>
  <c r="I6" i="15"/>
  <c r="H10" i="15"/>
  <c r="H48" i="15"/>
  <c r="K42" i="5"/>
  <c r="J33" i="15"/>
  <c r="I40" i="15"/>
  <c r="I42" i="15" s="1"/>
  <c r="L34" i="13"/>
  <c r="L36" i="13" s="1"/>
  <c r="K6" i="14"/>
  <c r="K10" i="14" s="1"/>
  <c r="K16" i="14" s="1"/>
  <c r="L34" i="6"/>
  <c r="L36" i="6" s="1"/>
  <c r="K6" i="5"/>
  <c r="K10" i="5" s="1"/>
  <c r="K16" i="5" s="1"/>
  <c r="I47" i="5"/>
  <c r="J12" i="7" s="1"/>
  <c r="J15" i="7" s="1"/>
  <c r="J48" i="5"/>
  <c r="L33" i="14" l="1"/>
  <c r="I48" i="14"/>
  <c r="H16" i="14"/>
  <c r="H43" i="14" s="1"/>
  <c r="H47" i="14"/>
  <c r="I30" i="7" s="1"/>
  <c r="I33" i="7" s="1"/>
  <c r="L6" i="5"/>
  <c r="L10" i="5" s="1"/>
  <c r="L16" i="5" s="1"/>
  <c r="L43" i="5" s="1"/>
  <c r="M34" i="6"/>
  <c r="M36" i="6" s="1"/>
  <c r="N33" i="5"/>
  <c r="M40" i="5"/>
  <c r="M42" i="5" s="1"/>
  <c r="L6" i="14"/>
  <c r="L10" i="14" s="1"/>
  <c r="L16" i="14" s="1"/>
  <c r="M34" i="13"/>
  <c r="M36" i="13" s="1"/>
  <c r="L40" i="14"/>
  <c r="L42" i="14" s="1"/>
  <c r="M33" i="14"/>
  <c r="H16" i="15"/>
  <c r="H43" i="15" s="1"/>
  <c r="H47" i="15"/>
  <c r="I48" i="7" s="1"/>
  <c r="I51" i="7" s="1"/>
  <c r="K33" i="15"/>
  <c r="J40" i="15"/>
  <c r="J42" i="15" s="1"/>
  <c r="I10" i="15"/>
  <c r="I48" i="15"/>
  <c r="K34" i="16"/>
  <c r="K36" i="16" s="1"/>
  <c r="J6" i="15"/>
  <c r="K43" i="5"/>
  <c r="K43" i="14"/>
  <c r="K47" i="5"/>
  <c r="J48" i="14"/>
  <c r="I47" i="14"/>
  <c r="J47" i="5"/>
  <c r="K12" i="7" s="1"/>
  <c r="K15" i="7" s="1"/>
  <c r="G4" i="17"/>
  <c r="G8" i="17" s="1"/>
  <c r="G12" i="17" s="1"/>
  <c r="J18" i="7"/>
  <c r="K48" i="5"/>
  <c r="J30" i="7" l="1"/>
  <c r="J33" i="7" s="1"/>
  <c r="G22" i="17" s="1"/>
  <c r="G26" i="17" s="1"/>
  <c r="G30" i="17" s="1"/>
  <c r="I36" i="7"/>
  <c r="F22" i="17"/>
  <c r="F26" i="17" s="1"/>
  <c r="F30" i="17" s="1"/>
  <c r="L43" i="14"/>
  <c r="N34" i="13"/>
  <c r="N36" i="13" s="1"/>
  <c r="M6" i="14"/>
  <c r="M10" i="14" s="1"/>
  <c r="M16" i="14" s="1"/>
  <c r="N33" i="14"/>
  <c r="M40" i="14"/>
  <c r="M42" i="14" s="1"/>
  <c r="O33" i="5"/>
  <c r="N40" i="5"/>
  <c r="N42" i="5" s="1"/>
  <c r="M6" i="5"/>
  <c r="M10" i="5" s="1"/>
  <c r="M16" i="5" s="1"/>
  <c r="M43" i="5" s="1"/>
  <c r="N34" i="6"/>
  <c r="N36" i="6" s="1"/>
  <c r="J10" i="15"/>
  <c r="J48" i="15"/>
  <c r="I16" i="15"/>
  <c r="I43" i="15" s="1"/>
  <c r="I47" i="15"/>
  <c r="J48" i="7" s="1"/>
  <c r="J51" i="7" s="1"/>
  <c r="L33" i="15"/>
  <c r="K40" i="15"/>
  <c r="K42" i="15" s="1"/>
  <c r="K6" i="15"/>
  <c r="L34" i="16"/>
  <c r="L36" i="16" s="1"/>
  <c r="F40" i="17"/>
  <c r="F44" i="17" s="1"/>
  <c r="F48" i="17" s="1"/>
  <c r="I54" i="7"/>
  <c r="L48" i="5"/>
  <c r="L47" i="5"/>
  <c r="M12" i="7" s="1"/>
  <c r="M15" i="7" s="1"/>
  <c r="H4" i="17"/>
  <c r="H8" i="17" s="1"/>
  <c r="H12" i="17" s="1"/>
  <c r="K18" i="7"/>
  <c r="L12" i="7"/>
  <c r="L15" i="7" s="1"/>
  <c r="K48" i="14"/>
  <c r="J47" i="14"/>
  <c r="K30" i="7" s="1"/>
  <c r="K33" i="7" s="1"/>
  <c r="J36" i="7" l="1"/>
  <c r="N6" i="5"/>
  <c r="N10" i="5" s="1"/>
  <c r="N16" i="5" s="1"/>
  <c r="N43" i="5" s="1"/>
  <c r="O34" i="6"/>
  <c r="O36" i="6" s="1"/>
  <c r="L40" i="15"/>
  <c r="L42" i="15" s="1"/>
  <c r="M33" i="15"/>
  <c r="O40" i="5"/>
  <c r="O42" i="5" s="1"/>
  <c r="P33" i="5"/>
  <c r="L6" i="15"/>
  <c r="L10" i="15" s="1"/>
  <c r="L16" i="15" s="1"/>
  <c r="M34" i="16"/>
  <c r="M36" i="16" s="1"/>
  <c r="N40" i="14"/>
  <c r="N42" i="14" s="1"/>
  <c r="O33" i="14"/>
  <c r="M43" i="14"/>
  <c r="N6" i="14"/>
  <c r="N10" i="14" s="1"/>
  <c r="N16" i="14" s="1"/>
  <c r="O34" i="13"/>
  <c r="O36" i="13" s="1"/>
  <c r="J54" i="7"/>
  <c r="G40" i="17"/>
  <c r="G44" i="17" s="1"/>
  <c r="G48" i="17" s="1"/>
  <c r="K10" i="15"/>
  <c r="K48" i="15"/>
  <c r="J16" i="15"/>
  <c r="J43" i="15" s="1"/>
  <c r="J47" i="15"/>
  <c r="K48" i="7" s="1"/>
  <c r="K51" i="7" s="1"/>
  <c r="M48" i="5"/>
  <c r="H22" i="17"/>
  <c r="H26" i="17" s="1"/>
  <c r="H30" i="17" s="1"/>
  <c r="K36" i="7"/>
  <c r="K47" i="14"/>
  <c r="L30" i="7" s="1"/>
  <c r="L33" i="7" s="1"/>
  <c r="L48" i="14"/>
  <c r="J4" i="17"/>
  <c r="M18" i="7"/>
  <c r="I4" i="17"/>
  <c r="I8" i="17" s="1"/>
  <c r="I12" i="17" s="1"/>
  <c r="L18" i="7"/>
  <c r="M47" i="5"/>
  <c r="N12" i="7" s="1"/>
  <c r="N15" i="7" s="1"/>
  <c r="L43" i="15" l="1"/>
  <c r="Q33" i="5"/>
  <c r="Q40" i="5" s="1"/>
  <c r="Q42" i="5" s="1"/>
  <c r="P40" i="5"/>
  <c r="P42" i="5" s="1"/>
  <c r="M6" i="15"/>
  <c r="N34" i="16"/>
  <c r="N36" i="16" s="1"/>
  <c r="O6" i="14"/>
  <c r="O10" i="14" s="1"/>
  <c r="O16" i="14" s="1"/>
  <c r="P34" i="13"/>
  <c r="P36" i="13" s="1"/>
  <c r="L48" i="15"/>
  <c r="M40" i="15"/>
  <c r="M42" i="15" s="1"/>
  <c r="N33" i="15"/>
  <c r="P33" i="14"/>
  <c r="O40" i="14"/>
  <c r="O42" i="14" s="1"/>
  <c r="P34" i="6"/>
  <c r="P36" i="6" s="1"/>
  <c r="O6" i="5"/>
  <c r="O10" i="5" s="1"/>
  <c r="O16" i="5" s="1"/>
  <c r="O43" i="5" s="1"/>
  <c r="L47" i="15"/>
  <c r="N43" i="14"/>
  <c r="K16" i="15"/>
  <c r="K43" i="15" s="1"/>
  <c r="K47" i="15"/>
  <c r="L48" i="7" s="1"/>
  <c r="L51" i="7" s="1"/>
  <c r="K54" i="7"/>
  <c r="H40" i="17"/>
  <c r="H44" i="17" s="1"/>
  <c r="H48" i="17" s="1"/>
  <c r="N18" i="7"/>
  <c r="K4" i="17"/>
  <c r="K8" i="17" s="1"/>
  <c r="K12" i="17" s="1"/>
  <c r="N47" i="5"/>
  <c r="O12" i="7" s="1"/>
  <c r="O15" i="7" s="1"/>
  <c r="L36" i="7"/>
  <c r="I22" i="17"/>
  <c r="I26" i="17" s="1"/>
  <c r="I30" i="17" s="1"/>
  <c r="N48" i="5"/>
  <c r="L47" i="14"/>
  <c r="M30" i="7" s="1"/>
  <c r="M33" i="7" s="1"/>
  <c r="M48" i="14"/>
  <c r="J8" i="17"/>
  <c r="J12" i="17" s="1"/>
  <c r="M48" i="7" l="1"/>
  <c r="M51" i="7" s="1"/>
  <c r="M54" i="7" s="1"/>
  <c r="P6" i="14"/>
  <c r="P10" i="14" s="1"/>
  <c r="P16" i="14" s="1"/>
  <c r="Q34" i="13"/>
  <c r="Q36" i="13" s="1"/>
  <c r="Q6" i="14" s="1"/>
  <c r="Q10" i="14" s="1"/>
  <c r="Q16" i="14" s="1"/>
  <c r="O43" i="14"/>
  <c r="N6" i="15"/>
  <c r="O34" i="16"/>
  <c r="O36" i="16" s="1"/>
  <c r="Q34" i="6"/>
  <c r="Q36" i="6" s="1"/>
  <c r="Q6" i="5" s="1"/>
  <c r="Q10" i="5" s="1"/>
  <c r="Q16" i="5" s="1"/>
  <c r="Q43" i="5" s="1"/>
  <c r="P6" i="5"/>
  <c r="P10" i="5" s="1"/>
  <c r="P16" i="5" s="1"/>
  <c r="P43" i="5" s="1"/>
  <c r="Q33" i="14"/>
  <c r="Q40" i="14" s="1"/>
  <c r="Q42" i="14" s="1"/>
  <c r="P40" i="14"/>
  <c r="P42" i="14" s="1"/>
  <c r="M10" i="15"/>
  <c r="M48" i="15"/>
  <c r="O33" i="15"/>
  <c r="N40" i="15"/>
  <c r="N42" i="15" s="1"/>
  <c r="I40" i="17"/>
  <c r="I44" i="17" s="1"/>
  <c r="I48" i="17" s="1"/>
  <c r="L54" i="7"/>
  <c r="L4" i="17"/>
  <c r="L8" i="17" s="1"/>
  <c r="L12" i="17" s="1"/>
  <c r="O18" i="7"/>
  <c r="O48" i="5"/>
  <c r="M47" i="14"/>
  <c r="N30" i="7" s="1"/>
  <c r="N33" i="7" s="1"/>
  <c r="N48" i="14"/>
  <c r="J22" i="17"/>
  <c r="M36" i="7"/>
  <c r="O47" i="5"/>
  <c r="P12" i="7" s="1"/>
  <c r="P15" i="7" s="1"/>
  <c r="J40" i="17" l="1"/>
  <c r="J44" i="17" s="1"/>
  <c r="J48" i="17" s="1"/>
  <c r="P34" i="16"/>
  <c r="P36" i="16" s="1"/>
  <c r="O6" i="15"/>
  <c r="N10" i="15"/>
  <c r="N48" i="15"/>
  <c r="P33" i="15"/>
  <c r="O40" i="15"/>
  <c r="O42" i="15" s="1"/>
  <c r="Q43" i="14"/>
  <c r="M16" i="15"/>
  <c r="M43" i="15" s="1"/>
  <c r="M47" i="15"/>
  <c r="N48" i="7" s="1"/>
  <c r="N51" i="7" s="1"/>
  <c r="P43" i="14"/>
  <c r="M4" i="17"/>
  <c r="P18" i="7"/>
  <c r="N36" i="7"/>
  <c r="K22" i="17"/>
  <c r="K26" i="17" s="1"/>
  <c r="K30" i="17" s="1"/>
  <c r="O48" i="14"/>
  <c r="J26" i="17"/>
  <c r="J30" i="17" s="1"/>
  <c r="N47" i="14"/>
  <c r="O30" i="7" s="1"/>
  <c r="O33" i="7" s="1"/>
  <c r="P47" i="5"/>
  <c r="Q12" i="7" s="1"/>
  <c r="Q15" i="7" s="1"/>
  <c r="Q48" i="5"/>
  <c r="P48" i="5"/>
  <c r="Q33" i="15" l="1"/>
  <c r="Q40" i="15" s="1"/>
  <c r="Q42" i="15" s="1"/>
  <c r="P40" i="15"/>
  <c r="P42" i="15" s="1"/>
  <c r="N16" i="15"/>
  <c r="N43" i="15" s="1"/>
  <c r="N47" i="15"/>
  <c r="O48" i="7" s="1"/>
  <c r="O51" i="7" s="1"/>
  <c r="O10" i="15"/>
  <c r="O48" i="15"/>
  <c r="K40" i="17"/>
  <c r="K44" i="17" s="1"/>
  <c r="K48" i="17" s="1"/>
  <c r="N54" i="7"/>
  <c r="P6" i="15"/>
  <c r="Q34" i="16"/>
  <c r="Q36" i="16" s="1"/>
  <c r="Q6" i="15" s="1"/>
  <c r="M8" i="17"/>
  <c r="M12" i="17" s="1"/>
  <c r="N4" i="17"/>
  <c r="N8" i="17" s="1"/>
  <c r="N12" i="17" s="1"/>
  <c r="Q18" i="7"/>
  <c r="Q48" i="14"/>
  <c r="L22" i="17"/>
  <c r="L26" i="17" s="1"/>
  <c r="L30" i="17" s="1"/>
  <c r="O36" i="7"/>
  <c r="Q47" i="5"/>
  <c r="R12" i="7" s="1"/>
  <c r="R15" i="7" s="1"/>
  <c r="O47" i="14"/>
  <c r="P30" i="7" s="1"/>
  <c r="P33" i="7" s="1"/>
  <c r="Q47" i="14"/>
  <c r="P48" i="14"/>
  <c r="O16" i="15" l="1"/>
  <c r="O43" i="15" s="1"/>
  <c r="O47" i="15"/>
  <c r="P48" i="7" s="1"/>
  <c r="P51" i="7" s="1"/>
  <c r="O54" i="7"/>
  <c r="L40" i="17"/>
  <c r="L44" i="17" s="1"/>
  <c r="L48" i="17" s="1"/>
  <c r="Q10" i="15"/>
  <c r="Q48" i="15"/>
  <c r="P10" i="15"/>
  <c r="P48" i="15"/>
  <c r="C4" i="7" a="1"/>
  <c r="C4" i="7" s="1"/>
  <c r="C7" i="7" s="1"/>
  <c r="C9" i="7" s="1"/>
  <c r="R18" i="7"/>
  <c r="O4" i="17"/>
  <c r="O8" i="17" s="1"/>
  <c r="O12" i="17" s="1"/>
  <c r="C10" i="17" s="1"/>
  <c r="M22" i="17"/>
  <c r="P36" i="7"/>
  <c r="P47" i="14"/>
  <c r="Q30" i="7" s="1"/>
  <c r="Q33" i="7" s="1"/>
  <c r="P16" i="15" l="1"/>
  <c r="P43" i="15" s="1"/>
  <c r="P47" i="15"/>
  <c r="Q48" i="7" s="1"/>
  <c r="Q51" i="7" s="1"/>
  <c r="Q16" i="15"/>
  <c r="Q43" i="15" s="1"/>
  <c r="Q47" i="15"/>
  <c r="R48" i="7" s="1"/>
  <c r="R51" i="7" s="1"/>
  <c r="M40" i="17"/>
  <c r="M44" i="17" s="1"/>
  <c r="M48" i="17" s="1"/>
  <c r="P54" i="7"/>
  <c r="R30" i="7"/>
  <c r="R33" i="7" s="1"/>
  <c r="R36" i="7" s="1"/>
  <c r="M26" i="17"/>
  <c r="M30" i="17" s="1"/>
  <c r="C10" i="7"/>
  <c r="C11" i="7" s="1"/>
  <c r="C15" i="7" s="1"/>
  <c r="C18" i="7" s="1"/>
  <c r="C59" i="7" s="1"/>
  <c r="C11" i="1" s="1"/>
  <c r="F10" i="7"/>
  <c r="F11" i="7" s="1"/>
  <c r="F15" i="7" s="1"/>
  <c r="F18" i="7" s="1"/>
  <c r="F59" i="7" s="1"/>
  <c r="C12" i="1" s="1"/>
  <c r="Q36" i="7"/>
  <c r="N22" i="17"/>
  <c r="N26" i="17" s="1"/>
  <c r="N30" i="17" s="1"/>
  <c r="C4" i="17" a="1"/>
  <c r="C4" i="17" s="1"/>
  <c r="C7" i="17" s="1"/>
  <c r="C9" i="17" s="1"/>
  <c r="C11" i="17" s="1"/>
  <c r="C15" i="17" s="1"/>
  <c r="C18" i="17" s="1"/>
  <c r="C59" i="17" s="1"/>
  <c r="C14" i="1" s="1"/>
  <c r="N40" i="17" l="1"/>
  <c r="Q54" i="7"/>
  <c r="C40" i="7" a="1"/>
  <c r="C40" i="7" s="1"/>
  <c r="C43" i="7" s="1"/>
  <c r="C45" i="7" s="1"/>
  <c r="O40" i="17"/>
  <c r="O44" i="17" s="1"/>
  <c r="O48" i="17" s="1"/>
  <c r="R54" i="7"/>
  <c r="C22" i="7" a="1"/>
  <c r="C22" i="7" s="1"/>
  <c r="C25" i="7" s="1"/>
  <c r="C27" i="7" s="1"/>
  <c r="O22" i="17"/>
  <c r="F28" i="7"/>
  <c r="F29" i="7" s="1"/>
  <c r="F33" i="7" s="1"/>
  <c r="F36" i="7" s="1"/>
  <c r="F60" i="7" s="1"/>
  <c r="D12" i="1" s="1"/>
  <c r="C28" i="7"/>
  <c r="C16" i="1"/>
  <c r="D26" i="1" s="1"/>
  <c r="C46" i="7" l="1"/>
  <c r="C47" i="7" s="1"/>
  <c r="C51" i="7" s="1"/>
  <c r="C54" i="7" s="1"/>
  <c r="C61" i="7" s="1"/>
  <c r="F11" i="1" s="1"/>
  <c r="F46" i="7"/>
  <c r="F47" i="7" s="1"/>
  <c r="F51" i="7" s="1"/>
  <c r="F54" i="7" s="1"/>
  <c r="F61" i="7" s="1"/>
  <c r="F12" i="1" s="1"/>
  <c r="E12" i="1" s="1"/>
  <c r="N44" i="17"/>
  <c r="N48" i="17" s="1"/>
  <c r="C46" i="17" s="1"/>
  <c r="C40" i="17" a="1"/>
  <c r="C40" i="17" s="1"/>
  <c r="C43" i="17" s="1"/>
  <c r="C45" i="17" s="1"/>
  <c r="C29" i="7"/>
  <c r="C33" i="7" s="1"/>
  <c r="C36" i="7" s="1"/>
  <c r="C60" i="7" s="1"/>
  <c r="D11" i="1" s="1"/>
  <c r="O26" i="17"/>
  <c r="O30" i="17" s="1"/>
  <c r="C28" i="17" s="1"/>
  <c r="C22" i="17" a="1"/>
  <c r="C22" i="17" s="1"/>
  <c r="C25" i="17" s="1"/>
  <c r="C27" i="17" s="1"/>
  <c r="E26" i="1"/>
  <c r="F26" i="1"/>
  <c r="E20" i="1"/>
  <c r="E22" i="1" s="1"/>
  <c r="C26" i="1"/>
  <c r="D16" i="1" l="1"/>
  <c r="C47" i="17"/>
  <c r="C51" i="17" s="1"/>
  <c r="C54" i="17" s="1"/>
  <c r="C61" i="17" s="1"/>
  <c r="F14" i="1" s="1"/>
  <c r="F16" i="1" s="1"/>
  <c r="C29" i="17"/>
  <c r="C33" i="17" s="1"/>
  <c r="C36" i="17" s="1"/>
  <c r="C60" i="17" s="1"/>
  <c r="D14" i="1" s="1"/>
  <c r="E11" i="1"/>
  <c r="E21" i="1"/>
  <c r="D20" i="1" l="1"/>
  <c r="D22" i="1" s="1"/>
  <c r="F20" i="1"/>
  <c r="F22" i="1" s="1"/>
  <c r="E16" i="1"/>
  <c r="D21" i="1" l="1"/>
  <c r="F21" i="1"/>
  <c r="C10" i="5" l="1"/>
  <c r="C16" i="5" s="1"/>
  <c r="C43" i="5" s="1"/>
  <c r="C48" i="5"/>
  <c r="C4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Ethan Neff</author>
  </authors>
  <commentList>
    <comment ref="I9" authorId="0" shapeId="0" xr:uid="{AFFFBF3E-76D3-4662-80A1-D45FA7682A4D}">
      <text>
        <r>
          <rPr>
            <b/>
            <sz val="12"/>
            <color indexed="81"/>
            <rFont val="Tahoma"/>
            <family val="2"/>
          </rPr>
          <t>Ethan Neff:</t>
        </r>
        <r>
          <rPr>
            <sz val="12"/>
            <color indexed="81"/>
            <rFont val="Tahoma"/>
            <family val="2"/>
          </rPr>
          <t xml:space="preserve">
Use your best Financial Analyst judgement in how confident you are in each valuated analysis. If the numbers appear reasonable, weight higher. If the numbers appear unreasonable, weight lower.
Not every company issues dividends, because of this, weight the other 4 valuated analyses higher. If your company issues dividends, this is a good analysis to include in oyur fundamental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Ethan Neff</author>
  </authors>
  <commentList>
    <comment ref="C21" authorId="0" shapeId="0" xr:uid="{0C7B8734-0B5F-4514-B6DD-AD7A3FEB0A0A}">
      <text>
        <r>
          <rPr>
            <b/>
            <sz val="11"/>
            <color indexed="81"/>
            <rFont val="Tahoma"/>
            <family val="2"/>
          </rPr>
          <t>Ethan Neff:</t>
        </r>
        <r>
          <rPr>
            <sz val="11"/>
            <color indexed="81"/>
            <rFont val="Tahoma"/>
            <family val="2"/>
          </rPr>
          <t xml:space="preserve">
Can base off of Bloomberg</t>
        </r>
      </text>
    </comment>
    <comment ref="I143" authorId="0" shapeId="0" xr:uid="{C4450E79-152B-4330-8EEC-555443752325}">
      <text>
        <r>
          <rPr>
            <b/>
            <sz val="9"/>
            <color indexed="81"/>
            <rFont val="Tahoma"/>
            <family val="2"/>
          </rPr>
          <t>Ethan Neff:</t>
        </r>
        <r>
          <rPr>
            <sz val="9"/>
            <color indexed="81"/>
            <rFont val="Tahoma"/>
            <family val="2"/>
          </rPr>
          <t xml:space="preserve">
5 Year Average Straight Line</t>
        </r>
      </text>
    </comment>
    <comment ref="I147" authorId="0" shapeId="0" xr:uid="{B9D3112A-B4A4-4583-9A8C-FEC62FD46C0C}">
      <text>
        <r>
          <rPr>
            <b/>
            <sz val="9"/>
            <color indexed="81"/>
            <rFont val="Tahoma"/>
            <family val="2"/>
          </rPr>
          <t>Ethan Neff:</t>
        </r>
        <r>
          <rPr>
            <sz val="9"/>
            <color indexed="81"/>
            <rFont val="Tahoma"/>
            <family val="2"/>
          </rPr>
          <t xml:space="preserve">
5 Year Average Straight Line</t>
        </r>
      </text>
    </comment>
    <comment ref="I151" authorId="0" shapeId="0" xr:uid="{A2FFD450-504B-45CF-A99F-77A728D812CD}">
      <text>
        <r>
          <rPr>
            <b/>
            <sz val="9"/>
            <color indexed="81"/>
            <rFont val="Tahoma"/>
            <family val="2"/>
          </rPr>
          <t>Ethan Neff:</t>
        </r>
        <r>
          <rPr>
            <sz val="9"/>
            <color indexed="81"/>
            <rFont val="Tahoma"/>
            <family val="2"/>
          </rPr>
          <t xml:space="preserve">
5 Year Average Straight Line</t>
        </r>
      </text>
    </comment>
    <comment ref="I158" authorId="0" shapeId="0" xr:uid="{D912ABE5-68BA-421B-9174-049D4DE94246}">
      <text>
        <r>
          <rPr>
            <b/>
            <sz val="9"/>
            <color indexed="81"/>
            <rFont val="Tahoma"/>
            <family val="2"/>
          </rPr>
          <t>Ethan Neff:</t>
        </r>
        <r>
          <rPr>
            <sz val="9"/>
            <color indexed="81"/>
            <rFont val="Tahoma"/>
            <family val="2"/>
          </rPr>
          <t xml:space="preserve">
5 Year Average Straight Line</t>
        </r>
      </text>
    </comment>
    <comment ref="I161" authorId="0" shapeId="0" xr:uid="{63316F46-83A8-40E2-B2FB-B20AC6A13B0A}">
      <text>
        <r>
          <rPr>
            <b/>
            <sz val="9"/>
            <color indexed="81"/>
            <rFont val="Tahoma"/>
            <family val="2"/>
          </rPr>
          <t>Ethan Neff:</t>
        </r>
        <r>
          <rPr>
            <sz val="9"/>
            <color indexed="81"/>
            <rFont val="Tahoma"/>
            <family val="2"/>
          </rPr>
          <t xml:space="preserve">
5 Year Average Straight Line</t>
        </r>
      </text>
    </comment>
    <comment ref="I162" authorId="0" shapeId="0" xr:uid="{33F3D4D1-7517-4CC7-A214-40D6565D0C7B}">
      <text>
        <r>
          <rPr>
            <b/>
            <sz val="11"/>
            <color indexed="81"/>
            <rFont val="Tahoma"/>
            <family val="2"/>
          </rPr>
          <t>Ethan Neff:</t>
        </r>
        <r>
          <rPr>
            <sz val="11"/>
            <color indexed="81"/>
            <rFont val="Tahoma"/>
            <family val="2"/>
          </rPr>
          <t xml:space="preserve">
Straight Line Long-Term Debt</t>
        </r>
      </text>
    </comment>
    <comment ref="I164" authorId="0" shapeId="0" xr:uid="{EBFA5D0A-12E3-40EE-8011-3C95CCF0146D}">
      <text>
        <r>
          <rPr>
            <b/>
            <sz val="9"/>
            <color indexed="81"/>
            <rFont val="Tahoma"/>
            <family val="2"/>
          </rPr>
          <t>Ethan Neff:</t>
        </r>
        <r>
          <rPr>
            <sz val="9"/>
            <color indexed="81"/>
            <rFont val="Tahoma"/>
            <family val="2"/>
          </rPr>
          <t xml:space="preserve">
5 Year Average Straight Line</t>
        </r>
      </text>
    </comment>
    <comment ref="I167" authorId="0" shapeId="0" xr:uid="{9D2369C2-524C-4EA4-8E69-158FA72CE321}">
      <text>
        <r>
          <rPr>
            <b/>
            <sz val="9"/>
            <color indexed="81"/>
            <rFont val="Tahoma"/>
            <family val="2"/>
          </rPr>
          <t>Ethan Neff:</t>
        </r>
        <r>
          <rPr>
            <sz val="9"/>
            <color indexed="81"/>
            <rFont val="Tahoma"/>
            <family val="2"/>
          </rPr>
          <t xml:space="preserve">
5 Year Average Straight Line</t>
        </r>
      </text>
    </comment>
    <comment ref="I169" authorId="0" shapeId="0" xr:uid="{9C46256C-48C0-48ED-9748-DF1A91588438}">
      <text>
        <r>
          <rPr>
            <b/>
            <sz val="9"/>
            <color indexed="81"/>
            <rFont val="Tahoma"/>
            <family val="2"/>
          </rPr>
          <t>Ethan Neff:</t>
        </r>
        <r>
          <rPr>
            <sz val="9"/>
            <color indexed="81"/>
            <rFont val="Tahoma"/>
            <family val="2"/>
          </rPr>
          <t xml:space="preserve">
5 Year Average Straight Line</t>
        </r>
      </text>
    </comment>
    <comment ref="I174" authorId="0" shapeId="0" xr:uid="{EDFA9EA3-62B2-492F-90F8-2AE7A087139E}">
      <text>
        <r>
          <rPr>
            <b/>
            <sz val="9"/>
            <color indexed="81"/>
            <rFont val="Tahoma"/>
            <family val="2"/>
          </rPr>
          <t>Ethan Neff:</t>
        </r>
        <r>
          <rPr>
            <sz val="9"/>
            <color indexed="81"/>
            <rFont val="Tahoma"/>
            <family val="2"/>
          </rPr>
          <t xml:space="preserve">
Assume US Federal Statutory Tax Rate</t>
        </r>
      </text>
    </comment>
    <comment ref="I178" authorId="0" shapeId="0" xr:uid="{1D75E61C-1E68-45BD-84C9-352FA0B48D93}">
      <text>
        <r>
          <rPr>
            <b/>
            <sz val="9"/>
            <color indexed="81"/>
            <rFont val="Tahoma"/>
            <family val="2"/>
          </rPr>
          <t>Ethan Neff:</t>
        </r>
        <r>
          <rPr>
            <sz val="9"/>
            <color indexed="81"/>
            <rFont val="Tahoma"/>
            <family val="2"/>
          </rPr>
          <t xml:space="preserve">
5 Year Average Straight Line</t>
        </r>
      </text>
    </comment>
    <comment ref="I188" authorId="0" shapeId="0" xr:uid="{FC93B8EC-9649-43DD-B77B-D807ABC92A47}">
      <text>
        <r>
          <rPr>
            <b/>
            <sz val="9"/>
            <color indexed="81"/>
            <rFont val="Tahoma"/>
            <family val="2"/>
          </rPr>
          <t>Ethan Neff:</t>
        </r>
        <r>
          <rPr>
            <sz val="9"/>
            <color indexed="81"/>
            <rFont val="Tahoma"/>
            <family val="2"/>
          </rPr>
          <t xml:space="preserve">
5 Year Average Straight Line</t>
        </r>
      </text>
    </comment>
    <comment ref="I192" authorId="0" shapeId="0" xr:uid="{F3A50AF4-0802-40E9-80C0-16C45C41E14B}">
      <text>
        <r>
          <rPr>
            <b/>
            <sz val="9"/>
            <color indexed="81"/>
            <rFont val="Tahoma"/>
            <family val="2"/>
          </rPr>
          <t>Ethan Neff:</t>
        </r>
        <r>
          <rPr>
            <sz val="9"/>
            <color indexed="81"/>
            <rFont val="Tahoma"/>
            <family val="2"/>
          </rPr>
          <t xml:space="preserve">
5 Year Average Straight Line</t>
        </r>
      </text>
    </comment>
    <comment ref="I196" authorId="0" shapeId="0" xr:uid="{C61C4657-AAC6-4222-A8CC-040B8F724E96}">
      <text>
        <r>
          <rPr>
            <b/>
            <sz val="9"/>
            <color indexed="81"/>
            <rFont val="Tahoma"/>
            <family val="2"/>
          </rPr>
          <t>Ethan Neff:</t>
        </r>
        <r>
          <rPr>
            <sz val="9"/>
            <color indexed="81"/>
            <rFont val="Tahoma"/>
            <family val="2"/>
          </rPr>
          <t xml:space="preserve">
5 Year Average Straight Line</t>
        </r>
      </text>
    </comment>
    <comment ref="I208" authorId="0" shapeId="0" xr:uid="{D2C3076A-203F-4B4D-9327-62ED3212FBEA}">
      <text>
        <r>
          <rPr>
            <b/>
            <sz val="9"/>
            <color indexed="81"/>
            <rFont val="Tahoma"/>
            <family val="2"/>
          </rPr>
          <t>Ethan Neff:</t>
        </r>
        <r>
          <rPr>
            <sz val="9"/>
            <color indexed="81"/>
            <rFont val="Tahoma"/>
            <family val="2"/>
          </rPr>
          <t xml:space="preserve">
5 Year Average Straight Line</t>
        </r>
      </text>
    </comment>
    <comment ref="I215" authorId="0" shapeId="0" xr:uid="{198762B8-77DE-486A-B7BE-B3FACA839730}">
      <text>
        <r>
          <rPr>
            <b/>
            <sz val="9"/>
            <color indexed="81"/>
            <rFont val="Tahoma"/>
            <family val="2"/>
          </rPr>
          <t>Ethan Neff:</t>
        </r>
        <r>
          <rPr>
            <sz val="9"/>
            <color indexed="81"/>
            <rFont val="Tahoma"/>
            <family val="2"/>
          </rPr>
          <t xml:space="preserve">
5 Year Average Straight Line</t>
        </r>
      </text>
    </comment>
    <comment ref="I217" authorId="0" shapeId="0" xr:uid="{83403EA5-0785-4B8A-B2E9-3A65D00BA4B5}">
      <text>
        <r>
          <rPr>
            <b/>
            <sz val="9"/>
            <color indexed="81"/>
            <rFont val="Tahoma"/>
            <family val="2"/>
          </rPr>
          <t>Ethan Neff:</t>
        </r>
        <r>
          <rPr>
            <sz val="9"/>
            <color indexed="81"/>
            <rFont val="Tahoma"/>
            <family val="2"/>
          </rPr>
          <t xml:space="preserve">
5 Year Average Straight Line</t>
        </r>
      </text>
    </comment>
    <comment ref="I219" authorId="0" shapeId="0" xr:uid="{1CB54634-0845-4BC1-8D17-E9D74639C7DF}">
      <text>
        <r>
          <rPr>
            <b/>
            <sz val="9"/>
            <color indexed="81"/>
            <rFont val="Tahoma"/>
            <family val="2"/>
          </rPr>
          <t>Ethan Neff:</t>
        </r>
        <r>
          <rPr>
            <sz val="9"/>
            <color indexed="81"/>
            <rFont val="Tahoma"/>
            <family val="2"/>
          </rPr>
          <t xml:space="preserve">
5 Year Average Straight Line</t>
        </r>
      </text>
    </comment>
    <comment ref="I221" authorId="0" shapeId="0" xr:uid="{4722D540-DCEE-4AFB-8FED-62AF43C3755C}">
      <text>
        <r>
          <rPr>
            <b/>
            <sz val="9"/>
            <color indexed="81"/>
            <rFont val="Tahoma"/>
            <family val="2"/>
          </rPr>
          <t>Ethan Neff:</t>
        </r>
        <r>
          <rPr>
            <sz val="9"/>
            <color indexed="81"/>
            <rFont val="Tahoma"/>
            <family val="2"/>
          </rPr>
          <t xml:space="preserve">
5 Year Average Straight Line</t>
        </r>
      </text>
    </comment>
    <comment ref="I230" authorId="0" shapeId="0" xr:uid="{1BB4C77A-1EF5-42A1-8C7E-9F2F5EFAE78E}">
      <text>
        <r>
          <rPr>
            <b/>
            <sz val="9"/>
            <color indexed="81"/>
            <rFont val="Tahoma"/>
            <family val="2"/>
          </rPr>
          <t>Ethan Neff:</t>
        </r>
        <r>
          <rPr>
            <sz val="9"/>
            <color indexed="81"/>
            <rFont val="Tahoma"/>
            <family val="2"/>
          </rPr>
          <t xml:space="preserve">
5 Year Average Straight Line</t>
        </r>
      </text>
    </comment>
    <comment ref="I246" authorId="0" shapeId="0" xr:uid="{D429A8D0-9C90-43E5-AB6F-86FB6B6F0E2F}">
      <text>
        <r>
          <rPr>
            <b/>
            <sz val="9"/>
            <color indexed="81"/>
            <rFont val="Tahoma"/>
            <family val="2"/>
          </rPr>
          <t>Ethan Neff:</t>
        </r>
        <r>
          <rPr>
            <sz val="9"/>
            <color indexed="81"/>
            <rFont val="Tahoma"/>
            <family val="2"/>
          </rPr>
          <t xml:space="preserve">
5 Year Average Straight Line</t>
        </r>
      </text>
    </comment>
    <comment ref="I269" authorId="0" shapeId="0" xr:uid="{849DA708-01C1-46F2-8967-30140B8E57F5}">
      <text>
        <r>
          <rPr>
            <b/>
            <sz val="9"/>
            <color indexed="81"/>
            <rFont val="Tahoma"/>
            <family val="2"/>
          </rPr>
          <t>Ethan Neff:</t>
        </r>
        <r>
          <rPr>
            <sz val="9"/>
            <color indexed="81"/>
            <rFont val="Tahoma"/>
            <family val="2"/>
          </rPr>
          <t xml:space="preserve">
5 Year Average Straight Line</t>
        </r>
      </text>
    </comment>
    <comment ref="I281" authorId="0" shapeId="0" xr:uid="{540CA6BE-B6D5-43F6-AA44-D5420FB679B3}">
      <text>
        <r>
          <rPr>
            <b/>
            <sz val="9"/>
            <color indexed="81"/>
            <rFont val="Tahoma"/>
            <family val="2"/>
          </rPr>
          <t>Ethan Neff:</t>
        </r>
        <r>
          <rPr>
            <sz val="9"/>
            <color indexed="81"/>
            <rFont val="Tahoma"/>
            <family val="2"/>
          </rPr>
          <t xml:space="preserve">
5 Year Average Straight Line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Ethan Neff</author>
  </authors>
  <commentList>
    <comment ref="B10" authorId="0" shapeId="0" xr:uid="{79B7C9AD-65C8-4356-90D4-7A6C832C549B}">
      <text>
        <r>
          <rPr>
            <b/>
            <sz val="12"/>
            <color indexed="81"/>
            <rFont val="Tahoma"/>
            <family val="2"/>
          </rPr>
          <t>Ethan Neff:</t>
        </r>
        <r>
          <rPr>
            <sz val="12"/>
            <color indexed="81"/>
            <rFont val="Tahoma"/>
            <family val="2"/>
          </rPr>
          <t xml:space="preserve">
Set Stage 2 = Perpetuity Growth Rate</t>
        </r>
      </text>
    </comment>
    <comment ref="B26" authorId="0" shapeId="0" xr:uid="{A484008E-D22A-47B4-B686-D40933A8FCC6}">
      <text>
        <r>
          <rPr>
            <b/>
            <sz val="12"/>
            <color indexed="81"/>
            <rFont val="Tahoma"/>
            <family val="2"/>
          </rPr>
          <t>Ethan Neff:</t>
        </r>
        <r>
          <rPr>
            <sz val="12"/>
            <color indexed="81"/>
            <rFont val="Tahoma"/>
            <family val="2"/>
          </rPr>
          <t xml:space="preserve">
Set Stage 2 = Perpetuity Growth Rate</t>
        </r>
      </text>
    </comment>
    <comment ref="B42" authorId="0" shapeId="0" xr:uid="{511776FF-F5D2-400E-AFAF-8022D0B71AC4}">
      <text>
        <r>
          <rPr>
            <b/>
            <sz val="12"/>
            <color indexed="81"/>
            <rFont val="Tahoma"/>
            <family val="2"/>
          </rPr>
          <t>Ethan Neff:</t>
        </r>
        <r>
          <rPr>
            <sz val="12"/>
            <color indexed="81"/>
            <rFont val="Tahoma"/>
            <family val="2"/>
          </rPr>
          <t xml:space="preserve">
Set Stage 2 = Perpetuity Growth Rate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Ethan Neff</author>
  </authors>
  <commentList>
    <comment ref="H8" authorId="0" shapeId="0" xr:uid="{0CD490C7-235C-43B6-A057-998DDE297C32}">
      <text>
        <r>
          <rPr>
            <b/>
            <sz val="9"/>
            <color indexed="81"/>
            <rFont val="Tahoma"/>
            <family val="2"/>
          </rPr>
          <t>Ethan Neff:</t>
        </r>
        <r>
          <rPr>
            <sz val="9"/>
            <color indexed="81"/>
            <rFont val="Tahoma"/>
            <family val="2"/>
          </rPr>
          <t xml:space="preserve">
5 Year Historcial Rolling Average</t>
        </r>
      </text>
    </comment>
    <comment ref="H14" authorId="0" shapeId="0" xr:uid="{7228C22A-7FB6-487E-89FD-67CC7817AD97}">
      <text>
        <r>
          <rPr>
            <b/>
            <sz val="9"/>
            <color indexed="81"/>
            <rFont val="Tahoma"/>
            <family val="2"/>
          </rPr>
          <t>Ethan Neff:</t>
        </r>
        <r>
          <rPr>
            <sz val="9"/>
            <color indexed="81"/>
            <rFont val="Tahoma"/>
            <family val="2"/>
          </rPr>
          <t xml:space="preserve">
5 Year Historcial Rolling Average</t>
        </r>
      </text>
    </comment>
    <comment ref="H15" authorId="0" shapeId="0" xr:uid="{B117594E-9FE8-4041-B38F-625B4233CEB1}">
      <text>
        <r>
          <rPr>
            <b/>
            <sz val="9"/>
            <color indexed="81"/>
            <rFont val="Tahoma"/>
            <family val="2"/>
          </rPr>
          <t>Ethan Neff:</t>
        </r>
        <r>
          <rPr>
            <sz val="9"/>
            <color indexed="81"/>
            <rFont val="Tahoma"/>
            <family val="2"/>
          </rPr>
          <t xml:space="preserve">
5 Year Historcial Rolling Average</t>
        </r>
      </text>
    </comment>
    <comment ref="H16" authorId="0" shapeId="0" xr:uid="{AC67834E-A88E-4AC9-8AD3-C18FC4B9C719}">
      <text>
        <r>
          <rPr>
            <b/>
            <sz val="9"/>
            <color indexed="81"/>
            <rFont val="Tahoma"/>
            <family val="2"/>
          </rPr>
          <t>Ethan Neff:</t>
        </r>
        <r>
          <rPr>
            <sz val="9"/>
            <color indexed="81"/>
            <rFont val="Tahoma"/>
            <family val="2"/>
          </rPr>
          <t xml:space="preserve">
5 Year Historcial Rolling Average</t>
        </r>
      </text>
    </comment>
    <comment ref="H17" authorId="0" shapeId="0" xr:uid="{84353177-D528-4280-B483-614C1D92B781}">
      <text>
        <r>
          <rPr>
            <b/>
            <sz val="9"/>
            <color indexed="81"/>
            <rFont val="Tahoma"/>
            <family val="2"/>
          </rPr>
          <t>Ethan Neff:</t>
        </r>
        <r>
          <rPr>
            <sz val="9"/>
            <color indexed="81"/>
            <rFont val="Tahoma"/>
            <family val="2"/>
          </rPr>
          <t xml:space="preserve">
5 Year Historcial Rolling Average</t>
        </r>
      </text>
    </comment>
    <comment ref="H23" authorId="0" shapeId="0" xr:uid="{13C57735-1050-437D-BC01-E7B6F72465AB}">
      <text>
        <r>
          <rPr>
            <b/>
            <sz val="9"/>
            <color indexed="81"/>
            <rFont val="Tahoma"/>
            <family val="2"/>
          </rPr>
          <t>Ethan Neff:</t>
        </r>
        <r>
          <rPr>
            <sz val="9"/>
            <color indexed="81"/>
            <rFont val="Tahoma"/>
            <family val="2"/>
          </rPr>
          <t xml:space="preserve">
Rolling 5 yr average
</t>
        </r>
      </text>
    </comment>
    <comment ref="H24" authorId="0" shapeId="0" xr:uid="{FA0C8D40-EF3D-45DE-8D20-2E23F595EB6D}">
      <text>
        <r>
          <rPr>
            <b/>
            <sz val="9"/>
            <color indexed="81"/>
            <rFont val="Tahoma"/>
            <family val="2"/>
          </rPr>
          <t>Ethan Neff:</t>
        </r>
        <r>
          <rPr>
            <sz val="9"/>
            <color indexed="81"/>
            <rFont val="Tahoma"/>
            <family val="2"/>
          </rPr>
          <t xml:space="preserve">
Rolling 5 yr average
</t>
        </r>
      </text>
    </comment>
    <comment ref="H25" authorId="0" shapeId="0" xr:uid="{AFFB49B8-973C-4A2E-AECC-7FC9C85F5B96}">
      <text>
        <r>
          <rPr>
            <b/>
            <sz val="9"/>
            <color indexed="81"/>
            <rFont val="Tahoma"/>
            <family val="2"/>
          </rPr>
          <t>Ethan Neff:</t>
        </r>
        <r>
          <rPr>
            <sz val="9"/>
            <color indexed="81"/>
            <rFont val="Tahoma"/>
            <family val="2"/>
          </rPr>
          <t xml:space="preserve">
Rolling 5 yr average
</t>
        </r>
      </text>
    </comment>
    <comment ref="H26" authorId="0" shapeId="0" xr:uid="{E0B55C8A-82E0-4EE9-A668-F8ACBBC9201F}">
      <text>
        <r>
          <rPr>
            <b/>
            <sz val="9"/>
            <color indexed="81"/>
            <rFont val="Tahoma"/>
            <family val="2"/>
          </rPr>
          <t>Ethan Neff:</t>
        </r>
        <r>
          <rPr>
            <sz val="9"/>
            <color indexed="81"/>
            <rFont val="Tahoma"/>
            <family val="2"/>
          </rPr>
          <t xml:space="preserve">
Rolling 5 yr average
</t>
        </r>
      </text>
    </comment>
    <comment ref="H29" authorId="0" shapeId="0" xr:uid="{FAEC9DBA-7B79-4202-850B-21ADA901B779}">
      <text>
        <r>
          <rPr>
            <b/>
            <sz val="9"/>
            <color indexed="81"/>
            <rFont val="Tahoma"/>
            <family val="2"/>
          </rPr>
          <t>Ethan Neff:</t>
        </r>
        <r>
          <rPr>
            <sz val="9"/>
            <color indexed="81"/>
            <rFont val="Tahoma"/>
            <family val="2"/>
          </rPr>
          <t xml:space="preserve">
Rolling 5 yr average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Ethan Neff</author>
  </authors>
  <commentList>
    <comment ref="H8" authorId="0" shapeId="0" xr:uid="{95A5824C-C0C0-4CA7-B693-9229DF675579}">
      <text>
        <r>
          <rPr>
            <b/>
            <sz val="9"/>
            <color indexed="81"/>
            <rFont val="Tahoma"/>
            <family val="2"/>
          </rPr>
          <t>Ethan Neff:</t>
        </r>
        <r>
          <rPr>
            <sz val="9"/>
            <color indexed="81"/>
            <rFont val="Tahoma"/>
            <family val="2"/>
          </rPr>
          <t xml:space="preserve">
5 Year Historcial Rolling Average</t>
        </r>
      </text>
    </comment>
    <comment ref="H14" authorId="0" shapeId="0" xr:uid="{DAF93A34-CB44-457D-8F2E-75A0E081FE9D}">
      <text>
        <r>
          <rPr>
            <b/>
            <sz val="9"/>
            <color indexed="81"/>
            <rFont val="Tahoma"/>
            <family val="2"/>
          </rPr>
          <t>Ethan Neff:</t>
        </r>
        <r>
          <rPr>
            <sz val="9"/>
            <color indexed="81"/>
            <rFont val="Tahoma"/>
            <family val="2"/>
          </rPr>
          <t xml:space="preserve">
5 Year Historcial Rolling Average</t>
        </r>
      </text>
    </comment>
    <comment ref="H15" authorId="0" shapeId="0" xr:uid="{533BCD20-13B3-46BE-94E7-DECC0C6E75A9}">
      <text>
        <r>
          <rPr>
            <b/>
            <sz val="9"/>
            <color indexed="81"/>
            <rFont val="Tahoma"/>
            <family val="2"/>
          </rPr>
          <t>Ethan Neff:</t>
        </r>
        <r>
          <rPr>
            <sz val="9"/>
            <color indexed="81"/>
            <rFont val="Tahoma"/>
            <family val="2"/>
          </rPr>
          <t xml:space="preserve">
5 Year Historcial Rolling Average</t>
        </r>
      </text>
    </comment>
    <comment ref="H16" authorId="0" shapeId="0" xr:uid="{C6F74EF7-9CAC-4F12-9C3F-0D1192E26FDC}">
      <text>
        <r>
          <rPr>
            <b/>
            <sz val="9"/>
            <color indexed="81"/>
            <rFont val="Tahoma"/>
            <family val="2"/>
          </rPr>
          <t>Ethan Neff:</t>
        </r>
        <r>
          <rPr>
            <sz val="9"/>
            <color indexed="81"/>
            <rFont val="Tahoma"/>
            <family val="2"/>
          </rPr>
          <t xml:space="preserve">
5 Year Historcial Rolling Average</t>
        </r>
      </text>
    </comment>
    <comment ref="H17" authorId="0" shapeId="0" xr:uid="{7C994B1C-2279-4E84-96E7-AF045644F264}">
      <text>
        <r>
          <rPr>
            <b/>
            <sz val="9"/>
            <color indexed="81"/>
            <rFont val="Tahoma"/>
            <family val="2"/>
          </rPr>
          <t>Ethan Neff:</t>
        </r>
        <r>
          <rPr>
            <sz val="9"/>
            <color indexed="81"/>
            <rFont val="Tahoma"/>
            <family val="2"/>
          </rPr>
          <t xml:space="preserve">
5 Year Historcial Rolling Average</t>
        </r>
      </text>
    </comment>
    <comment ref="H23" authorId="0" shapeId="0" xr:uid="{E3B527D6-AA94-48CF-BE54-196AA29E359A}">
      <text>
        <r>
          <rPr>
            <b/>
            <sz val="9"/>
            <color indexed="81"/>
            <rFont val="Tahoma"/>
            <family val="2"/>
          </rPr>
          <t>Ethan Neff:</t>
        </r>
        <r>
          <rPr>
            <sz val="9"/>
            <color indexed="81"/>
            <rFont val="Tahoma"/>
            <family val="2"/>
          </rPr>
          <t xml:space="preserve">
Rolling 5 yr average
</t>
        </r>
      </text>
    </comment>
    <comment ref="H24" authorId="0" shapeId="0" xr:uid="{5A28C387-6707-4BE2-B215-F017601ADA14}">
      <text>
        <r>
          <rPr>
            <b/>
            <sz val="9"/>
            <color indexed="81"/>
            <rFont val="Tahoma"/>
            <family val="2"/>
          </rPr>
          <t>Ethan Neff:</t>
        </r>
        <r>
          <rPr>
            <sz val="9"/>
            <color indexed="81"/>
            <rFont val="Tahoma"/>
            <family val="2"/>
          </rPr>
          <t xml:space="preserve">
Rolling 5 yr average
</t>
        </r>
      </text>
    </comment>
    <comment ref="H25" authorId="0" shapeId="0" xr:uid="{12858465-B018-41CF-99F2-409C1B3F341D}">
      <text>
        <r>
          <rPr>
            <b/>
            <sz val="9"/>
            <color indexed="81"/>
            <rFont val="Tahoma"/>
            <family val="2"/>
          </rPr>
          <t>Ethan Neff:</t>
        </r>
        <r>
          <rPr>
            <sz val="9"/>
            <color indexed="81"/>
            <rFont val="Tahoma"/>
            <family val="2"/>
          </rPr>
          <t xml:space="preserve">
Rolling 5 yr average
</t>
        </r>
      </text>
    </comment>
    <comment ref="H26" authorId="0" shapeId="0" xr:uid="{3B5A2F79-688E-46C9-B19C-82F651CCECC8}">
      <text>
        <r>
          <rPr>
            <b/>
            <sz val="9"/>
            <color indexed="81"/>
            <rFont val="Tahoma"/>
            <family val="2"/>
          </rPr>
          <t>Ethan Neff:</t>
        </r>
        <r>
          <rPr>
            <sz val="9"/>
            <color indexed="81"/>
            <rFont val="Tahoma"/>
            <family val="2"/>
          </rPr>
          <t xml:space="preserve">
Rolling 5 yr average
</t>
        </r>
      </text>
    </comment>
    <comment ref="H29" authorId="0" shapeId="0" xr:uid="{B6E656D8-C2B1-4684-9FCA-A32864DFB29C}">
      <text>
        <r>
          <rPr>
            <b/>
            <sz val="9"/>
            <color indexed="81"/>
            <rFont val="Tahoma"/>
            <family val="2"/>
          </rPr>
          <t>Ethan Neff:</t>
        </r>
        <r>
          <rPr>
            <sz val="9"/>
            <color indexed="81"/>
            <rFont val="Tahoma"/>
            <family val="2"/>
          </rPr>
          <t xml:space="preserve">
Rolling 5 yr average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Ethan Neff</author>
  </authors>
  <commentList>
    <comment ref="H8" authorId="0" shapeId="0" xr:uid="{02126479-5AF1-4D3B-A38B-1DAA3DE95717}">
      <text>
        <r>
          <rPr>
            <b/>
            <sz val="9"/>
            <color indexed="81"/>
            <rFont val="Tahoma"/>
            <family val="2"/>
          </rPr>
          <t>Ethan Neff:</t>
        </r>
        <r>
          <rPr>
            <sz val="9"/>
            <color indexed="81"/>
            <rFont val="Tahoma"/>
            <family val="2"/>
          </rPr>
          <t xml:space="preserve">
5 Year Historcial Rolling Average</t>
        </r>
      </text>
    </comment>
    <comment ref="H14" authorId="0" shapeId="0" xr:uid="{FAAFA95A-544F-4B50-A3E4-D03636F48BD4}">
      <text>
        <r>
          <rPr>
            <b/>
            <sz val="9"/>
            <color indexed="81"/>
            <rFont val="Tahoma"/>
            <family val="2"/>
          </rPr>
          <t>Ethan Neff:</t>
        </r>
        <r>
          <rPr>
            <sz val="9"/>
            <color indexed="81"/>
            <rFont val="Tahoma"/>
            <family val="2"/>
          </rPr>
          <t xml:space="preserve">
5 Year Historcial Rolling Average</t>
        </r>
      </text>
    </comment>
    <comment ref="H15" authorId="0" shapeId="0" xr:uid="{DEA27C07-FD87-40B8-B4B1-09D865FB329D}">
      <text>
        <r>
          <rPr>
            <b/>
            <sz val="9"/>
            <color indexed="81"/>
            <rFont val="Tahoma"/>
            <family val="2"/>
          </rPr>
          <t>Ethan Neff:</t>
        </r>
        <r>
          <rPr>
            <sz val="9"/>
            <color indexed="81"/>
            <rFont val="Tahoma"/>
            <family val="2"/>
          </rPr>
          <t xml:space="preserve">
5 Year Historcial Rolling Average</t>
        </r>
      </text>
    </comment>
    <comment ref="H16" authorId="0" shapeId="0" xr:uid="{04EBABCF-E76B-42EF-8583-D8A2F4607B60}">
      <text>
        <r>
          <rPr>
            <b/>
            <sz val="9"/>
            <color indexed="81"/>
            <rFont val="Tahoma"/>
            <family val="2"/>
          </rPr>
          <t>Ethan Neff:</t>
        </r>
        <r>
          <rPr>
            <sz val="9"/>
            <color indexed="81"/>
            <rFont val="Tahoma"/>
            <family val="2"/>
          </rPr>
          <t xml:space="preserve">
5 Year Historcial Rolling Average</t>
        </r>
      </text>
    </comment>
    <comment ref="H17" authorId="0" shapeId="0" xr:uid="{E4FB8CAB-A39E-44F9-A8FC-445CCB2FABE7}">
      <text>
        <r>
          <rPr>
            <b/>
            <sz val="9"/>
            <color indexed="81"/>
            <rFont val="Tahoma"/>
            <family val="2"/>
          </rPr>
          <t>Ethan Neff:</t>
        </r>
        <r>
          <rPr>
            <sz val="9"/>
            <color indexed="81"/>
            <rFont val="Tahoma"/>
            <family val="2"/>
          </rPr>
          <t xml:space="preserve">
5 Year Historcial Rolling Average</t>
        </r>
      </text>
    </comment>
    <comment ref="H23" authorId="0" shapeId="0" xr:uid="{3C716DB4-4BC9-4A97-B94C-784882EB1DD1}">
      <text>
        <r>
          <rPr>
            <b/>
            <sz val="9"/>
            <color indexed="81"/>
            <rFont val="Tahoma"/>
            <family val="2"/>
          </rPr>
          <t>Ethan Neff:</t>
        </r>
        <r>
          <rPr>
            <sz val="9"/>
            <color indexed="81"/>
            <rFont val="Tahoma"/>
            <family val="2"/>
          </rPr>
          <t xml:space="preserve">
Rolling 5 yr average
</t>
        </r>
      </text>
    </comment>
    <comment ref="H24" authorId="0" shapeId="0" xr:uid="{8A8FC50E-9387-4067-A7AF-FB4C822DA23F}">
      <text>
        <r>
          <rPr>
            <b/>
            <sz val="9"/>
            <color indexed="81"/>
            <rFont val="Tahoma"/>
            <family val="2"/>
          </rPr>
          <t>Ethan Neff:</t>
        </r>
        <r>
          <rPr>
            <sz val="9"/>
            <color indexed="81"/>
            <rFont val="Tahoma"/>
            <family val="2"/>
          </rPr>
          <t xml:space="preserve">
Rolling 5 yr average
</t>
        </r>
      </text>
    </comment>
    <comment ref="H25" authorId="0" shapeId="0" xr:uid="{C5E8A0D4-B5DD-45D5-944A-6C7D8CF9FBB6}">
      <text>
        <r>
          <rPr>
            <b/>
            <sz val="9"/>
            <color indexed="81"/>
            <rFont val="Tahoma"/>
            <family val="2"/>
          </rPr>
          <t>Ethan Neff:</t>
        </r>
        <r>
          <rPr>
            <sz val="9"/>
            <color indexed="81"/>
            <rFont val="Tahoma"/>
            <family val="2"/>
          </rPr>
          <t xml:space="preserve">
Rolling 5 yr average
</t>
        </r>
      </text>
    </comment>
    <comment ref="H26" authorId="0" shapeId="0" xr:uid="{79BB71D3-EAD6-49D2-8569-6EE438DD7899}">
      <text>
        <r>
          <rPr>
            <b/>
            <sz val="9"/>
            <color indexed="81"/>
            <rFont val="Tahoma"/>
            <family val="2"/>
          </rPr>
          <t>Ethan Neff:</t>
        </r>
        <r>
          <rPr>
            <sz val="9"/>
            <color indexed="81"/>
            <rFont val="Tahoma"/>
            <family val="2"/>
          </rPr>
          <t xml:space="preserve">
Rolling 5 yr average
</t>
        </r>
      </text>
    </comment>
    <comment ref="H29" authorId="0" shapeId="0" xr:uid="{B30388E2-FFAE-4D1A-8E4D-E44A8151F8EC}">
      <text>
        <r>
          <rPr>
            <b/>
            <sz val="9"/>
            <color indexed="81"/>
            <rFont val="Tahoma"/>
            <family val="2"/>
          </rPr>
          <t>Ethan Neff:</t>
        </r>
        <r>
          <rPr>
            <sz val="9"/>
            <color indexed="81"/>
            <rFont val="Tahoma"/>
            <family val="2"/>
          </rPr>
          <t xml:space="preserve">
Rolling 5 yr average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Ethan Neff</author>
  </authors>
  <commentList>
    <comment ref="H7" authorId="0" shapeId="0" xr:uid="{FDBB4D03-9C4D-4168-89F6-57779A089D34}">
      <text>
        <r>
          <rPr>
            <b/>
            <sz val="11"/>
            <color indexed="81"/>
            <rFont val="Tahoma"/>
            <family val="2"/>
          </rPr>
          <t>Ethan Neff:</t>
        </r>
        <r>
          <rPr>
            <sz val="11"/>
            <color indexed="81"/>
            <rFont val="Tahoma"/>
            <family val="2"/>
          </rPr>
          <t xml:space="preserve">
Grow with Revenue Growth Rate</t>
        </r>
      </text>
    </comment>
    <comment ref="H8" authorId="0" shapeId="0" xr:uid="{2091C6AF-0129-4136-B327-717D5CACDB41}">
      <text>
        <r>
          <rPr>
            <b/>
            <sz val="9"/>
            <color indexed="81"/>
            <rFont val="Tahoma"/>
            <family val="2"/>
          </rPr>
          <t>Ethan Neff:</t>
        </r>
        <r>
          <rPr>
            <sz val="9"/>
            <color indexed="81"/>
            <rFont val="Tahoma"/>
            <family val="2"/>
          </rPr>
          <t xml:space="preserve">
Grow with COGS or COS</t>
        </r>
      </text>
    </comment>
    <comment ref="H9" authorId="0" shapeId="0" xr:uid="{405CD466-704B-425D-BC26-0AD800BC8A1B}">
      <text>
        <r>
          <rPr>
            <b/>
            <sz val="11"/>
            <color indexed="81"/>
            <rFont val="Tahoma"/>
            <family val="2"/>
          </rPr>
          <t>Ethan Neff:</t>
        </r>
        <r>
          <rPr>
            <sz val="11"/>
            <color indexed="81"/>
            <rFont val="Tahoma"/>
            <family val="2"/>
          </rPr>
          <t xml:space="preserve">
Grow with Revenue Growth Rate</t>
        </r>
      </text>
    </comment>
    <comment ref="H13" authorId="0" shapeId="0" xr:uid="{49F912CE-F39F-4FAD-9519-A1E95302BB4C}">
      <text>
        <r>
          <rPr>
            <b/>
            <sz val="9"/>
            <color indexed="81"/>
            <rFont val="Tahoma"/>
            <family val="2"/>
          </rPr>
          <t>Ethan Neff:</t>
        </r>
        <r>
          <rPr>
            <sz val="9"/>
            <color indexed="81"/>
            <rFont val="Tahoma"/>
            <family val="2"/>
          </rPr>
          <t xml:space="preserve">
Straight Line from previous Full or Fiscal Year</t>
        </r>
      </text>
    </comment>
    <comment ref="H14" authorId="0" shapeId="0" xr:uid="{59741E8E-5160-4D16-B561-B498C24D1B4B}">
      <text>
        <r>
          <rPr>
            <b/>
            <sz val="9"/>
            <color indexed="81"/>
            <rFont val="Tahoma"/>
            <family val="2"/>
          </rPr>
          <t>Ethan Neff:</t>
        </r>
        <r>
          <rPr>
            <sz val="9"/>
            <color indexed="81"/>
            <rFont val="Tahoma"/>
            <family val="2"/>
          </rPr>
          <t xml:space="preserve">
Straight Line from previous Full or Fiscal Year</t>
        </r>
      </text>
    </comment>
    <comment ref="H21" authorId="0" shapeId="0" xr:uid="{46ECE5E8-F488-45BB-9A9F-741B43800B45}">
      <text>
        <r>
          <rPr>
            <b/>
            <sz val="9"/>
            <color indexed="81"/>
            <rFont val="Tahoma"/>
            <family val="2"/>
          </rPr>
          <t>Ethan Neff:</t>
        </r>
        <r>
          <rPr>
            <sz val="9"/>
            <color indexed="81"/>
            <rFont val="Tahoma"/>
            <family val="2"/>
          </rPr>
          <t xml:space="preserve">
Grow with COGS or COS</t>
        </r>
      </text>
    </comment>
    <comment ref="H23" authorId="0" shapeId="0" xr:uid="{E33972CA-37D5-4D6C-8C19-23F6460F28C5}">
      <text>
        <r>
          <rPr>
            <b/>
            <sz val="9"/>
            <color indexed="81"/>
            <rFont val="Tahoma"/>
            <family val="2"/>
          </rPr>
          <t>Ethan Neff:</t>
        </r>
        <r>
          <rPr>
            <sz val="9"/>
            <color indexed="81"/>
            <rFont val="Tahoma"/>
            <family val="2"/>
          </rPr>
          <t xml:space="preserve">
5 Year Historical rolling Average</t>
        </r>
      </text>
    </comment>
    <comment ref="H26" authorId="0" shapeId="0" xr:uid="{793492A9-A5D3-4D58-BB5A-77D947632306}">
      <text>
        <r>
          <rPr>
            <b/>
            <sz val="9"/>
            <color indexed="81"/>
            <rFont val="Tahoma"/>
            <family val="2"/>
          </rPr>
          <t>Ethan Neff:</t>
        </r>
        <r>
          <rPr>
            <sz val="9"/>
            <color indexed="81"/>
            <rFont val="Tahoma"/>
            <family val="2"/>
          </rPr>
          <t xml:space="preserve">
Straight Line from previous Full or Fiscal Year</t>
        </r>
      </text>
    </comment>
    <comment ref="H27" authorId="0" shapeId="0" xr:uid="{7F375D6B-6B75-4663-964D-E78D1A1074DF}">
      <text>
        <r>
          <rPr>
            <b/>
            <sz val="9"/>
            <color indexed="81"/>
            <rFont val="Tahoma"/>
            <family val="2"/>
          </rPr>
          <t>Ethan Neff:</t>
        </r>
        <r>
          <rPr>
            <sz val="9"/>
            <color indexed="81"/>
            <rFont val="Tahoma"/>
            <family val="2"/>
          </rPr>
          <t xml:space="preserve">
Straight Line from previous Full or Fiscal Year</t>
        </r>
      </text>
    </comment>
    <comment ref="H34" authorId="0" shapeId="0" xr:uid="{5C6409F8-3A27-431D-BBD9-8080F976608E}">
      <text>
        <r>
          <rPr>
            <b/>
            <sz val="9"/>
            <color indexed="81"/>
            <rFont val="Tahoma"/>
            <family val="2"/>
          </rPr>
          <t>Ethan Neff:</t>
        </r>
        <r>
          <rPr>
            <sz val="9"/>
            <color indexed="81"/>
            <rFont val="Tahoma"/>
            <family val="2"/>
          </rPr>
          <t xml:space="preserve">
Straight Line from previous Full or Fiscal Year</t>
        </r>
      </text>
    </comment>
    <comment ref="H35" authorId="0" shapeId="0" xr:uid="{7A7512BF-380D-48B3-BC9B-4D2BAFECECF7}">
      <text>
        <r>
          <rPr>
            <b/>
            <sz val="9"/>
            <color indexed="81"/>
            <rFont val="Tahoma"/>
            <family val="2"/>
          </rPr>
          <t>Ethan Neff:</t>
        </r>
        <r>
          <rPr>
            <sz val="9"/>
            <color indexed="81"/>
            <rFont val="Tahoma"/>
            <family val="2"/>
          </rPr>
          <t xml:space="preserve">
Straight Line from previous Full or Fiscal Year</t>
        </r>
      </text>
    </comment>
    <comment ref="H36" authorId="0" shapeId="0" xr:uid="{ADEC19F2-BCC6-488F-99DD-A59B07AAD59C}">
      <text>
        <r>
          <rPr>
            <b/>
            <sz val="9"/>
            <color indexed="81"/>
            <rFont val="Tahoma"/>
            <family val="2"/>
          </rPr>
          <t>Ethan Neff:</t>
        </r>
        <r>
          <rPr>
            <sz val="9"/>
            <color indexed="81"/>
            <rFont val="Tahoma"/>
            <family val="2"/>
          </rPr>
          <t xml:space="preserve">
Straight Line from previous Full or Fiscal Year</t>
        </r>
      </text>
    </comment>
    <comment ref="H37" authorId="0" shapeId="0" xr:uid="{D6026966-2B48-452A-80AD-B4077A2B7BC3}">
      <text>
        <r>
          <rPr>
            <b/>
            <sz val="9"/>
            <color indexed="81"/>
            <rFont val="Tahoma"/>
            <family val="2"/>
          </rPr>
          <t>Ethan Neff:</t>
        </r>
        <r>
          <rPr>
            <sz val="9"/>
            <color indexed="81"/>
            <rFont val="Tahoma"/>
            <family val="2"/>
          </rPr>
          <t xml:space="preserve">
Straight Line from previous Full or Fiscal Year</t>
        </r>
      </text>
    </comment>
    <comment ref="H38" authorId="0" shapeId="0" xr:uid="{54255770-E299-49B4-87EF-CA18906F24CD}">
      <text>
        <r>
          <rPr>
            <b/>
            <sz val="9"/>
            <color indexed="81"/>
            <rFont val="Tahoma"/>
            <family val="2"/>
          </rPr>
          <t>Ethan Neff:</t>
        </r>
        <r>
          <rPr>
            <sz val="9"/>
            <color indexed="81"/>
            <rFont val="Tahoma"/>
            <family val="2"/>
          </rPr>
          <t xml:space="preserve">
Straight Line from previous Full or Fiscal Year</t>
        </r>
      </text>
    </comment>
    <comment ref="B39" authorId="0" shapeId="0" xr:uid="{7489DC46-41BC-46E8-B641-5C9A43ECB2BE}">
      <text>
        <r>
          <rPr>
            <b/>
            <sz val="11"/>
            <color indexed="81"/>
            <rFont val="Tahoma"/>
            <family val="2"/>
          </rPr>
          <t>Ethan Neff:</t>
        </r>
        <r>
          <rPr>
            <sz val="11"/>
            <color indexed="81"/>
            <rFont val="Tahoma"/>
            <family val="2"/>
          </rPr>
          <t xml:space="preserve">
Use as Last Resort. I am not pleased to include this, but copy and paste your out of balance numbers to force the Balance Sheet to balance.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Ethan Neff</author>
  </authors>
  <commentList>
    <comment ref="H8" authorId="0" shapeId="0" xr:uid="{BEB9C16B-4EF5-48FC-B8D4-1992B959FB72}">
      <text>
        <r>
          <rPr>
            <b/>
            <sz val="9"/>
            <color indexed="81"/>
            <rFont val="Tahoma"/>
            <family val="2"/>
          </rPr>
          <t>Ethan Neff:</t>
        </r>
        <r>
          <rPr>
            <sz val="9"/>
            <color indexed="81"/>
            <rFont val="Tahoma"/>
            <family val="2"/>
          </rPr>
          <t xml:space="preserve">
Grow with COGS or COS</t>
        </r>
      </text>
    </comment>
    <comment ref="H13" authorId="0" shapeId="0" xr:uid="{7DDCCFA8-DA5A-4ABB-B7AF-820C3E204A30}">
      <text>
        <r>
          <rPr>
            <b/>
            <sz val="9"/>
            <color indexed="81"/>
            <rFont val="Tahoma"/>
            <family val="2"/>
          </rPr>
          <t>Ethan Neff:</t>
        </r>
        <r>
          <rPr>
            <sz val="9"/>
            <color indexed="81"/>
            <rFont val="Tahoma"/>
            <family val="2"/>
          </rPr>
          <t xml:space="preserve">
Straight Line from previous Full or Fiscal Year</t>
        </r>
      </text>
    </comment>
    <comment ref="H14" authorId="0" shapeId="0" xr:uid="{53EFEC70-C6E7-4C33-A39B-B34F193BDC5D}">
      <text>
        <r>
          <rPr>
            <b/>
            <sz val="9"/>
            <color indexed="81"/>
            <rFont val="Tahoma"/>
            <family val="2"/>
          </rPr>
          <t>Ethan Neff:</t>
        </r>
        <r>
          <rPr>
            <sz val="9"/>
            <color indexed="81"/>
            <rFont val="Tahoma"/>
            <family val="2"/>
          </rPr>
          <t xml:space="preserve">
Straight Line from previous Full or Fiscal Year</t>
        </r>
      </text>
    </comment>
    <comment ref="H21" authorId="0" shapeId="0" xr:uid="{EAD66773-C979-497A-A489-42A0EFFBBAE8}">
      <text>
        <r>
          <rPr>
            <b/>
            <sz val="9"/>
            <color indexed="81"/>
            <rFont val="Tahoma"/>
            <family val="2"/>
          </rPr>
          <t>Ethan Neff:</t>
        </r>
        <r>
          <rPr>
            <sz val="9"/>
            <color indexed="81"/>
            <rFont val="Tahoma"/>
            <family val="2"/>
          </rPr>
          <t xml:space="preserve">
Grow with COGS or COS</t>
        </r>
      </text>
    </comment>
    <comment ref="H23" authorId="0" shapeId="0" xr:uid="{70B60799-1FB6-4F65-8362-17976FBEFE07}">
      <text>
        <r>
          <rPr>
            <b/>
            <sz val="9"/>
            <color indexed="81"/>
            <rFont val="Tahoma"/>
            <family val="2"/>
          </rPr>
          <t>Ethan Neff:</t>
        </r>
        <r>
          <rPr>
            <sz val="9"/>
            <color indexed="81"/>
            <rFont val="Tahoma"/>
            <family val="2"/>
          </rPr>
          <t xml:space="preserve">
5 Year Historical rolling Average</t>
        </r>
      </text>
    </comment>
    <comment ref="H26" authorId="0" shapeId="0" xr:uid="{D695E877-5B4E-452F-B89A-C7321050F65C}">
      <text>
        <r>
          <rPr>
            <b/>
            <sz val="9"/>
            <color indexed="81"/>
            <rFont val="Tahoma"/>
            <family val="2"/>
          </rPr>
          <t>Ethan Neff:</t>
        </r>
        <r>
          <rPr>
            <sz val="9"/>
            <color indexed="81"/>
            <rFont val="Tahoma"/>
            <family val="2"/>
          </rPr>
          <t xml:space="preserve">
Straight Line from previous Full or Fiscal Year</t>
        </r>
      </text>
    </comment>
    <comment ref="H27" authorId="0" shapeId="0" xr:uid="{84F44168-CBF7-4751-BDBD-E25180E17353}">
      <text>
        <r>
          <rPr>
            <b/>
            <sz val="9"/>
            <color indexed="81"/>
            <rFont val="Tahoma"/>
            <family val="2"/>
          </rPr>
          <t>Ethan Neff:</t>
        </r>
        <r>
          <rPr>
            <sz val="9"/>
            <color indexed="81"/>
            <rFont val="Tahoma"/>
            <family val="2"/>
          </rPr>
          <t xml:space="preserve">
Straight Line from previous Full or Fiscal Year</t>
        </r>
      </text>
    </comment>
    <comment ref="H34" authorId="0" shapeId="0" xr:uid="{12417E0B-020F-4C64-AC26-353DC9B1B2D8}">
      <text>
        <r>
          <rPr>
            <b/>
            <sz val="9"/>
            <color indexed="81"/>
            <rFont val="Tahoma"/>
            <family val="2"/>
          </rPr>
          <t>Ethan Neff:</t>
        </r>
        <r>
          <rPr>
            <sz val="9"/>
            <color indexed="81"/>
            <rFont val="Tahoma"/>
            <family val="2"/>
          </rPr>
          <t xml:space="preserve">
Straight Line from previous Full or Fiscal Year</t>
        </r>
      </text>
    </comment>
    <comment ref="H35" authorId="0" shapeId="0" xr:uid="{6FD4F7F4-457E-4B03-9AEF-C24EEC7493B0}">
      <text>
        <r>
          <rPr>
            <b/>
            <sz val="9"/>
            <color indexed="81"/>
            <rFont val="Tahoma"/>
            <family val="2"/>
          </rPr>
          <t>Ethan Neff:</t>
        </r>
        <r>
          <rPr>
            <sz val="9"/>
            <color indexed="81"/>
            <rFont val="Tahoma"/>
            <family val="2"/>
          </rPr>
          <t xml:space="preserve">
Straight Line from previous Full or Fiscal Year</t>
        </r>
      </text>
    </comment>
    <comment ref="H36" authorId="0" shapeId="0" xr:uid="{D865A658-B133-4FC3-9602-2BB5647C257F}">
      <text>
        <r>
          <rPr>
            <b/>
            <sz val="9"/>
            <color indexed="81"/>
            <rFont val="Tahoma"/>
            <family val="2"/>
          </rPr>
          <t>Ethan Neff:</t>
        </r>
        <r>
          <rPr>
            <sz val="9"/>
            <color indexed="81"/>
            <rFont val="Tahoma"/>
            <family val="2"/>
          </rPr>
          <t xml:space="preserve">
Straight Line from previous Full or Fiscal Year</t>
        </r>
      </text>
    </comment>
    <comment ref="H37" authorId="0" shapeId="0" xr:uid="{B4978DED-7253-4EA2-8D59-5F07D9D4D216}">
      <text>
        <r>
          <rPr>
            <b/>
            <sz val="9"/>
            <color indexed="81"/>
            <rFont val="Tahoma"/>
            <family val="2"/>
          </rPr>
          <t>Ethan Neff:</t>
        </r>
        <r>
          <rPr>
            <sz val="9"/>
            <color indexed="81"/>
            <rFont val="Tahoma"/>
            <family val="2"/>
          </rPr>
          <t xml:space="preserve">
Straight Line from previous Full or Fiscal Year</t>
        </r>
      </text>
    </comment>
    <comment ref="H38" authorId="0" shapeId="0" xr:uid="{6977B707-584F-4429-A8A3-FB79A31D4AEE}">
      <text>
        <r>
          <rPr>
            <b/>
            <sz val="9"/>
            <color indexed="81"/>
            <rFont val="Tahoma"/>
            <family val="2"/>
          </rPr>
          <t>Ethan Neff:</t>
        </r>
        <r>
          <rPr>
            <sz val="9"/>
            <color indexed="81"/>
            <rFont val="Tahoma"/>
            <family val="2"/>
          </rPr>
          <t xml:space="preserve">
Straight Line from previous Full or Fiscal Year</t>
        </r>
      </text>
    </comment>
    <comment ref="B39" authorId="0" shapeId="0" xr:uid="{ADAFA2B6-C1F7-42DA-83B1-23465C72EFCB}">
      <text>
        <r>
          <rPr>
            <b/>
            <sz val="11"/>
            <color indexed="81"/>
            <rFont val="Tahoma"/>
            <family val="2"/>
          </rPr>
          <t>Ethan Neff:</t>
        </r>
        <r>
          <rPr>
            <sz val="11"/>
            <color indexed="81"/>
            <rFont val="Tahoma"/>
            <family val="2"/>
          </rPr>
          <t xml:space="preserve">
Use as Last Resort. I am not pleased to include this, but copy and paste your out of balance numbers to force the Balance Sheet to balance.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Ethan Neff</author>
  </authors>
  <commentList>
    <comment ref="H8" authorId="0" shapeId="0" xr:uid="{0F249D01-11E2-4AEC-A99F-01EC57448815}">
      <text>
        <r>
          <rPr>
            <b/>
            <sz val="9"/>
            <color indexed="81"/>
            <rFont val="Tahoma"/>
            <family val="2"/>
          </rPr>
          <t>Ethan Neff:</t>
        </r>
        <r>
          <rPr>
            <sz val="9"/>
            <color indexed="81"/>
            <rFont val="Tahoma"/>
            <family val="2"/>
          </rPr>
          <t xml:space="preserve">
Grow with COGS or COS</t>
        </r>
      </text>
    </comment>
    <comment ref="H13" authorId="0" shapeId="0" xr:uid="{196CC7E6-1C27-4C8A-A231-FFC235047472}">
      <text>
        <r>
          <rPr>
            <b/>
            <sz val="9"/>
            <color indexed="81"/>
            <rFont val="Tahoma"/>
            <family val="2"/>
          </rPr>
          <t>Ethan Neff:</t>
        </r>
        <r>
          <rPr>
            <sz val="9"/>
            <color indexed="81"/>
            <rFont val="Tahoma"/>
            <family val="2"/>
          </rPr>
          <t xml:space="preserve">
Straight Line from previous Full or Fiscal Year</t>
        </r>
      </text>
    </comment>
    <comment ref="H14" authorId="0" shapeId="0" xr:uid="{36B953B4-2616-44D4-991A-0EF429938BFC}">
      <text>
        <r>
          <rPr>
            <b/>
            <sz val="9"/>
            <color indexed="81"/>
            <rFont val="Tahoma"/>
            <family val="2"/>
          </rPr>
          <t>Ethan Neff:</t>
        </r>
        <r>
          <rPr>
            <sz val="9"/>
            <color indexed="81"/>
            <rFont val="Tahoma"/>
            <family val="2"/>
          </rPr>
          <t xml:space="preserve">
Straight Line from previous Full or Fiscal Year</t>
        </r>
      </text>
    </comment>
    <comment ref="H21" authorId="0" shapeId="0" xr:uid="{0FF12D8C-786B-4081-B956-0AE38D34AB8F}">
      <text>
        <r>
          <rPr>
            <b/>
            <sz val="9"/>
            <color indexed="81"/>
            <rFont val="Tahoma"/>
            <family val="2"/>
          </rPr>
          <t>Ethan Neff:</t>
        </r>
        <r>
          <rPr>
            <sz val="9"/>
            <color indexed="81"/>
            <rFont val="Tahoma"/>
            <family val="2"/>
          </rPr>
          <t xml:space="preserve">
Grow with COGS or COS</t>
        </r>
      </text>
    </comment>
    <comment ref="H23" authorId="0" shapeId="0" xr:uid="{21C98DC8-6E29-4B40-A708-B2EA186E6254}">
      <text>
        <r>
          <rPr>
            <b/>
            <sz val="9"/>
            <color indexed="81"/>
            <rFont val="Tahoma"/>
            <family val="2"/>
          </rPr>
          <t>Ethan Neff:</t>
        </r>
        <r>
          <rPr>
            <sz val="9"/>
            <color indexed="81"/>
            <rFont val="Tahoma"/>
            <family val="2"/>
          </rPr>
          <t xml:space="preserve">
5 Year Historical rolling Average</t>
        </r>
      </text>
    </comment>
    <comment ref="H26" authorId="0" shapeId="0" xr:uid="{BABEF347-E865-4A01-BBEC-2E2654F07B9A}">
      <text>
        <r>
          <rPr>
            <b/>
            <sz val="9"/>
            <color indexed="81"/>
            <rFont val="Tahoma"/>
            <family val="2"/>
          </rPr>
          <t>Ethan Neff:</t>
        </r>
        <r>
          <rPr>
            <sz val="9"/>
            <color indexed="81"/>
            <rFont val="Tahoma"/>
            <family val="2"/>
          </rPr>
          <t xml:space="preserve">
Straight Line from previous Full or Fiscal Year</t>
        </r>
      </text>
    </comment>
    <comment ref="H27" authorId="0" shapeId="0" xr:uid="{F284067A-5768-4E0C-A210-BA310C1F7C30}">
      <text>
        <r>
          <rPr>
            <b/>
            <sz val="9"/>
            <color indexed="81"/>
            <rFont val="Tahoma"/>
            <family val="2"/>
          </rPr>
          <t>Ethan Neff:</t>
        </r>
        <r>
          <rPr>
            <sz val="9"/>
            <color indexed="81"/>
            <rFont val="Tahoma"/>
            <family val="2"/>
          </rPr>
          <t xml:space="preserve">
Straight Line from previous Full or Fiscal Year</t>
        </r>
      </text>
    </comment>
    <comment ref="H34" authorId="0" shapeId="0" xr:uid="{800B58D7-0437-4A86-B90A-E9AD980D9ACA}">
      <text>
        <r>
          <rPr>
            <b/>
            <sz val="9"/>
            <color indexed="81"/>
            <rFont val="Tahoma"/>
            <family val="2"/>
          </rPr>
          <t>Ethan Neff:</t>
        </r>
        <r>
          <rPr>
            <sz val="9"/>
            <color indexed="81"/>
            <rFont val="Tahoma"/>
            <family val="2"/>
          </rPr>
          <t xml:space="preserve">
Straight Line from previous Full or Fiscal Year</t>
        </r>
      </text>
    </comment>
    <comment ref="H35" authorId="0" shapeId="0" xr:uid="{7B2152AC-F3C2-42D9-9011-D84CED086344}">
      <text>
        <r>
          <rPr>
            <b/>
            <sz val="9"/>
            <color indexed="81"/>
            <rFont val="Tahoma"/>
            <family val="2"/>
          </rPr>
          <t>Ethan Neff:</t>
        </r>
        <r>
          <rPr>
            <sz val="9"/>
            <color indexed="81"/>
            <rFont val="Tahoma"/>
            <family val="2"/>
          </rPr>
          <t xml:space="preserve">
Straight Line from previous Full or Fiscal Year</t>
        </r>
      </text>
    </comment>
    <comment ref="H36" authorId="0" shapeId="0" xr:uid="{84FCF879-6069-4141-8C00-B1A37E3062D2}">
      <text>
        <r>
          <rPr>
            <b/>
            <sz val="9"/>
            <color indexed="81"/>
            <rFont val="Tahoma"/>
            <family val="2"/>
          </rPr>
          <t>Ethan Neff:</t>
        </r>
        <r>
          <rPr>
            <sz val="9"/>
            <color indexed="81"/>
            <rFont val="Tahoma"/>
            <family val="2"/>
          </rPr>
          <t xml:space="preserve">
Straight Line from previous Full or Fiscal Year</t>
        </r>
      </text>
    </comment>
    <comment ref="H37" authorId="0" shapeId="0" xr:uid="{DEE49FC2-3C2D-4611-BA1E-39687D938B74}">
      <text>
        <r>
          <rPr>
            <b/>
            <sz val="9"/>
            <color indexed="81"/>
            <rFont val="Tahoma"/>
            <family val="2"/>
          </rPr>
          <t>Ethan Neff:</t>
        </r>
        <r>
          <rPr>
            <sz val="9"/>
            <color indexed="81"/>
            <rFont val="Tahoma"/>
            <family val="2"/>
          </rPr>
          <t xml:space="preserve">
Straight Line from previous Full or Fiscal Year</t>
        </r>
      </text>
    </comment>
    <comment ref="H38" authorId="0" shapeId="0" xr:uid="{4A541CC2-16EF-4170-A403-075FE7FD4B89}">
      <text>
        <r>
          <rPr>
            <b/>
            <sz val="9"/>
            <color indexed="81"/>
            <rFont val="Tahoma"/>
            <family val="2"/>
          </rPr>
          <t>Ethan Neff:</t>
        </r>
        <r>
          <rPr>
            <sz val="9"/>
            <color indexed="81"/>
            <rFont val="Tahoma"/>
            <family val="2"/>
          </rPr>
          <t xml:space="preserve">
Straight Line from previous Full or Fiscal Year</t>
        </r>
      </text>
    </comment>
    <comment ref="B39" authorId="0" shapeId="0" xr:uid="{37F1CE46-C08B-4411-9A26-0F0EFF85C8CD}">
      <text>
        <r>
          <rPr>
            <b/>
            <sz val="11"/>
            <color indexed="81"/>
            <rFont val="Tahoma"/>
            <family val="2"/>
          </rPr>
          <t>Ethan Neff:</t>
        </r>
        <r>
          <rPr>
            <sz val="11"/>
            <color indexed="81"/>
            <rFont val="Tahoma"/>
            <family val="2"/>
          </rPr>
          <t xml:space="preserve">
Use as Last Resort. I am not pleased to include this, but copy and paste your out of balance numbers to force the Balance Sheet to balance.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<sst xmlns="http://schemas.openxmlformats.org/spreadsheetml/2006/main" count="604" uniqueCount="285">
  <si>
    <t>Valuation Summary</t>
  </si>
  <si>
    <t>Company Analysis</t>
  </si>
  <si>
    <t>Valuation Date</t>
  </si>
  <si>
    <t>Company Name</t>
  </si>
  <si>
    <t>52 Week High</t>
  </si>
  <si>
    <t>Team Name</t>
  </si>
  <si>
    <t>Company Ticker</t>
  </si>
  <si>
    <t>52 Week Low</t>
  </si>
  <si>
    <t>Analyst Name</t>
  </si>
  <si>
    <t>Sector</t>
  </si>
  <si>
    <t>Current Stock Price</t>
  </si>
  <si>
    <t>Valuation Scenarios</t>
  </si>
  <si>
    <t>Model</t>
  </si>
  <si>
    <t>Base</t>
  </si>
  <si>
    <t>Bear</t>
  </si>
  <si>
    <t>Spread</t>
  </si>
  <si>
    <t>Bull</t>
  </si>
  <si>
    <t>Weights</t>
  </si>
  <si>
    <t>Enter Weights</t>
  </si>
  <si>
    <t>Y-Values for Secondary Axis</t>
  </si>
  <si>
    <t>52 Week Low / High</t>
  </si>
  <si>
    <t>Perpetuity DCF</t>
  </si>
  <si>
    <t>EBITDA DCF</t>
  </si>
  <si>
    <t>Comparable Peers</t>
  </si>
  <si>
    <t>Internal Rate of Return</t>
  </si>
  <si>
    <t>Dividend Discount</t>
  </si>
  <si>
    <t>Target Price</t>
  </si>
  <si>
    <t>Current Stock Price versus Scenarios</t>
  </si>
  <si>
    <t>Current</t>
  </si>
  <si>
    <t>Stock Price</t>
  </si>
  <si>
    <t>Upside (Downside)</t>
  </si>
  <si>
    <t>Upside (Downside) %</t>
  </si>
  <si>
    <t>B</t>
  </si>
  <si>
    <t>Bloomberg Functions used for this Analysis</t>
  </si>
  <si>
    <t>Function Description</t>
  </si>
  <si>
    <t>Function</t>
  </si>
  <si>
    <t>Template</t>
  </si>
  <si>
    <t>Financial Analysis</t>
  </si>
  <si>
    <t>FA</t>
  </si>
  <si>
    <t>Relative Valuation</t>
  </si>
  <si>
    <t>RV</t>
  </si>
  <si>
    <t>Security Description</t>
  </si>
  <si>
    <t>DES</t>
  </si>
  <si>
    <t>Company Financials</t>
  </si>
  <si>
    <t>MODL</t>
  </si>
  <si>
    <t>Weighted Average Cost of Capital</t>
  </si>
  <si>
    <t>WACC</t>
  </si>
  <si>
    <t>Comparable Relative Valuation</t>
  </si>
  <si>
    <t>EQRV</t>
  </si>
  <si>
    <t>Excel Template Library</t>
  </si>
  <si>
    <t>XLTP</t>
  </si>
  <si>
    <t>XFA</t>
  </si>
  <si>
    <t>XDCF</t>
  </si>
  <si>
    <t>XCVA</t>
  </si>
  <si>
    <t>A</t>
  </si>
  <si>
    <t>Assumptions</t>
  </si>
  <si>
    <t>Valuation Assumptions</t>
  </si>
  <si>
    <t>Number of Forecasted Years</t>
  </si>
  <si>
    <t>Exit EV / EBITDA Multiple</t>
  </si>
  <si>
    <t>MSIF Analyst Team</t>
  </si>
  <si>
    <t>Market Mavericks</t>
  </si>
  <si>
    <t>Stephen Fredrick</t>
  </si>
  <si>
    <t>Company Specific Information</t>
  </si>
  <si>
    <t>Tyson Foods</t>
  </si>
  <si>
    <t>TSN</t>
  </si>
  <si>
    <t>Consumer Staples</t>
  </si>
  <si>
    <t>Shares Outstanding</t>
  </si>
  <si>
    <t>Year Ending</t>
  </si>
  <si>
    <t>09/31/2024</t>
  </si>
  <si>
    <t>Currency</t>
  </si>
  <si>
    <t>USD</t>
  </si>
  <si>
    <t>Millions</t>
  </si>
  <si>
    <t>Dividend Discount Model Assumptions</t>
  </si>
  <si>
    <t>Annual Dividend</t>
  </si>
  <si>
    <t>Compound Annual Growth Rate (CAGR)</t>
  </si>
  <si>
    <t>Custom Dividend Growth Rate</t>
  </si>
  <si>
    <t>Set Dividend Growth Rate = CAGR or Custom?</t>
  </si>
  <si>
    <t>CAGR</t>
  </si>
  <si>
    <t>Custom</t>
  </si>
  <si>
    <t>Cost of Equity - From WACC</t>
  </si>
  <si>
    <t>Comparable Peer Analysis Assumptions</t>
  </si>
  <si>
    <t>P / E</t>
  </si>
  <si>
    <t>EV</t>
  </si>
  <si>
    <t>LTM Sales</t>
  </si>
  <si>
    <t>LTM EBITDA</t>
  </si>
  <si>
    <t>Target Company</t>
  </si>
  <si>
    <t>Comparable Peer Companies</t>
  </si>
  <si>
    <t>Pilgrim's Pride</t>
  </si>
  <si>
    <t>Hormel Foods Corp</t>
  </si>
  <si>
    <t>Maple Leaf</t>
  </si>
  <si>
    <t>Weighted Average Cost of Capital - Bloomberg</t>
  </si>
  <si>
    <t>Market Cap</t>
  </si>
  <si>
    <t xml:space="preserve">% of Total Capital </t>
  </si>
  <si>
    <t>Short Term Debt</t>
  </si>
  <si>
    <t>Long Term Debt</t>
  </si>
  <si>
    <t>Total Debt</t>
  </si>
  <si>
    <t>Preferred Equity</t>
  </si>
  <si>
    <t>% of Total Capital</t>
  </si>
  <si>
    <t>Total Capital</t>
  </si>
  <si>
    <t>Effective Tax Rate</t>
  </si>
  <si>
    <t>1 - Effective Tax Rate</t>
  </si>
  <si>
    <t>Note Rate</t>
  </si>
  <si>
    <t>Short Term Debt as % of Total Debt</t>
  </si>
  <si>
    <t>Note Rate x Short Term Debt as % of Total Debt</t>
  </si>
  <si>
    <t>Bond Rate</t>
  </si>
  <si>
    <t>Long Term Debt as % of Total Debt</t>
  </si>
  <si>
    <t>Bond Rate x Long Term Debt as % of Total Debt</t>
  </si>
  <si>
    <t>Total Pre-Tax Cost of Debt</t>
  </si>
  <si>
    <t>Debt Adjustment Factor (Proprietary to Bloomberg)</t>
  </si>
  <si>
    <t>Total Cost of Debt</t>
  </si>
  <si>
    <t>Risk Free Rate</t>
  </si>
  <si>
    <t>+ Equity Risk Premium</t>
  </si>
  <si>
    <t>Beta</t>
  </si>
  <si>
    <t>x Country / Region Premium</t>
  </si>
  <si>
    <t>Expected Market Return</t>
  </si>
  <si>
    <t>- Risk Free Rate</t>
  </si>
  <si>
    <t>Total Cost of Common Equity</t>
  </si>
  <si>
    <t>Cost of Preferred Equity</t>
  </si>
  <si>
    <t>Preferred Dividend</t>
  </si>
  <si>
    <t>/ Preferred Equity</t>
  </si>
  <si>
    <t>Total Cost of Preferred Equity</t>
  </si>
  <si>
    <t>Total Cost of Equity</t>
  </si>
  <si>
    <t>IS</t>
  </si>
  <si>
    <t>Income Statement</t>
  </si>
  <si>
    <t>Perpetuity Growth Rate:</t>
  </si>
  <si>
    <t>Growth Rate Selected:</t>
  </si>
  <si>
    <t>Perpetual</t>
  </si>
  <si>
    <t>5 Year Average</t>
  </si>
  <si>
    <t>Revenue</t>
  </si>
  <si>
    <t>Other Operating Income</t>
  </si>
  <si>
    <t>Operating Expenses</t>
  </si>
  <si>
    <t>Non-Operating (Income) Loss</t>
  </si>
  <si>
    <t>Net Interest (Income) Expense</t>
  </si>
  <si>
    <t>Interest Expense</t>
  </si>
  <si>
    <t>Interest Rate on Debt in Perpetuity</t>
  </si>
  <si>
    <t>Custom Interest Rate</t>
  </si>
  <si>
    <t>% of Long-Term Debt</t>
  </si>
  <si>
    <t>Interest Income</t>
  </si>
  <si>
    <t>Interest Rate on Cash in Perpetuity</t>
  </si>
  <si>
    <t>Abnormal Losses (Gains)</t>
  </si>
  <si>
    <t>Income Tax Expense (Benefit)</t>
  </si>
  <si>
    <t>Tax Rate, Assume US Federal Statutory Tax Rate</t>
  </si>
  <si>
    <t>Miscellaneous After Tax Expenditures</t>
  </si>
  <si>
    <t>Net Extraordinary Losses (Gains)</t>
  </si>
  <si>
    <t>Discontinued Operations</t>
  </si>
  <si>
    <t>Extraordinary Items and Accounting Changes</t>
  </si>
  <si>
    <t>Minority / Non-Controlling Interests</t>
  </si>
  <si>
    <t>Preferred Dividends</t>
  </si>
  <si>
    <t>Other Adjustments</t>
  </si>
  <si>
    <t>Capital Expenditures</t>
  </si>
  <si>
    <t>ENTER AS POSITIVE</t>
  </si>
  <si>
    <t>Depreciation and Amortization</t>
  </si>
  <si>
    <t>Cost of Capitalized Leases [Bloomberg And/Or or 10 K Notes]</t>
  </si>
  <si>
    <t>CF</t>
  </si>
  <si>
    <t>Statement of Cash Flows</t>
  </si>
  <si>
    <t>Non-Cash Items</t>
  </si>
  <si>
    <t>Stock Based Compensation</t>
  </si>
  <si>
    <t>Deferred Income Taxes</t>
  </si>
  <si>
    <t>Other Non-Cash Adjustments</t>
  </si>
  <si>
    <t>Change in Non-Cash Working Capital</t>
  </si>
  <si>
    <t>Net Cash from Discontinued Operations</t>
  </si>
  <si>
    <t>Change in Fixed and Intangible Assets</t>
  </si>
  <si>
    <t>Use Capital Expenditures</t>
  </si>
  <si>
    <t>Disposal of Fixed and Intangible Assets</t>
  </si>
  <si>
    <t>Net Change in Long-Term Investments</t>
  </si>
  <si>
    <t>Net Cash from Acquistions and Divestitures</t>
  </si>
  <si>
    <t>Other Investing Actvities</t>
  </si>
  <si>
    <t>Dividends Paid</t>
  </si>
  <si>
    <t xml:space="preserve"> Change in Sign</t>
  </si>
  <si>
    <t>Net Cash from (Repayment) Debt</t>
  </si>
  <si>
    <t>Cash (Repurchase) of Equity</t>
  </si>
  <si>
    <t>Other Financing Activities</t>
  </si>
  <si>
    <t>Effect of Foreign Exchange Rates</t>
  </si>
  <si>
    <t>Opening Cash</t>
  </si>
  <si>
    <t>Cash (From Balance or Cash Flow on 10K)</t>
  </si>
  <si>
    <t>Restricted Cash</t>
  </si>
  <si>
    <t>Restricted Cash from Balance Sheet (Notes 10K)</t>
  </si>
  <si>
    <t>BS</t>
  </si>
  <si>
    <t>Balance Sheet</t>
  </si>
  <si>
    <t>Cash, Cash Equivalents, and Short-Term Investments</t>
  </si>
  <si>
    <t>Short-Term Investments</t>
  </si>
  <si>
    <t>Accounts and Notes Receivable</t>
  </si>
  <si>
    <t>Accounts Receivable</t>
  </si>
  <si>
    <t>Notes Receivable</t>
  </si>
  <si>
    <t>Inventory</t>
  </si>
  <si>
    <t>Other Short-Term Assets</t>
  </si>
  <si>
    <t>Property, Plant, and Equipment</t>
  </si>
  <si>
    <t>Long-Term Investments and Receivables</t>
  </si>
  <si>
    <t>Other Long-Term Assets</t>
  </si>
  <si>
    <t>Payables and Accruals</t>
  </si>
  <si>
    <t>Short-Term Debt</t>
  </si>
  <si>
    <t>Other Short-Term Liabilities</t>
  </si>
  <si>
    <t>Long-Term Debt</t>
  </si>
  <si>
    <t>Other Long-Term Liabilities</t>
  </si>
  <si>
    <t>Preferred and Hybrid Capital</t>
  </si>
  <si>
    <t>Share Capital and Additional Paid in Capital</t>
  </si>
  <si>
    <t>Retained Earnings</t>
  </si>
  <si>
    <t>Other Equity</t>
  </si>
  <si>
    <t>Minority and Non-Controlling Interest</t>
  </si>
  <si>
    <t>Treasury Stock</t>
  </si>
  <si>
    <t>X</t>
  </si>
  <si>
    <t>Perpetuity Growth Method -  Value Per Share</t>
  </si>
  <si>
    <t>EBITDA Multiple Method -  Value Per Share</t>
  </si>
  <si>
    <t>Discounted Cash Flow</t>
  </si>
  <si>
    <t>EBITDA</t>
  </si>
  <si>
    <t>Perpetuity Growth Rate</t>
  </si>
  <si>
    <t>NOPAT</t>
  </si>
  <si>
    <t>Discounted Terminal Value</t>
  </si>
  <si>
    <t>Present Value of Free Cash Flows</t>
  </si>
  <si>
    <t>Enterprise Value</t>
  </si>
  <si>
    <t>Net Working Capital Change</t>
  </si>
  <si>
    <t>Net Debt</t>
  </si>
  <si>
    <t>Minority Interest</t>
  </si>
  <si>
    <t>Taxes</t>
  </si>
  <si>
    <t>Equity Value</t>
  </si>
  <si>
    <t>Free Cash Flow</t>
  </si>
  <si>
    <t>Discount Factor</t>
  </si>
  <si>
    <t>Value Per Share</t>
  </si>
  <si>
    <t>Discounted Free Cash Flow</t>
  </si>
  <si>
    <t>Perpetuity Growth Method DCF Summary</t>
  </si>
  <si>
    <t>EBITDA Multiple Method DCF Summary</t>
  </si>
  <si>
    <t>Scenarios</t>
  </si>
  <si>
    <t>Market and Financial Data - In Millions USD</t>
  </si>
  <si>
    <t>Earnings</t>
  </si>
  <si>
    <t>EV / Sales</t>
  </si>
  <si>
    <t>EV / EBITDA</t>
  </si>
  <si>
    <t>SUMMARY</t>
  </si>
  <si>
    <t>Metrics</t>
  </si>
  <si>
    <t>Comps</t>
  </si>
  <si>
    <t>Implied EV</t>
  </si>
  <si>
    <t>Shares</t>
  </si>
  <si>
    <t>Share Price</t>
  </si>
  <si>
    <t>Mean</t>
  </si>
  <si>
    <t>25 Percentile</t>
  </si>
  <si>
    <t>75 Percentile</t>
  </si>
  <si>
    <t>Discounted Free Cash Flow to Equity</t>
  </si>
  <si>
    <t>Cost of Equity</t>
  </si>
  <si>
    <t>Free Cash Flow to Equity</t>
  </si>
  <si>
    <t>PV of Free Cash Flow to Equity</t>
  </si>
  <si>
    <t>Internal Rate of Return Summary</t>
  </si>
  <si>
    <t>Dividend Discount Model - 2 Stage</t>
  </si>
  <si>
    <t>Annual Dividends Per Share</t>
  </si>
  <si>
    <t>Present Value of Dividend</t>
  </si>
  <si>
    <t>Dividend Growth Rate Stage 1</t>
  </si>
  <si>
    <t>Dividend Growth Rate Stage 2</t>
  </si>
  <si>
    <t>Sum of Stage 1 Dividends</t>
  </si>
  <si>
    <t>Year 5 Dividend * (1 + Stage 2 Growth Rate)</t>
  </si>
  <si>
    <t>Stage 2 Terminal Value</t>
  </si>
  <si>
    <t>PV of Stage 2 Terminal Value</t>
  </si>
  <si>
    <t>Dividend Discount Model Summary</t>
  </si>
  <si>
    <t>Income Statement - Base</t>
  </si>
  <si>
    <t>Year over Year Growth %</t>
  </si>
  <si>
    <t>Gross Profit</t>
  </si>
  <si>
    <t>Operating Income (Loss) ~ EBIT</t>
  </si>
  <si>
    <t>Pretax Income (Loss), GAAP ~ EBT</t>
  </si>
  <si>
    <t>Net Income (Loss), GAAP</t>
  </si>
  <si>
    <t>EBITDA Calculation</t>
  </si>
  <si>
    <t>NOPAT Calculation</t>
  </si>
  <si>
    <t>Net Profit After Tax - NOPAT</t>
  </si>
  <si>
    <t>Income Statement - Bear</t>
  </si>
  <si>
    <t>Statement of Cash Flows - Base</t>
  </si>
  <si>
    <t>Operating Activities</t>
  </si>
  <si>
    <t>Cash from Operating Activities</t>
  </si>
  <si>
    <t>Investing Activities</t>
  </si>
  <si>
    <t>Change in Fixed Assets and Intangibles</t>
  </si>
  <si>
    <t>Cash from Investing Activities</t>
  </si>
  <si>
    <t>Financing Activities</t>
  </si>
  <si>
    <t>Cash from Financing Activities</t>
  </si>
  <si>
    <t>Net Change in Cash</t>
  </si>
  <si>
    <t>Cash Balance</t>
  </si>
  <si>
    <t>Closing Cash Balance</t>
  </si>
  <si>
    <t>Data from Financial Statements</t>
  </si>
  <si>
    <t>Balance Sheet - Base</t>
  </si>
  <si>
    <t>Assets</t>
  </si>
  <si>
    <t>Current Assets</t>
  </si>
  <si>
    <t>Non-Current Assets</t>
  </si>
  <si>
    <t>Liabilities</t>
  </si>
  <si>
    <t>Current Liabilities</t>
  </si>
  <si>
    <t>Non-Current Liabilities</t>
  </si>
  <si>
    <t>Equity</t>
  </si>
  <si>
    <t>Balancing Figure</t>
  </si>
  <si>
    <t>A = L + E Check, A &gt; L + E = Positive, A &lt; L + E = Negative</t>
  </si>
  <si>
    <t>Ratios</t>
  </si>
  <si>
    <t>Working Capital</t>
  </si>
  <si>
    <t>Yash Agrawal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</si>
</sst>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quot;A&quot;"/>
    <numFmt numFmtId="165" formatCode="0&quot;E&quot;"/>
    <numFmt numFmtId="166" formatCode="_(* #,##0.0_);_(* \(#,##0.0\);_(* &quot;-&quot;??_);_(@_)"/>
    <numFmt numFmtId="167" formatCode="0.0%"/>
    <numFmt numFmtId="168" formatCode="mmmm\ d"/>
    <numFmt numFmtId="169" formatCode="_(* #,##0.0_);_(* \(#,##0.0\);_(* &quot;-&quot;?_);_(@_)"/>
    <numFmt numFmtId="170" formatCode="0.0\x"/>
    <numFmt numFmtId="171" formatCode="0.00\x"/>
    <numFmt numFmtId="172" formatCode="#,##0.00\x"/>
    <numFmt numFmtId="173" formatCode="_(* #,##0_);_(* \(#,##0\);_(* &quot;-&quot;??_);_(@_)"/>
    <numFmt numFmtId="174" formatCode="&quot;Year &quot;0"/>
    <numFmt numFmtId="175" formatCode="_(* #,##0.000_);_(* \(#,##0.000\);_(* &quot;-&quot;??_);_(@_)"/>
  </numFmts>
  <fonts count="33">
    <font>
      <sz val="12"/>
      <color theme="1"/>
      <name val="Calibri"/>
      <family val="2"/>
    </font>
    <font>
      <sz val="12"/>
      <color theme="1"/>
      <name val="Calibri"/>
      <family val="2"/>
    </font>
    <font>
      <sz val="8"/>
      <color theme="1"/>
      <name val="Calibri"/>
      <family val="2"/>
    </font>
    <font>
      <sz val="12"/>
      <color rgb="FF000000"/>
      <name val="Calibri"/>
      <family val="2"/>
    </font>
    <font>
      <b/>
      <sz val="12"/>
      <color rgb="FFFFFFFF"/>
      <name val="Calibri"/>
      <family val="2"/>
    </font>
    <font>
      <b/>
      <sz val="12"/>
      <color rgb="FF000000"/>
      <name val="Calibri"/>
      <family val="2"/>
    </font>
    <font>
      <b/>
      <sz val="12"/>
      <name val="Calibri"/>
      <family val="2"/>
    </font>
    <font>
      <b/>
      <sz val="8"/>
      <color theme="0"/>
      <name val="Calibri"/>
      <family val="2"/>
    </font>
    <font>
      <b/>
      <sz val="8"/>
      <color theme="1"/>
      <name val="Calibri"/>
      <family val="2"/>
    </font>
    <font>
      <sz val="8"/>
      <color theme="0"/>
      <name val="Calibri"/>
      <family val="2"/>
    </font>
    <font>
      <sz val="9"/>
      <color indexed="81"/>
      <name val="Tahoma"/>
      <family val="2"/>
    </font>
    <font>
      <b/>
      <sz val="9"/>
      <color indexed="81"/>
      <name val="Tahoma"/>
      <family val="2"/>
    </font>
    <font>
      <i/>
      <sz val="8"/>
      <color theme="1"/>
      <name val="Calibri"/>
      <family val="2"/>
    </font>
    <font>
      <sz val="11"/>
      <color theme="1"/>
      <name val="Aptos Narrow"/>
      <family val="2"/>
      <scheme val="minor"/>
    </font>
    <font>
      <sz val="8"/>
      <color rgb="FFFF0000"/>
      <name val="Calibri"/>
      <family val="2"/>
    </font>
    <font>
      <sz val="5"/>
      <color theme="1"/>
      <name val="Calibri"/>
      <family val="2"/>
    </font>
    <font>
      <b/>
      <sz val="12"/>
      <color theme="1"/>
      <name val="Calibri"/>
      <family val="2"/>
    </font>
    <font>
      <sz val="11"/>
      <color indexed="81"/>
      <name val="Tahoma"/>
      <family val="2"/>
    </font>
    <font>
      <b/>
      <sz val="11"/>
      <color indexed="81"/>
      <name val="Tahoma"/>
      <family val="2"/>
    </font>
    <font>
      <b/>
      <sz val="8"/>
      <name val="Calibri"/>
      <family val="2"/>
    </font>
    <font>
      <i/>
      <sz val="8"/>
      <name val="Calibri"/>
      <family val="2"/>
    </font>
    <font>
      <sz val="8"/>
      <name val="Calibri"/>
      <family val="2"/>
    </font>
    <font>
      <b/>
      <sz val="8"/>
      <color rgb="FFFFFFFF"/>
      <name val="Calibri"/>
      <family val="2"/>
    </font>
    <font>
      <b/>
      <sz val="8"/>
      <color rgb="FF000000"/>
      <name val="Calibri"/>
      <family val="2"/>
    </font>
    <font>
      <b/>
      <sz val="2"/>
      <color theme="1"/>
      <name val="Calibri"/>
      <family val="2"/>
    </font>
    <font>
      <sz val="2"/>
      <color theme="1"/>
      <name val="Calibri"/>
      <family val="2"/>
    </font>
    <font>
      <sz val="8"/>
      <color rgb="FF000000"/>
      <name val="Calibri"/>
      <family val="2"/>
    </font>
    <font>
      <sz val="6"/>
      <color theme="1"/>
      <name val="Calibri"/>
      <family val="2"/>
    </font>
    <font>
      <sz val="12"/>
      <color indexed="81"/>
      <name val="Tahoma"/>
      <family val="2"/>
    </font>
    <font>
      <b/>
      <sz val="12"/>
      <color indexed="81"/>
      <name val="Tahoma"/>
      <family val="2"/>
    </font>
    <font>
      <sz val="12"/>
      <name val="Calibri"/>
      <family val="2"/>
    </font>
    <font>
      <sz val="8"/>
      <color theme="9"/>
      <name val="Calibri"/>
      <family val="2"/>
    </font>
    <font>
      <b/>
      <i/>
      <sz val="12"/>
      <name val="Calibri"/>
      <family val="2"/>
    </font>
  </fonts>
  <fills count="17">
    <fill>
      <patternFill patternType="none"/>
    </fill>
    <fill>
      <patternFill patternType="gray125"/>
    </fill>
    <fill>
      <patternFill patternType="solid">
        <fgColor theme="3" tint="0.89999084444715716"/>
        <bgColor indexed="64"/>
      </patternFill>
    </fill>
    <fill>
      <patternFill patternType="solid">
        <fgColor rgb="FFDAE9F8"/>
        <bgColor rgb="FF000000"/>
      </patternFill>
    </fill>
    <fill>
      <patternFill patternType="solid">
        <fgColor rgb="FFE2E2E2"/>
        <bgColor rgb="FF000000"/>
      </patternFill>
    </fill>
    <fill>
      <patternFill patternType="solid">
        <fgColor theme="9"/>
        <bgColor indexed="64"/>
      </patternFill>
    </fill>
    <fill>
      <patternFill patternType="solid">
        <fgColor theme="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5"/>
        <bgColor rgb="FF000000"/>
      </patternFill>
    </fill>
    <fill>
      <patternFill patternType="solid">
        <fgColor theme="9"/>
        <bgColor rgb="FF000000"/>
      </patternFill>
    </fill>
    <fill>
      <patternFill patternType="solid">
        <fgColor rgb="FF92D05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C000"/>
        <bgColor indexed="64"/>
      </patternFill>
    </fill>
  </fills>
  <borders count="8">
    <border>
      <left/>
      <right/>
      <top/>
      <bottom/>
      <diagonal/>
    </border>
    <border>
      <left/>
      <right/>
      <top style="thin">
        <color auto="1"/>
      </top>
      <bottom style="thin">
        <color auto="1"/>
      </bottom>
      <diagonal/>
    </border>
    <border>
      <left/>
      <right/>
      <top style="thin">
        <color indexed="64"/>
      </top>
      <bottom style="medium">
        <color indexed="64"/>
      </bottom>
      <diagonal/>
    </border>
    <border>
      <left/>
      <right/>
      <top style="thin">
        <color indexed="64"/>
      </top>
      <bottom/>
      <diagonal/>
    </border>
    <border>
      <left/>
      <right/>
      <top/>
      <bottom style="medium">
        <color indexed="64"/>
      </bottom>
      <diagonal/>
    </border>
    <border>
      <left/>
      <right/>
      <top style="thin">
        <color indexed="64"/>
      </top>
      <bottom style="double">
        <color indexed="64"/>
      </bottom>
      <diagonal/>
    </border>
    <border>
      <left/>
      <right/>
      <top/>
      <bottom style="double">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3" fillId="0" borderId="0"/>
  </cellStyleXfs>
  <cellXfs count="245">
    <xf numFmtId="0" fontId="0" fillId="0" borderId="0" xfId="0"/>
    <xf numFmtId="0" fontId="2" fillId="0" borderId="0" xfId="0" applyFont="1"/>
    <xf numFmtId="0" fontId="3" fillId="0" borderId="0" xfId="0" applyFont="1"/>
    <xf numFmtId="0" fontId="5" fillId="0" borderId="0" xfId="0" applyFont="1"/>
    <xf numFmtId="0" fontId="5" fillId="4" borderId="0" xfId="0" applyFont="1" applyFill="1" applyAlignment="1">
      <alignment horizontal="left"/>
    </xf>
    <xf numFmtId="0" fontId="5" fillId="4" borderId="0" xfId="0" applyFont="1" applyFill="1" applyAlignment="1">
      <alignment horizontal="center"/>
    </xf>
    <xf numFmtId="43" fontId="3" fillId="0" borderId="0" xfId="1" applyFont="1" applyFill="1" applyBorder="1" applyAlignment="1"/>
    <xf numFmtId="0" fontId="6" fillId="4" borderId="1" xfId="0" applyFont="1" applyFill="1" applyBorder="1"/>
    <xf numFmtId="43" fontId="6" fillId="4" borderId="1" xfId="1" applyFont="1" applyFill="1" applyBorder="1" applyAlignment="1"/>
    <xf numFmtId="10" fontId="6" fillId="4" borderId="1" xfId="2" applyNumberFormat="1" applyFont="1" applyFill="1" applyBorder="1" applyAlignment="1"/>
    <xf numFmtId="166" fontId="8" fillId="2" borderId="0" xfId="1" applyNumberFormat="1" applyFont="1" applyFill="1" applyBorder="1"/>
    <xf numFmtId="167" fontId="2" fillId="0" borderId="0" xfId="2" applyNumberFormat="1" applyFont="1"/>
    <xf numFmtId="10" fontId="2" fillId="2" borderId="0" xfId="0" applyNumberFormat="1" applyFont="1" applyFill="1"/>
    <xf numFmtId="0" fontId="8" fillId="0" borderId="0" xfId="0" applyFont="1" applyAlignment="1">
      <alignment horizontal="center"/>
    </xf>
    <xf numFmtId="0" fontId="8" fillId="0" borderId="0" xfId="0" applyFont="1"/>
    <xf numFmtId="167" fontId="2" fillId="0" borderId="0" xfId="0" applyNumberFormat="1" applyFont="1"/>
    <xf numFmtId="0" fontId="8" fillId="0" borderId="0" xfId="0" applyFont="1" applyAlignment="1">
      <alignment horizontal="left" indent="1"/>
    </xf>
    <xf numFmtId="0" fontId="8" fillId="0" borderId="0" xfId="0" applyFont="1" applyAlignment="1">
      <alignment horizontal="left" indent="2"/>
    </xf>
    <xf numFmtId="166" fontId="2" fillId="0" borderId="0" xfId="1" applyNumberFormat="1" applyFont="1"/>
    <xf numFmtId="166" fontId="8" fillId="0" borderId="0" xfId="1" applyNumberFormat="1" applyFont="1"/>
    <xf numFmtId="166" fontId="8" fillId="2" borderId="0" xfId="1" applyNumberFormat="1" applyFont="1" applyFill="1"/>
    <xf numFmtId="169" fontId="8" fillId="0" borderId="0" xfId="0" applyNumberFormat="1" applyFont="1"/>
    <xf numFmtId="164" fontId="7" fillId="5" borderId="0" xfId="0" applyNumberFormat="1" applyFont="1" applyFill="1"/>
    <xf numFmtId="165" fontId="7" fillId="5" borderId="0" xfId="0" applyNumberFormat="1" applyFont="1" applyFill="1"/>
    <xf numFmtId="0" fontId="8" fillId="0" borderId="3" xfId="0" applyFont="1" applyBorder="1"/>
    <xf numFmtId="169" fontId="8" fillId="0" borderId="3" xfId="0" applyNumberFormat="1" applyFont="1" applyBorder="1"/>
    <xf numFmtId="167" fontId="12" fillId="0" borderId="4" xfId="2" applyNumberFormat="1" applyFont="1" applyBorder="1"/>
    <xf numFmtId="0" fontId="12" fillId="0" borderId="0" xfId="0" applyFont="1"/>
    <xf numFmtId="167" fontId="12" fillId="0" borderId="0" xfId="2" applyNumberFormat="1" applyFont="1"/>
    <xf numFmtId="0" fontId="8" fillId="0" borderId="0" xfId="0" applyFont="1" applyAlignment="1">
      <alignment horizontal="left" indent="3"/>
    </xf>
    <xf numFmtId="166" fontId="8" fillId="0" borderId="0" xfId="1" applyNumberFormat="1" applyFont="1" applyFill="1" applyBorder="1"/>
    <xf numFmtId="164" fontId="7" fillId="5" borderId="0" xfId="0" applyNumberFormat="1" applyFont="1" applyFill="1" applyAlignment="1">
      <alignment horizontal="center"/>
    </xf>
    <xf numFmtId="166" fontId="2" fillId="0" borderId="0" xfId="0" applyNumberFormat="1" applyFont="1"/>
    <xf numFmtId="0" fontId="12" fillId="0" borderId="6" xfId="0" applyFont="1" applyBorder="1"/>
    <xf numFmtId="167" fontId="12" fillId="0" borderId="6" xfId="2" applyNumberFormat="1" applyFont="1" applyBorder="1"/>
    <xf numFmtId="0" fontId="2" fillId="0" borderId="0" xfId="0" applyFont="1" applyAlignment="1">
      <alignment horizontal="left" indent="1"/>
    </xf>
    <xf numFmtId="0" fontId="12" fillId="0" borderId="0" xfId="0" applyFont="1" applyAlignment="1">
      <alignment horizontal="left" indent="1"/>
    </xf>
    <xf numFmtId="0" fontId="8" fillId="0" borderId="3" xfId="0" applyFont="1" applyBorder="1" applyAlignment="1">
      <alignment horizontal="left" indent="1"/>
    </xf>
    <xf numFmtId="0" fontId="12" fillId="0" borderId="4" xfId="0" applyFont="1" applyBorder="1" applyAlignment="1">
      <alignment horizontal="left" indent="1"/>
    </xf>
    <xf numFmtId="0" fontId="2" fillId="0" borderId="0" xfId="0" applyFont="1" applyAlignment="1">
      <alignment horizontal="left" indent="2"/>
    </xf>
    <xf numFmtId="0" fontId="12" fillId="0" borderId="0" xfId="0" applyFont="1" applyAlignment="1">
      <alignment horizontal="left" indent="2"/>
    </xf>
    <xf numFmtId="0" fontId="9" fillId="6" borderId="0" xfId="0" applyFont="1" applyFill="1"/>
    <xf numFmtId="0" fontId="7" fillId="6" borderId="0" xfId="0" applyFont="1" applyFill="1"/>
    <xf numFmtId="0" fontId="8" fillId="0" borderId="1" xfId="0" applyFont="1" applyBorder="1"/>
    <xf numFmtId="166" fontId="8" fillId="0" borderId="1" xfId="1" applyNumberFormat="1" applyFont="1" applyBorder="1"/>
    <xf numFmtId="0" fontId="8" fillId="7" borderId="0" xfId="0" applyFont="1" applyFill="1"/>
    <xf numFmtId="0" fontId="8" fillId="7" borderId="0" xfId="0" applyFont="1" applyFill="1" applyAlignment="1">
      <alignment horizontal="left"/>
    </xf>
    <xf numFmtId="0" fontId="7" fillId="6" borderId="0" xfId="0" applyFont="1" applyFill="1" applyAlignment="1">
      <alignment horizontal="center"/>
    </xf>
    <xf numFmtId="0" fontId="8" fillId="8" borderId="0" xfId="0" applyFont="1" applyFill="1"/>
    <xf numFmtId="166" fontId="8" fillId="0" borderId="0" xfId="0" applyNumberFormat="1" applyFont="1"/>
    <xf numFmtId="164" fontId="8" fillId="0" borderId="0" xfId="0" applyNumberFormat="1" applyFont="1" applyAlignment="1">
      <alignment horizontal="center"/>
    </xf>
    <xf numFmtId="0" fontId="8" fillId="9" borderId="0" xfId="0" applyFont="1" applyFill="1"/>
    <xf numFmtId="169" fontId="8" fillId="2" borderId="0" xfId="0" applyNumberFormat="1" applyFont="1" applyFill="1"/>
    <xf numFmtId="0" fontId="8" fillId="0" borderId="2" xfId="0" applyFont="1" applyBorder="1"/>
    <xf numFmtId="166" fontId="8" fillId="0" borderId="2" xfId="1" applyNumberFormat="1" applyFont="1" applyBorder="1"/>
    <xf numFmtId="169" fontId="8" fillId="0" borderId="2" xfId="0" applyNumberFormat="1" applyFont="1" applyBorder="1"/>
    <xf numFmtId="0" fontId="14" fillId="0" borderId="0" xfId="0" applyFont="1" applyAlignment="1">
      <alignment horizontal="left" indent="1"/>
    </xf>
    <xf numFmtId="169" fontId="14" fillId="0" borderId="0" xfId="0" applyNumberFormat="1" applyFont="1"/>
    <xf numFmtId="0" fontId="2" fillId="0" borderId="0" xfId="2" applyNumberFormat="1" applyFont="1"/>
    <xf numFmtId="0" fontId="8" fillId="0" borderId="0" xfId="0" applyFont="1" applyAlignment="1">
      <alignment horizontal="left"/>
    </xf>
    <xf numFmtId="0" fontId="8" fillId="0" borderId="0" xfId="3" applyFont="1" applyAlignment="1">
      <alignment horizontal="left"/>
    </xf>
    <xf numFmtId="166" fontId="8" fillId="0" borderId="5" xfId="1" applyNumberFormat="1" applyFont="1" applyBorder="1"/>
    <xf numFmtId="166" fontId="7" fillId="6" borderId="0" xfId="1" applyNumberFormat="1" applyFont="1" applyFill="1"/>
    <xf numFmtId="0" fontId="15" fillId="0" borderId="0" xfId="0" applyFont="1"/>
    <xf numFmtId="43" fontId="2" fillId="0" borderId="0" xfId="0" applyNumberFormat="1" applyFont="1"/>
    <xf numFmtId="167" fontId="8" fillId="0" borderId="0" xfId="2" applyNumberFormat="1" applyFont="1" applyAlignment="1"/>
    <xf numFmtId="0" fontId="8" fillId="0" borderId="5" xfId="0" applyFont="1" applyBorder="1"/>
    <xf numFmtId="0" fontId="8" fillId="0" borderId="2" xfId="3" applyFont="1" applyBorder="1" applyAlignment="1">
      <alignment horizontal="left"/>
    </xf>
    <xf numFmtId="0" fontId="8" fillId="0" borderId="0" xfId="3" applyFont="1" applyAlignment="1">
      <alignment horizontal="left" indent="1"/>
    </xf>
    <xf numFmtId="166" fontId="8" fillId="0" borderId="0" xfId="1" applyNumberFormat="1" applyFont="1" applyAlignment="1">
      <alignment horizontal="center"/>
    </xf>
    <xf numFmtId="43" fontId="2" fillId="0" borderId="0" xfId="1" applyFont="1"/>
    <xf numFmtId="169" fontId="2" fillId="0" borderId="0" xfId="0" applyNumberFormat="1" applyFont="1"/>
    <xf numFmtId="166" fontId="12" fillId="0" borderId="0" xfId="1" applyNumberFormat="1" applyFont="1"/>
    <xf numFmtId="0" fontId="21" fillId="0" borderId="0" xfId="3" applyFont="1" applyAlignment="1">
      <alignment horizontal="left" indent="1"/>
    </xf>
    <xf numFmtId="0" fontId="19" fillId="0" borderId="1" xfId="3" applyFont="1" applyBorder="1"/>
    <xf numFmtId="166" fontId="19" fillId="0" borderId="1" xfId="1" applyNumberFormat="1" applyFont="1" applyFill="1" applyBorder="1"/>
    <xf numFmtId="10" fontId="8" fillId="2" borderId="0" xfId="2" applyNumberFormat="1" applyFont="1" applyFill="1" applyBorder="1"/>
    <xf numFmtId="10" fontId="19" fillId="0" borderId="0" xfId="2" applyNumberFormat="1" applyFont="1" applyFill="1" applyBorder="1"/>
    <xf numFmtId="10" fontId="21" fillId="0" borderId="0" xfId="3" applyNumberFormat="1" applyFont="1"/>
    <xf numFmtId="10" fontId="21" fillId="0" borderId="0" xfId="2" applyNumberFormat="1" applyFont="1" applyFill="1" applyBorder="1"/>
    <xf numFmtId="10" fontId="19" fillId="0" borderId="1" xfId="3" applyNumberFormat="1" applyFont="1" applyBorder="1"/>
    <xf numFmtId="10" fontId="8" fillId="0" borderId="0" xfId="2" applyNumberFormat="1" applyFont="1" applyFill="1" applyBorder="1"/>
    <xf numFmtId="0" fontId="8" fillId="10" borderId="5" xfId="0" applyFont="1" applyFill="1" applyBorder="1"/>
    <xf numFmtId="10" fontId="8" fillId="10" borderId="5" xfId="2" applyNumberFormat="1" applyFont="1" applyFill="1" applyBorder="1"/>
    <xf numFmtId="0" fontId="19" fillId="0" borderId="0" xfId="3" applyFont="1" applyAlignment="1">
      <alignment horizontal="left"/>
    </xf>
    <xf numFmtId="0" fontId="19" fillId="0" borderId="3" xfId="3" applyFont="1" applyBorder="1" applyAlignment="1">
      <alignment horizontal="left"/>
    </xf>
    <xf numFmtId="0" fontId="19" fillId="4" borderId="5" xfId="3" applyFont="1" applyFill="1" applyBorder="1"/>
    <xf numFmtId="43" fontId="8" fillId="2" borderId="0" xfId="1" applyFont="1" applyFill="1" applyBorder="1"/>
    <xf numFmtId="0" fontId="23" fillId="0" borderId="0" xfId="0" applyFont="1"/>
    <xf numFmtId="0" fontId="7" fillId="11" borderId="0" xfId="3" applyFont="1" applyFill="1"/>
    <xf numFmtId="0" fontId="7" fillId="0" borderId="0" xfId="0" applyFont="1"/>
    <xf numFmtId="10" fontId="8" fillId="2" borderId="0" xfId="0" applyNumberFormat="1" applyFont="1" applyFill="1" applyAlignment="1">
      <alignment horizontal="right"/>
    </xf>
    <xf numFmtId="0" fontId="8" fillId="2" borderId="0" xfId="0" applyFont="1" applyFill="1" applyAlignment="1">
      <alignment horizontal="right"/>
    </xf>
    <xf numFmtId="168" fontId="8" fillId="2" borderId="0" xfId="0" applyNumberFormat="1" applyFont="1" applyFill="1" applyAlignment="1">
      <alignment horizontal="right"/>
    </xf>
    <xf numFmtId="166" fontId="8" fillId="2" borderId="0" xfId="1" applyNumberFormat="1" applyFont="1" applyFill="1" applyAlignment="1">
      <alignment horizontal="right"/>
    </xf>
    <xf numFmtId="167" fontId="20" fillId="0" borderId="0" xfId="3" applyNumberFormat="1" applyFont="1"/>
    <xf numFmtId="0" fontId="21" fillId="0" borderId="0" xfId="3" applyFont="1"/>
    <xf numFmtId="167" fontId="21" fillId="0" borderId="0" xfId="3" applyNumberFormat="1" applyFont="1"/>
    <xf numFmtId="0" fontId="19" fillId="0" borderId="0" xfId="3" applyFont="1" applyAlignment="1">
      <alignment horizontal="left" indent="1"/>
    </xf>
    <xf numFmtId="0" fontId="20" fillId="0" borderId="0" xfId="3" applyFont="1" applyAlignment="1">
      <alignment horizontal="left" indent="1"/>
    </xf>
    <xf numFmtId="0" fontId="21" fillId="0" borderId="0" xfId="3" applyFont="1" applyAlignment="1">
      <alignment horizontal="left" indent="2"/>
    </xf>
    <xf numFmtId="0" fontId="20" fillId="0" borderId="0" xfId="3" applyFont="1" applyAlignment="1">
      <alignment horizontal="left" indent="2"/>
    </xf>
    <xf numFmtId="0" fontId="19" fillId="0" borderId="0" xfId="3" applyFont="1"/>
    <xf numFmtId="0" fontId="19" fillId="0" borderId="0" xfId="3" applyFont="1" applyAlignment="1">
      <alignment horizontal="left" indent="2"/>
    </xf>
    <xf numFmtId="0" fontId="21" fillId="0" borderId="0" xfId="3" applyFont="1" applyAlignment="1">
      <alignment horizontal="left" indent="3"/>
    </xf>
    <xf numFmtId="0" fontId="21" fillId="0" borderId="0" xfId="3" quotePrefix="1" applyFont="1" applyAlignment="1">
      <alignment horizontal="left" indent="2"/>
    </xf>
    <xf numFmtId="0" fontId="21" fillId="0" borderId="0" xfId="3" quotePrefix="1" applyFont="1" applyAlignment="1">
      <alignment horizontal="left" indent="3"/>
    </xf>
    <xf numFmtId="0" fontId="21" fillId="0" borderId="0" xfId="3" quotePrefix="1" applyFont="1" applyAlignment="1">
      <alignment horizontal="left" indent="1"/>
    </xf>
    <xf numFmtId="165" fontId="22" fillId="12" borderId="0" xfId="3" applyNumberFormat="1" applyFont="1" applyFill="1"/>
    <xf numFmtId="0" fontId="22" fillId="12" borderId="0" xfId="3" applyFont="1" applyFill="1"/>
    <xf numFmtId="0" fontId="7" fillId="5" borderId="0" xfId="3" applyFont="1" applyFill="1"/>
    <xf numFmtId="0" fontId="9" fillId="5" borderId="0" xfId="3" applyFont="1" applyFill="1"/>
    <xf numFmtId="0" fontId="24" fillId="0" borderId="0" xfId="0" applyFont="1"/>
    <xf numFmtId="0" fontId="25" fillId="0" borderId="0" xfId="0" applyFont="1"/>
    <xf numFmtId="14" fontId="23" fillId="3" borderId="0" xfId="0" applyNumberFormat="1" applyFont="1" applyFill="1" applyAlignment="1">
      <alignment horizontal="right"/>
    </xf>
    <xf numFmtId="0" fontId="19" fillId="3" borderId="0" xfId="0" applyFont="1" applyFill="1" applyAlignment="1">
      <alignment horizontal="right"/>
    </xf>
    <xf numFmtId="0" fontId="23" fillId="3" borderId="0" xfId="0" applyFont="1" applyFill="1" applyAlignment="1">
      <alignment horizontal="right"/>
    </xf>
    <xf numFmtId="43" fontId="23" fillId="3" borderId="0" xfId="1" applyFont="1" applyFill="1" applyAlignment="1">
      <alignment horizontal="right"/>
    </xf>
    <xf numFmtId="43" fontId="23" fillId="3" borderId="0" xfId="1" applyFont="1" applyFill="1" applyBorder="1" applyAlignment="1"/>
    <xf numFmtId="14" fontId="5" fillId="0" borderId="0" xfId="0" applyNumberFormat="1" applyFont="1" applyAlignment="1">
      <alignment horizontal="right"/>
    </xf>
    <xf numFmtId="0" fontId="5" fillId="0" borderId="0" xfId="0" applyFont="1" applyAlignment="1">
      <alignment horizontal="left" indent="1"/>
    </xf>
    <xf numFmtId="0" fontId="5" fillId="0" borderId="0" xfId="0" applyFont="1" applyAlignment="1">
      <alignment horizontal="right"/>
    </xf>
    <xf numFmtId="43" fontId="5" fillId="0" borderId="0" xfId="1" applyFont="1" applyFill="1" applyBorder="1" applyAlignment="1"/>
    <xf numFmtId="0" fontId="2" fillId="2" borderId="0" xfId="0" applyFont="1" applyFill="1" applyAlignment="1">
      <alignment horizontal="left" indent="1"/>
    </xf>
    <xf numFmtId="170" fontId="21" fillId="0" borderId="0" xfId="3" applyNumberFormat="1" applyFont="1"/>
    <xf numFmtId="171" fontId="21" fillId="0" borderId="0" xfId="3" applyNumberFormat="1" applyFont="1"/>
    <xf numFmtId="43" fontId="2" fillId="0" borderId="0" xfId="1" applyFont="1" applyAlignment="1"/>
    <xf numFmtId="0" fontId="8" fillId="10" borderId="0" xfId="0" applyFont="1" applyFill="1"/>
    <xf numFmtId="172" fontId="2" fillId="0" borderId="0" xfId="0" applyNumberFormat="1" applyFont="1"/>
    <xf numFmtId="173" fontId="2" fillId="0" borderId="0" xfId="1" applyNumberFormat="1" applyFont="1" applyAlignment="1"/>
    <xf numFmtId="166" fontId="2" fillId="2" borderId="0" xfId="1" applyNumberFormat="1" applyFont="1" applyFill="1" applyBorder="1"/>
    <xf numFmtId="166" fontId="2" fillId="0" borderId="0" xfId="1" applyNumberFormat="1" applyFont="1" applyBorder="1"/>
    <xf numFmtId="166" fontId="2" fillId="0" borderId="0" xfId="1" applyNumberFormat="1" applyFont="1" applyAlignment="1"/>
    <xf numFmtId="0" fontId="2" fillId="0" borderId="0" xfId="0" applyFont="1" applyAlignment="1">
      <alignment horizontal="center"/>
    </xf>
    <xf numFmtId="166" fontId="19" fillId="0" borderId="3" xfId="1" applyNumberFormat="1" applyFont="1" applyBorder="1"/>
    <xf numFmtId="0" fontId="26" fillId="0" borderId="0" xfId="0" applyFont="1" applyAlignment="1">
      <alignment horizontal="left" indent="1"/>
    </xf>
    <xf numFmtId="166" fontId="19" fillId="0" borderId="0" xfId="1" applyNumberFormat="1" applyFont="1"/>
    <xf numFmtId="166" fontId="21" fillId="0" borderId="0" xfId="1" applyNumberFormat="1" applyFont="1"/>
    <xf numFmtId="166" fontId="19" fillId="0" borderId="1" xfId="1" applyNumberFormat="1" applyFont="1" applyBorder="1"/>
    <xf numFmtId="169" fontId="8" fillId="0" borderId="1" xfId="0" applyNumberFormat="1" applyFont="1" applyBorder="1"/>
    <xf numFmtId="0" fontId="19" fillId="0" borderId="0" xfId="3" applyFont="1" applyAlignment="1">
      <alignment horizontal="left" indent="3"/>
    </xf>
    <xf numFmtId="0" fontId="19" fillId="0" borderId="1" xfId="3" applyFont="1" applyBorder="1" applyAlignment="1">
      <alignment horizontal="left"/>
    </xf>
    <xf numFmtId="0" fontId="19" fillId="0" borderId="0" xfId="3" applyFont="1" applyAlignment="1">
      <alignment horizontal="left" indent="4"/>
    </xf>
    <xf numFmtId="173" fontId="8" fillId="2" borderId="0" xfId="1" applyNumberFormat="1" applyFont="1" applyFill="1" applyAlignment="1">
      <alignment horizontal="right"/>
    </xf>
    <xf numFmtId="170" fontId="8" fillId="2" borderId="0" xfId="1" applyNumberFormat="1" applyFont="1" applyFill="1" applyAlignment="1">
      <alignment horizontal="right"/>
    </xf>
    <xf numFmtId="0" fontId="27" fillId="0" borderId="0" xfId="0" applyFont="1"/>
    <xf numFmtId="0" fontId="7" fillId="5" borderId="0" xfId="0" applyFont="1" applyFill="1"/>
    <xf numFmtId="0" fontId="7" fillId="5" borderId="0" xfId="0" applyFont="1" applyFill="1" applyAlignment="1">
      <alignment horizontal="center"/>
    </xf>
    <xf numFmtId="0" fontId="9" fillId="5" borderId="0" xfId="0" applyFont="1" applyFill="1"/>
    <xf numFmtId="167" fontId="12" fillId="0" borderId="0" xfId="2" applyNumberFormat="1" applyFont="1" applyBorder="1"/>
    <xf numFmtId="10" fontId="19" fillId="0" borderId="1" xfId="2" applyNumberFormat="1" applyFont="1" applyBorder="1"/>
    <xf numFmtId="0" fontId="8" fillId="0" borderId="4" xfId="0" applyFont="1" applyBorder="1"/>
    <xf numFmtId="0" fontId="8" fillId="0" borderId="4" xfId="0" applyFont="1" applyBorder="1" applyAlignment="1">
      <alignment horizontal="center"/>
    </xf>
    <xf numFmtId="0" fontId="23" fillId="0" borderId="0" xfId="0" applyFont="1" applyAlignment="1">
      <alignment horizontal="left" indent="1"/>
    </xf>
    <xf numFmtId="0" fontId="23" fillId="0" borderId="4" xfId="0" applyFont="1" applyBorder="1" applyAlignment="1">
      <alignment horizontal="left"/>
    </xf>
    <xf numFmtId="0" fontId="2" fillId="0" borderId="4" xfId="0" applyFont="1" applyBorder="1"/>
    <xf numFmtId="165" fontId="19" fillId="0" borderId="0" xfId="0" applyNumberFormat="1" applyFont="1"/>
    <xf numFmtId="174" fontId="8" fillId="0" borderId="0" xfId="0" applyNumberFormat="1" applyFont="1"/>
    <xf numFmtId="10" fontId="19" fillId="0" borderId="0" xfId="2" applyNumberFormat="1" applyFont="1" applyFill="1"/>
    <xf numFmtId="174" fontId="7" fillId="6" borderId="0" xfId="0" applyNumberFormat="1" applyFont="1" applyFill="1"/>
    <xf numFmtId="174" fontId="8" fillId="0" borderId="0" xfId="0" applyNumberFormat="1" applyFont="1" applyAlignment="1">
      <alignment horizontal="left" indent="1"/>
    </xf>
    <xf numFmtId="10" fontId="8" fillId="2" borderId="0" xfId="2" applyNumberFormat="1" applyFont="1" applyFill="1" applyAlignment="1">
      <alignment horizontal="right"/>
    </xf>
    <xf numFmtId="0" fontId="8" fillId="0" borderId="7" xfId="0" applyFont="1" applyBorder="1" applyAlignment="1">
      <alignment horizontal="left" indent="1"/>
    </xf>
    <xf numFmtId="164" fontId="19" fillId="0" borderId="7" xfId="0" applyNumberFormat="1" applyFont="1" applyBorder="1"/>
    <xf numFmtId="10" fontId="8" fillId="0" borderId="0" xfId="0" applyNumberFormat="1" applyFont="1"/>
    <xf numFmtId="10" fontId="8" fillId="0" borderId="2" xfId="0" applyNumberFormat="1" applyFont="1" applyBorder="1"/>
    <xf numFmtId="175" fontId="8" fillId="0" borderId="0" xfId="1" applyNumberFormat="1" applyFont="1" applyAlignment="1"/>
    <xf numFmtId="166" fontId="26" fillId="0" borderId="0" xfId="1" applyNumberFormat="1" applyFont="1" applyFill="1" applyBorder="1"/>
    <xf numFmtId="43" fontId="19" fillId="4" borderId="5" xfId="1" applyFont="1" applyFill="1" applyBorder="1"/>
    <xf numFmtId="166" fontId="19" fillId="4" borderId="5" xfId="1" applyNumberFormat="1" applyFont="1" applyFill="1" applyBorder="1"/>
    <xf numFmtId="166" fontId="20" fillId="0" borderId="0" xfId="1" applyNumberFormat="1" applyFont="1"/>
    <xf numFmtId="10" fontId="2" fillId="0" borderId="0" xfId="0" applyNumberFormat="1" applyFont="1"/>
    <xf numFmtId="175" fontId="2" fillId="0" borderId="0" xfId="1" applyNumberFormat="1" applyFont="1"/>
    <xf numFmtId="9" fontId="2" fillId="2" borderId="0" xfId="0" applyNumberFormat="1" applyFont="1" applyFill="1"/>
    <xf numFmtId="0" fontId="8" fillId="2" borderId="7" xfId="0" applyFont="1" applyFill="1" applyBorder="1"/>
    <xf numFmtId="175" fontId="8" fillId="0" borderId="1" xfId="1" applyNumberFormat="1" applyFont="1" applyBorder="1"/>
    <xf numFmtId="10" fontId="8" fillId="0" borderId="0" xfId="2" applyNumberFormat="1" applyFont="1"/>
    <xf numFmtId="164" fontId="2" fillId="0" borderId="0" xfId="0" applyNumberFormat="1" applyFont="1"/>
    <xf numFmtId="43" fontId="3" fillId="0" borderId="0" xfId="1" applyFont="1"/>
    <xf numFmtId="0" fontId="2" fillId="5" borderId="0" xfId="0" applyFont="1" applyFill="1"/>
    <xf numFmtId="0" fontId="19" fillId="10" borderId="0" xfId="0" applyFont="1" applyFill="1"/>
    <xf numFmtId="0" fontId="19" fillId="10" borderId="0" xfId="0" applyFont="1" applyFill="1" applyAlignment="1">
      <alignment horizontal="center"/>
    </xf>
    <xf numFmtId="43" fontId="2" fillId="0" borderId="0" xfId="1" applyFont="1" applyFill="1" applyBorder="1"/>
    <xf numFmtId="166" fontId="2" fillId="0" borderId="0" xfId="1" applyNumberFormat="1" applyFont="1" applyFill="1" applyBorder="1"/>
    <xf numFmtId="170" fontId="2" fillId="0" borderId="0" xfId="0" applyNumberFormat="1" applyFont="1"/>
    <xf numFmtId="166" fontId="21" fillId="0" borderId="0" xfId="1" applyNumberFormat="1" applyFont="1" applyBorder="1"/>
    <xf numFmtId="0" fontId="2" fillId="6" borderId="0" xfId="0" applyFont="1" applyFill="1"/>
    <xf numFmtId="0" fontId="8" fillId="0" borderId="1" xfId="0" applyFont="1" applyBorder="1" applyAlignment="1">
      <alignment horizontal="left"/>
    </xf>
    <xf numFmtId="166" fontId="8" fillId="10" borderId="5" xfId="1" applyNumberFormat="1" applyFont="1" applyFill="1" applyBorder="1"/>
    <xf numFmtId="0" fontId="19" fillId="10" borderId="5" xfId="3" applyFont="1" applyFill="1" applyBorder="1"/>
    <xf numFmtId="166" fontId="8" fillId="0" borderId="0" xfId="1" applyNumberFormat="1" applyFont="1" applyBorder="1"/>
    <xf numFmtId="0" fontId="6" fillId="4" borderId="0" xfId="0" applyFont="1" applyFill="1"/>
    <xf numFmtId="0" fontId="30" fillId="0" borderId="0" xfId="0" applyFont="1"/>
    <xf numFmtId="10" fontId="6" fillId="2" borderId="0" xfId="2" applyNumberFormat="1" applyFont="1" applyFill="1"/>
    <xf numFmtId="10" fontId="3" fillId="0" borderId="0" xfId="2" applyNumberFormat="1" applyFont="1"/>
    <xf numFmtId="9" fontId="2" fillId="0" borderId="0" xfId="2" applyFont="1"/>
    <xf numFmtId="9" fontId="5" fillId="0" borderId="0" xfId="1" applyNumberFormat="1" applyFont="1"/>
    <xf numFmtId="43" fontId="5" fillId="0" borderId="0" xfId="1" applyFont="1"/>
    <xf numFmtId="0" fontId="3" fillId="10" borderId="0" xfId="0" applyFont="1" applyFill="1"/>
    <xf numFmtId="0" fontId="5" fillId="10" borderId="0" xfId="0" applyFont="1" applyFill="1" applyAlignment="1">
      <alignment horizontal="center"/>
    </xf>
    <xf numFmtId="0" fontId="6" fillId="10" borderId="0" xfId="0" applyFont="1" applyFill="1" applyAlignment="1">
      <alignment horizontal="center"/>
    </xf>
    <xf numFmtId="166" fontId="2" fillId="10" borderId="0" xfId="1" applyNumberFormat="1" applyFont="1" applyFill="1"/>
    <xf numFmtId="166" fontId="8" fillId="10" borderId="0" xfId="1" applyNumberFormat="1" applyFont="1" applyFill="1"/>
    <xf numFmtId="166" fontId="8" fillId="10" borderId="2" xfId="1" applyNumberFormat="1" applyFont="1" applyFill="1" applyBorder="1"/>
    <xf numFmtId="166" fontId="8" fillId="10" borderId="1" xfId="1" applyNumberFormat="1" applyFont="1" applyFill="1" applyBorder="1"/>
    <xf numFmtId="166" fontId="12" fillId="10" borderId="0" xfId="1" applyNumberFormat="1" applyFont="1" applyFill="1"/>
    <xf numFmtId="0" fontId="2" fillId="10" borderId="0" xfId="0" applyFont="1" applyFill="1"/>
    <xf numFmtId="169" fontId="8" fillId="10" borderId="2" xfId="0" applyNumberFormat="1" applyFont="1" applyFill="1" applyBorder="1"/>
    <xf numFmtId="169" fontId="14" fillId="10" borderId="0" xfId="0" applyNumberFormat="1" applyFont="1" applyFill="1"/>
    <xf numFmtId="166" fontId="8" fillId="10" borderId="3" xfId="1" applyNumberFormat="1" applyFont="1" applyFill="1" applyBorder="1"/>
    <xf numFmtId="166" fontId="8" fillId="0" borderId="3" xfId="1" applyNumberFormat="1" applyFont="1" applyBorder="1"/>
    <xf numFmtId="166" fontId="31" fillId="0" borderId="0" xfId="1" applyNumberFormat="1" applyFont="1"/>
    <xf numFmtId="167" fontId="12" fillId="10" borderId="0" xfId="2" applyNumberFormat="1" applyFont="1" applyFill="1"/>
    <xf numFmtId="169" fontId="8" fillId="10" borderId="3" xfId="0" applyNumberFormat="1" applyFont="1" applyFill="1" applyBorder="1"/>
    <xf numFmtId="167" fontId="12" fillId="10" borderId="0" xfId="2" applyNumberFormat="1" applyFont="1" applyFill="1" applyBorder="1"/>
    <xf numFmtId="167" fontId="12" fillId="10" borderId="4" xfId="2" applyNumberFormat="1" applyFont="1" applyFill="1" applyBorder="1"/>
    <xf numFmtId="167" fontId="12" fillId="10" borderId="6" xfId="2" applyNumberFormat="1" applyFont="1" applyFill="1" applyBorder="1"/>
    <xf numFmtId="167" fontId="12" fillId="0" borderId="0" xfId="0" applyNumberFormat="1" applyFont="1"/>
    <xf numFmtId="166" fontId="8" fillId="0" borderId="0" xfId="1" applyNumberFormat="1" applyFont="1" applyFill="1"/>
    <xf numFmtId="0" fontId="8" fillId="0" borderId="0" xfId="0" applyFont="1" applyAlignment="1">
      <alignment horizontal="left" indent="4"/>
    </xf>
    <xf numFmtId="0" fontId="8" fillId="0" borderId="0" xfId="0" applyFont="1" applyAlignment="1">
      <alignment horizontal="left" indent="5"/>
    </xf>
    <xf numFmtId="166" fontId="8" fillId="0" borderId="0" xfId="2" applyNumberFormat="1" applyFont="1" applyFill="1" applyBorder="1"/>
    <xf numFmtId="9" fontId="8" fillId="2" borderId="0" xfId="2" applyFont="1" applyFill="1" applyAlignment="1">
      <alignment horizontal="center"/>
    </xf>
    <xf numFmtId="9" fontId="8" fillId="0" borderId="0" xfId="2" applyFont="1" applyFill="1" applyBorder="1" applyAlignment="1">
      <alignment horizontal="center"/>
    </xf>
    <xf numFmtId="9" fontId="8" fillId="0" borderId="0" xfId="2" applyFont="1" applyAlignment="1">
      <alignment horizontal="center"/>
    </xf>
    <xf numFmtId="0" fontId="8" fillId="2" borderId="0" xfId="2" applyNumberFormat="1" applyFont="1" applyFill="1" applyAlignment="1">
      <alignment horizontal="center"/>
    </xf>
    <xf numFmtId="0" fontId="8" fillId="0" borderId="0" xfId="2" applyNumberFormat="1" applyFont="1" applyFill="1" applyAlignment="1">
      <alignment horizontal="center"/>
    </xf>
    <xf numFmtId="167" fontId="2" fillId="0" borderId="0" xfId="2" applyNumberFormat="1" applyFont="1" applyFill="1"/>
    <xf numFmtId="167" fontId="2" fillId="0" borderId="0" xfId="2" applyNumberFormat="1" applyFont="1" applyFill="1" applyBorder="1"/>
    <xf numFmtId="43" fontId="8" fillId="0" borderId="0" xfId="1" applyFont="1"/>
    <xf numFmtId="10" fontId="5" fillId="0" borderId="0" xfId="2" applyNumberFormat="1" applyFont="1" applyFill="1" applyBorder="1" applyAlignment="1"/>
    <xf numFmtId="0" fontId="6" fillId="0" borderId="0" xfId="0" applyFont="1"/>
    <xf numFmtId="43" fontId="30" fillId="0" borderId="0" xfId="1" applyFont="1"/>
    <xf numFmtId="10" fontId="32" fillId="0" borderId="0" xfId="2" applyNumberFormat="1" applyFont="1" applyFill="1" applyBorder="1" applyAlignment="1"/>
    <xf numFmtId="0" fontId="6" fillId="4" borderId="0" xfId="0" applyFont="1" applyFill="1" applyAlignment="1">
      <alignment horizontal="center"/>
    </xf>
    <xf numFmtId="10" fontId="8" fillId="2" borderId="0" xfId="0" applyNumberFormat="1" applyFont="1" applyFill="1" applyAlignment="1">
      <alignment horizontal="center"/>
    </xf>
    <xf numFmtId="167" fontId="12" fillId="0" borderId="0" xfId="2" applyNumberFormat="1" applyFont="1" applyFill="1"/>
    <xf numFmtId="166" fontId="8" fillId="16" borderId="0" xfId="1" applyNumberFormat="1" applyFont="1" applyFill="1"/>
    <xf numFmtId="166" fontId="2" fillId="16" borderId="0" xfId="1" applyNumberFormat="1" applyFont="1" applyFill="1" applyBorder="1"/>
    <xf numFmtId="0" fontId="4" fillId="12" borderId="0" xfId="0" applyFont="1" applyFill="1" applyAlignment="1">
      <alignment horizontal="left"/>
    </xf>
    <xf numFmtId="0" fontId="4" fillId="11" borderId="0" xfId="0" applyFont="1" applyFill="1" applyAlignment="1">
      <alignment horizontal="left"/>
    </xf>
    <xf numFmtId="0" fontId="5" fillId="10" borderId="0" xfId="0" applyFont="1" applyFill="1" applyAlignment="1">
      <alignment horizontal="center"/>
    </xf>
    <xf numFmtId="0" fontId="16" fillId="15" borderId="0" xfId="0" applyFont="1" applyFill="1" applyAlignment="1">
      <alignment horizontal="center" vertical="center" textRotation="90"/>
    </xf>
    <xf numFmtId="0" fontId="16" fillId="14" borderId="0" xfId="0" applyFont="1" applyFill="1" applyAlignment="1">
      <alignment horizontal="center" vertical="center" textRotation="90"/>
    </xf>
    <xf numFmtId="0" fontId="16" fillId="13" borderId="0" xfId="0" applyFont="1" applyFill="1" applyAlignment="1">
      <alignment horizontal="center" vertical="center" textRotation="90"/>
    </xf>
  </cellXfs>
  <cellStyles count="4">
    <cellStyle name="Comma" xfId="1" builtinId="3"/>
    <cellStyle name="Normal" xfId="0" builtinId="0"/>
    <cellStyle name="Normal 2" xfId="3" xr:uid="{7C3496D5-359B-45A9-A63C-AB767C476172}"/>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'Valuation Summary'!$D$9</c:f>
              <c:strCache>
                <c:ptCount val="1"/>
                <c:pt idx="0">
                  <c:v>Bear</c:v>
                </c:pt>
              </c:strCache>
            </c:strRef>
          </c:tx>
          <c:spPr>
            <a:solidFill>
              <a:schemeClr val="accent2">
                <a:lumMod val="20000"/>
                <a:lumOff val="80000"/>
              </a:schemeClr>
            </a:solidFill>
            <a:ln>
              <a:noFill/>
            </a:ln>
            <a:effectLst/>
          </c:spPr>
          <c:invertIfNegative val="0"/>
          <c:cat>
            <c:strRef>
              <c:f>'Valuation Summary'!$B$10:$B$15</c:f>
              <c:strCache>
                <c:ptCount val="6"/>
                <c:pt idx="0">
                  <c:v>52 Week Low / High</c:v>
                </c:pt>
                <c:pt idx="1">
                  <c:v>Perpetuity DCF</c:v>
                </c:pt>
                <c:pt idx="2">
                  <c:v>EBITDA DCF</c:v>
                </c:pt>
                <c:pt idx="3">
                  <c:v>Comparable Peers</c:v>
                </c:pt>
                <c:pt idx="4">
                  <c:v>Internal Rate of Return</c:v>
                </c:pt>
                <c:pt idx="5">
                  <c:v>Dividend Discount</c:v>
                </c:pt>
              </c:strCache>
            </c:strRef>
          </c:cat>
          <c:val>
            <c:numRef>
              <c:f>'Valuation Summary'!$D$10:$D$15</c:f>
              <c:numCache>
                <c:formatCode>_(* #,##0.00_);_(* \(#,##0.00\);_(* "-"??_);_(@_)</c:formatCode>
                <c:ptCount val="6"/>
                <c:pt idx="0">
                  <c:v>45.13</c:v>
                </c:pt>
                <c:pt idx="1">
                  <c:v>90.044447220299205</c:v>
                </c:pt>
                <c:pt idx="2">
                  <c:v>183.21167434464604</c:v>
                </c:pt>
                <c:pt idx="3">
                  <c:v>-33.107067879636105</c:v>
                </c:pt>
                <c:pt idx="4">
                  <c:v>82.59764003031863</c:v>
                </c:pt>
                <c:pt idx="5">
                  <c:v>37.451969755370143</c:v>
                </c:pt>
              </c:numCache>
            </c:numRef>
          </c:val>
          <c:extLst>
            <c:ext xmlns:c16="http://schemas.microsoft.com/office/drawing/2014/chart" uri="{C3380CC4-5D6E-409C-BE32-E72D297353CC}">
              <c16:uniqueId val="{00000000-A649-4C96-A6FC-8CDE197E96A4}"/>
            </c:ext>
          </c:extLst>
        </c:ser>
        <c:ser>
          <c:idx val="1"/>
          <c:order val="1"/>
          <c:tx>
            <c:strRef>
              <c:f>'Valuation Summary'!$E$9</c:f>
              <c:strCache>
                <c:ptCount val="1"/>
                <c:pt idx="0">
                  <c:v>Spread</c:v>
                </c:pt>
              </c:strCache>
            </c:strRef>
          </c:tx>
          <c:spPr>
            <a:solidFill>
              <a:schemeClr val="accent6"/>
            </a:solidFill>
            <a:ln>
              <a:noFill/>
            </a:ln>
            <a:effectLst/>
          </c:spPr>
          <c:invertIfNegative val="0"/>
          <c:dPt>
            <c:idx val="4"/>
            <c:invertIfNegative val="0"/>
            <c:bubble3D val="0"/>
            <c:spPr>
              <a:solidFill>
                <a:schemeClr val="accent6"/>
              </a:solidFill>
              <a:ln>
                <a:noFill/>
              </a:ln>
              <a:effectLst/>
            </c:spPr>
            <c:extLst>
              <c:ext xmlns:c16="http://schemas.microsoft.com/office/drawing/2014/chart" uri="{C3380CC4-5D6E-409C-BE32-E72D297353CC}">
                <c16:uniqueId val="{00000002-A649-4C96-A6FC-8CDE197E96A4}"/>
              </c:ext>
            </c:extLst>
          </c:dPt>
          <c:cat>
            <c:strRef>
              <c:f>'Valuation Summary'!$B$10:$B$15</c:f>
              <c:strCache>
                <c:ptCount val="6"/>
                <c:pt idx="0">
                  <c:v>52 Week Low / High</c:v>
                </c:pt>
                <c:pt idx="1">
                  <c:v>Perpetuity DCF</c:v>
                </c:pt>
                <c:pt idx="2">
                  <c:v>EBITDA DCF</c:v>
                </c:pt>
                <c:pt idx="3">
                  <c:v>Comparable Peers</c:v>
                </c:pt>
                <c:pt idx="4">
                  <c:v>Internal Rate of Return</c:v>
                </c:pt>
                <c:pt idx="5">
                  <c:v>Dividend Discount</c:v>
                </c:pt>
              </c:strCache>
            </c:strRef>
          </c:cat>
          <c:val>
            <c:numRef>
              <c:f>'Valuation Summary'!$E$10:$E$15</c:f>
              <c:numCache>
                <c:formatCode>_(* #,##0.00_);_(* \(#,##0.00\);_(* "-"??_);_(@_)</c:formatCode>
                <c:ptCount val="6"/>
                <c:pt idx="0">
                  <c:v>21.749999999999993</c:v>
                </c:pt>
                <c:pt idx="1">
                  <c:v>0.26891962060996377</c:v>
                </c:pt>
                <c:pt idx="2">
                  <c:v>40.379345021792574</c:v>
                </c:pt>
                <c:pt idx="3">
                  <c:v>77.436546877227499</c:v>
                </c:pt>
                <c:pt idx="4">
                  <c:v>-2.360977410504006E-3</c:v>
                </c:pt>
                <c:pt idx="5">
                  <c:v>3.388117844709214</c:v>
                </c:pt>
              </c:numCache>
            </c:numRef>
          </c:val>
          <c:extLst>
            <c:ext xmlns:c16="http://schemas.microsoft.com/office/drawing/2014/chart" uri="{C3380CC4-5D6E-409C-BE32-E72D297353CC}">
              <c16:uniqueId val="{00000003-A649-4C96-A6FC-8CDE197E96A4}"/>
            </c:ext>
          </c:extLst>
        </c:ser>
        <c:ser>
          <c:idx val="2"/>
          <c:order val="2"/>
          <c:tx>
            <c:strRef>
              <c:f>'Valuation Summary'!$F$9</c:f>
              <c:strCache>
                <c:ptCount val="1"/>
                <c:pt idx="0">
                  <c:v>Bull</c:v>
                </c:pt>
              </c:strCache>
            </c:strRef>
          </c:tx>
          <c:spPr>
            <a:solidFill>
              <a:schemeClr val="accent2">
                <a:lumMod val="20000"/>
                <a:lumOff val="80000"/>
              </a:schemeClr>
            </a:solidFill>
            <a:ln>
              <a:noFill/>
            </a:ln>
            <a:effectLst/>
          </c:spPr>
          <c:invertIfNegative val="0"/>
          <c:cat>
            <c:strRef>
              <c:f>'Valuation Summary'!$B$10:$B$15</c:f>
              <c:strCache>
                <c:ptCount val="6"/>
                <c:pt idx="0">
                  <c:v>52 Week Low / High</c:v>
                </c:pt>
                <c:pt idx="1">
                  <c:v>Perpetuity DCF</c:v>
                </c:pt>
                <c:pt idx="2">
                  <c:v>EBITDA DCF</c:v>
                </c:pt>
                <c:pt idx="3">
                  <c:v>Comparable Peers</c:v>
                </c:pt>
                <c:pt idx="4">
                  <c:v>Internal Rate of Return</c:v>
                </c:pt>
                <c:pt idx="5">
                  <c:v>Dividend Discount</c:v>
                </c:pt>
              </c:strCache>
            </c:strRef>
          </c:cat>
          <c:val>
            <c:numRef>
              <c:f>'Valuation Summary'!$F$10:$F$15</c:f>
              <c:numCache>
                <c:formatCode>_(* #,##0.00_);_(* \(#,##0.00\);_(* "-"??_);_(@_)</c:formatCode>
                <c:ptCount val="6"/>
                <c:pt idx="0">
                  <c:v>66.88</c:v>
                </c:pt>
                <c:pt idx="1">
                  <c:v>90.313366840909168</c:v>
                </c:pt>
                <c:pt idx="2">
                  <c:v>223.59101936643862</c:v>
                </c:pt>
                <c:pt idx="3">
                  <c:v>44.329478997591401</c:v>
                </c:pt>
                <c:pt idx="4">
                  <c:v>82.595279052908126</c:v>
                </c:pt>
                <c:pt idx="5">
                  <c:v>40.840087600079357</c:v>
                </c:pt>
              </c:numCache>
            </c:numRef>
          </c:val>
          <c:extLst>
            <c:ext xmlns:c16="http://schemas.microsoft.com/office/drawing/2014/chart" uri="{C3380CC4-5D6E-409C-BE32-E72D297353CC}">
              <c16:uniqueId val="{00000004-A649-4C96-A6FC-8CDE197E96A4}"/>
            </c:ext>
          </c:extLst>
        </c:ser>
        <c:dLbls>
          <c:showLegendKey val="0"/>
          <c:showVal val="0"/>
          <c:showCatName val="0"/>
          <c:showSerName val="0"/>
          <c:showPercent val="0"/>
          <c:showBubbleSize val="0"/>
        </c:dLbls>
        <c:gapWidth val="75"/>
        <c:overlap val="100"/>
        <c:axId val="1393013295"/>
        <c:axId val="1393014735"/>
      </c:barChart>
      <c:scatterChart>
        <c:scatterStyle val="smoothMarker"/>
        <c:varyColors val="0"/>
        <c:ser>
          <c:idx val="3"/>
          <c:order val="3"/>
          <c:tx>
            <c:strRef>
              <c:f>'Valuation Summary'!$B$25</c:f>
              <c:strCache>
                <c:ptCount val="1"/>
                <c:pt idx="0">
                  <c:v>Current Stock Price</c:v>
                </c:pt>
              </c:strCache>
            </c:strRef>
          </c:tx>
          <c:spPr>
            <a:ln w="28575" cap="rnd">
              <a:solidFill>
                <a:schemeClr val="accent4"/>
              </a:solidFill>
              <a:round/>
            </a:ln>
            <a:effectLst/>
          </c:spPr>
          <c:marker>
            <c:symbol val="none"/>
          </c:marker>
          <c:xVal>
            <c:numRef>
              <c:f>'Valuation Summary'!$D$25:$F$25</c:f>
              <c:numCache>
                <c:formatCode>_(* #,##0.00_);_(* \(#,##0.00\);_(* "-"??_);_(@_)</c:formatCode>
                <c:ptCount val="3"/>
                <c:pt idx="0">
                  <c:v>58.67</c:v>
                </c:pt>
                <c:pt idx="1">
                  <c:v>58.67</c:v>
                </c:pt>
                <c:pt idx="2">
                  <c:v>58.67</c:v>
                </c:pt>
              </c:numCache>
            </c:numRef>
          </c:xVal>
          <c:yVal>
            <c:numRef>
              <c:f>'Valuation Summary'!$K$10:$M$10</c:f>
              <c:numCache>
                <c:formatCode>General</c:formatCode>
                <c:ptCount val="3"/>
                <c:pt idx="0">
                  <c:v>1000</c:v>
                </c:pt>
                <c:pt idx="1">
                  <c:v>0</c:v>
                </c:pt>
                <c:pt idx="2">
                  <c:v>0</c:v>
                </c:pt>
              </c:numCache>
            </c:numRef>
          </c:yVal>
          <c:smooth val="0"/>
          <c:extLst>
            <c:ext xmlns:c16="http://schemas.microsoft.com/office/drawing/2014/chart" uri="{C3380CC4-5D6E-409C-BE32-E72D297353CC}">
              <c16:uniqueId val="{00000005-A649-4C96-A6FC-8CDE197E96A4}"/>
            </c:ext>
          </c:extLst>
        </c:ser>
        <c:ser>
          <c:idx val="4"/>
          <c:order val="4"/>
          <c:tx>
            <c:strRef>
              <c:f>'Valuation Summary'!$B$26</c:f>
              <c:strCache>
                <c:ptCount val="1"/>
                <c:pt idx="0">
                  <c:v>Target Price</c:v>
                </c:pt>
              </c:strCache>
            </c:strRef>
          </c:tx>
          <c:spPr>
            <a:ln w="28575" cap="rnd">
              <a:solidFill>
                <a:schemeClr val="accent5"/>
              </a:solidFill>
              <a:round/>
            </a:ln>
            <a:effectLst/>
          </c:spPr>
          <c:marker>
            <c:symbol val="none"/>
          </c:marker>
          <c:xVal>
            <c:numRef>
              <c:f>'Valuation Summary'!$D$26:$F$26</c:f>
              <c:numCache>
                <c:formatCode>_(* #,##0.00_);_(* \(#,##0.00\);_(* "-"??_);_(@_)</c:formatCode>
                <c:ptCount val="3"/>
                <c:pt idx="0">
                  <c:v>72.375586403903668</c:v>
                </c:pt>
                <c:pt idx="1">
                  <c:v>72.375586403903668</c:v>
                </c:pt>
                <c:pt idx="2">
                  <c:v>72.375586403903668</c:v>
                </c:pt>
              </c:numCache>
            </c:numRef>
          </c:xVal>
          <c:yVal>
            <c:numRef>
              <c:f>'Valuation Summary'!$K$11:$M$11</c:f>
              <c:numCache>
                <c:formatCode>General</c:formatCode>
                <c:ptCount val="3"/>
                <c:pt idx="0">
                  <c:v>1000</c:v>
                </c:pt>
                <c:pt idx="1">
                  <c:v>0</c:v>
                </c:pt>
                <c:pt idx="2">
                  <c:v>0</c:v>
                </c:pt>
              </c:numCache>
            </c:numRef>
          </c:yVal>
          <c:smooth val="1"/>
          <c:extLst>
            <c:ext xmlns:c16="http://schemas.microsoft.com/office/drawing/2014/chart" uri="{C3380CC4-5D6E-409C-BE32-E72D297353CC}">
              <c16:uniqueId val="{00000006-A649-4C96-A6FC-8CDE197E96A4}"/>
            </c:ext>
          </c:extLst>
        </c:ser>
        <c:dLbls>
          <c:showLegendKey val="0"/>
          <c:showVal val="0"/>
          <c:showCatName val="0"/>
          <c:showSerName val="0"/>
          <c:showPercent val="0"/>
          <c:showBubbleSize val="0"/>
        </c:dLbls>
        <c:axId val="54446960"/>
        <c:axId val="54448400"/>
      </c:scatterChart>
      <c:catAx>
        <c:axId val="1393013295"/>
        <c:scaling>
          <c:orientation val="minMax"/>
        </c:scaling>
        <c:delete val="0"/>
        <c:axPos val="l"/>
        <c:numFmt formatCode="General" sourceLinked="1"/>
        <c:majorTickMark val="out"/>
        <c:minorTickMark val="out"/>
        <c:tickLblPos val="nextTo"/>
        <c:spPr>
          <a:noFill/>
          <a:ln w="19050" cap="flat" cmpd="sng" algn="ctr">
            <a:solidFill>
              <a:schemeClr val="tx1"/>
            </a:solidFill>
            <a:round/>
          </a:ln>
          <a:effectLst/>
        </c:spPr>
        <c:txPr>
          <a:bodyPr rot="-60000000" spcFirstLastPara="1" vertOverflow="ellipsis" vert="horz" wrap="square" anchor="ctr" anchorCtr="1"/>
          <a:lstStyle/>
          <a:p>
            <a:pPr>
              <a:defRPr lang="en-US" sz="12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93014735"/>
        <c:crosses val="autoZero"/>
        <c:auto val="1"/>
        <c:lblAlgn val="ctr"/>
        <c:lblOffset val="100"/>
        <c:tickMarkSkip val="1"/>
        <c:noMultiLvlLbl val="0"/>
      </c:catAx>
      <c:valAx>
        <c:axId val="13930147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cross"/>
        <c:minorTickMark val="out"/>
        <c:tickLblPos val="nextTo"/>
        <c:spPr>
          <a:noFill/>
          <a:ln w="19050">
            <a:solidFill>
              <a:schemeClr val="tx1"/>
            </a:solidFill>
          </a:ln>
          <a:effectLst/>
        </c:spPr>
        <c:txPr>
          <a:bodyPr rot="-60000000" spcFirstLastPara="1" vertOverflow="ellipsis" vert="horz" wrap="square" anchor="ctr" anchorCtr="1"/>
          <a:lstStyle/>
          <a:p>
            <a:pPr>
              <a:defRPr lang="en-US" sz="12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93013295"/>
        <c:crosses val="autoZero"/>
        <c:crossBetween val="between"/>
        <c:minorUnit val="25"/>
      </c:valAx>
      <c:valAx>
        <c:axId val="54448400"/>
        <c:scaling>
          <c:orientation val="minMax"/>
          <c:max val="1000"/>
          <c:min val="0"/>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lang="en-US" sz="12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4446960"/>
        <c:crosses val="max"/>
        <c:crossBetween val="midCat"/>
        <c:majorUnit val="250"/>
        <c:minorUnit val="50"/>
      </c:valAx>
      <c:valAx>
        <c:axId val="54446960"/>
        <c:scaling>
          <c:orientation val="minMax"/>
        </c:scaling>
        <c:delete val="1"/>
        <c:axPos val="b"/>
        <c:numFmt formatCode="_(* #,##0.00_);_(* \(#,##0.00\);_(* &quot;-&quot;??_);_(@_)" sourceLinked="1"/>
        <c:majorTickMark val="out"/>
        <c:minorTickMark val="none"/>
        <c:tickLblPos val="nextTo"/>
        <c:crossAx val="544484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2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22</xdr:row>
      <xdr:rowOff>200024</xdr:rowOff>
    </xdr:from>
    <xdr:to>
      <xdr:col>7</xdr:col>
      <xdr:colOff>38</xdr:colOff>
      <xdr:row>41</xdr:row>
      <xdr:rowOff>200024</xdr:rowOff>
    </xdr:to>
    <xdr:graphicFrame macro="">
      <xdr:nvGraphicFramePr>
        <xdr:cNvPr id="4" name="Chart 3">
          <a:extLst>
            <a:ext uri="{FF2B5EF4-FFF2-40B4-BE49-F238E27FC236}">
              <a16:creationId xmlns:a16="http://schemas.microsoft.com/office/drawing/2014/main" id="{52AA5ACF-8D21-4A29-B381-4DDDD4CFA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Utah">
      <a:dk1>
        <a:sysClr val="windowText" lastClr="000000"/>
      </a:dk1>
      <a:lt1>
        <a:sysClr val="window" lastClr="FFFFFF"/>
      </a:lt1>
      <a:dk2>
        <a:srgbClr val="0E2841"/>
      </a:dk2>
      <a:lt2>
        <a:srgbClr val="E8E8E8"/>
      </a:lt2>
      <a:accent1>
        <a:srgbClr val="BE0000"/>
      </a:accent1>
      <a:accent2>
        <a:srgbClr val="707271"/>
      </a:accent2>
      <a:accent3>
        <a:srgbClr val="E2E6E6"/>
      </a:accent3>
      <a:accent4>
        <a:srgbClr val="FFB81D"/>
      </a:accent4>
      <a:accent5>
        <a:srgbClr val="3ABFC0"/>
      </a:accent5>
      <a:accent6>
        <a:srgbClr val="890000"/>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0E365-0CDB-43D9-B0A3-CED0497FFCD3}">
  <sheetPr>
    <tabColor theme="0"/>
  </sheetPr>
  <dimension ref="B2:M26"/>
  <sheetViews>
    <sheetView tabSelected="1" zoomScale="170" zoomScaleNormal="170" workbookViewId="0">
      <selection activeCell="K19" sqref="K19"/>
    </sheetView>
  </sheetViews>
  <sheetFormatPr baseColWidth="10" defaultColWidth="9" defaultRowHeight="16" outlineLevelRow="1"/>
  <cols>
    <col min="1" max="1" width="2.6640625" style="2" customWidth="1"/>
    <col min="2" max="2" width="20.83203125" style="2" bestFit="1" customWidth="1"/>
    <col min="3" max="3" width="16.6640625" style="2" bestFit="1" customWidth="1"/>
    <col min="4" max="4" width="16.5" style="2" bestFit="1" customWidth="1"/>
    <col min="5" max="5" width="16.1640625" style="2" bestFit="1" customWidth="1"/>
    <col min="6" max="6" width="19.5" style="2" bestFit="1" customWidth="1"/>
    <col min="7" max="7" width="11.1640625" style="2" customWidth="1"/>
    <col min="8" max="8" width="2.6640625" style="192" customWidth="1"/>
    <col min="9" max="9" width="13.1640625" style="192" bestFit="1" customWidth="1"/>
    <col min="10" max="16384" width="9" style="2"/>
  </cols>
  <sheetData>
    <row r="2" spans="2:13">
      <c r="B2" s="240" t="s">
        <v>0</v>
      </c>
      <c r="C2" s="240"/>
      <c r="D2" s="240"/>
      <c r="E2" s="240"/>
      <c r="F2" s="240"/>
      <c r="G2" s="240"/>
    </row>
    <row r="3" spans="2:13">
      <c r="B3" s="239" t="s">
        <v>1</v>
      </c>
      <c r="C3" s="239"/>
      <c r="D3" s="239"/>
      <c r="E3" s="239"/>
      <c r="F3" s="239"/>
      <c r="G3" s="239"/>
    </row>
    <row r="4" spans="2:13">
      <c r="B4" s="3" t="s">
        <v>2</v>
      </c>
      <c r="C4" s="119">
        <f>Assumptions!C19</f>
        <v>45591</v>
      </c>
      <c r="D4" s="120" t="s">
        <v>3</v>
      </c>
      <c r="E4" s="121" t="str">
        <f>Assumptions!C30</f>
        <v>Tyson Foods</v>
      </c>
      <c r="F4" s="120" t="s">
        <v>4</v>
      </c>
      <c r="G4" s="122">
        <f>_xlfn.XLOOKUP(F4,Assumptions!$B$33:$B$35,Assumptions!$C$33:$C$35,0)</f>
        <v>66.88</v>
      </c>
    </row>
    <row r="5" spans="2:13">
      <c r="B5" s="3" t="s">
        <v>5</v>
      </c>
      <c r="C5" s="119" t="str">
        <f>Assumptions!C25</f>
        <v>Market Mavericks</v>
      </c>
      <c r="D5" s="120" t="s">
        <v>6</v>
      </c>
      <c r="E5" s="121" t="str">
        <f>Assumptions!C31</f>
        <v>TSN</v>
      </c>
      <c r="F5" s="120" t="s">
        <v>7</v>
      </c>
      <c r="G5" s="122">
        <f>_xlfn.XLOOKUP(F5,Assumptions!$B$33:$B$35,Assumptions!$C$33:$C$35,0)</f>
        <v>45.13</v>
      </c>
    </row>
    <row r="6" spans="2:13">
      <c r="B6" s="3" t="s">
        <v>8</v>
      </c>
      <c r="C6" s="119" t="s">
        <v>284</v>
      </c>
      <c r="D6" s="120" t="s">
        <v>9</v>
      </c>
      <c r="E6" s="121" t="str">
        <f>Assumptions!C32</f>
        <v>Consumer Staples</v>
      </c>
      <c r="F6" s="120" t="s">
        <v>10</v>
      </c>
      <c r="G6" s="122">
        <f>_xlfn.XLOOKUP(F6,Assumptions!$B$33:$B$35,Assumptions!$C$33:$C$35,0)</f>
        <v>58.67</v>
      </c>
    </row>
    <row r="8" spans="2:13">
      <c r="B8" s="239" t="s">
        <v>11</v>
      </c>
      <c r="C8" s="239"/>
      <c r="D8" s="239"/>
      <c r="E8" s="239"/>
      <c r="F8" s="239"/>
      <c r="G8" s="239"/>
    </row>
    <row r="9" spans="2:13">
      <c r="B9" s="4" t="s">
        <v>12</v>
      </c>
      <c r="C9" s="5" t="s">
        <v>13</v>
      </c>
      <c r="D9" s="5" t="s">
        <v>14</v>
      </c>
      <c r="E9" s="5" t="s">
        <v>15</v>
      </c>
      <c r="F9" s="5" t="s">
        <v>16</v>
      </c>
      <c r="G9" s="234" t="s">
        <v>17</v>
      </c>
      <c r="I9" s="191" t="s">
        <v>18</v>
      </c>
      <c r="K9" s="241" t="s">
        <v>19</v>
      </c>
      <c r="L9" s="241"/>
      <c r="M9" s="241"/>
    </row>
    <row r="10" spans="2:13">
      <c r="B10" s="3" t="s">
        <v>20</v>
      </c>
      <c r="C10" s="6">
        <f>_xlfn.XLOOKUP(C9,Assumptions!$D$33:$D$35,Assumptions!$C$33:$C$35,0)</f>
        <v>58.67</v>
      </c>
      <c r="D10" s="6">
        <f>_xlfn.XLOOKUP(D9,Assumptions!$D$33:$D$35,Assumptions!$C$33:$C$35,0)</f>
        <v>45.13</v>
      </c>
      <c r="E10" s="6">
        <f>F10-D10</f>
        <v>21.749999999999993</v>
      </c>
      <c r="F10" s="6">
        <f>_xlfn.XLOOKUP(F9,Assumptions!$D$33:$D$35,Assumptions!$C$33:$C$35,0)</f>
        <v>66.88</v>
      </c>
      <c r="G10" s="3"/>
      <c r="K10" s="192">
        <v>1000</v>
      </c>
      <c r="L10" s="192">
        <v>0</v>
      </c>
      <c r="M10" s="2">
        <v>0</v>
      </c>
    </row>
    <row r="11" spans="2:13">
      <c r="B11" s="3" t="s">
        <v>21</v>
      </c>
      <c r="C11" s="6">
        <f>_xlfn.XLOOKUP(C9,'Discounted Cash Flow'!$A$59:$A$61,'Discounted Cash Flow'!$C$59:$C$61,0)</f>
        <v>92.240401695857827</v>
      </c>
      <c r="D11" s="6">
        <f>_xlfn.XLOOKUP(D9,'Discounted Cash Flow'!$A$59:$A$61,'Discounted Cash Flow'!$C$59:$C$61,0)</f>
        <v>90.044447220299205</v>
      </c>
      <c r="E11" s="6">
        <f t="shared" ref="E11:E14" si="0">F11-D11</f>
        <v>0.26891962060996377</v>
      </c>
      <c r="F11" s="6">
        <f>_xlfn.XLOOKUP(F9,'Discounted Cash Flow'!$A$59:$A$61,'Discounted Cash Flow'!$C$59:$C$61,0)</f>
        <v>90.313366840909168</v>
      </c>
      <c r="G11" s="230">
        <f>I11</f>
        <v>0.05</v>
      </c>
      <c r="I11" s="193">
        <v>0.05</v>
      </c>
      <c r="K11" s="192">
        <v>1000</v>
      </c>
      <c r="L11" s="192">
        <v>0</v>
      </c>
      <c r="M11" s="2">
        <v>0</v>
      </c>
    </row>
    <row r="12" spans="2:13">
      <c r="B12" s="3" t="s">
        <v>22</v>
      </c>
      <c r="C12" s="6">
        <f>_xlfn.XLOOKUP(C9,'Discounted Cash Flow'!$A$59:$A$61,'Discounted Cash Flow'!$F$59:$F$61,0)</f>
        <v>204.53676196227536</v>
      </c>
      <c r="D12" s="6">
        <f>_xlfn.XLOOKUP(D9,'Discounted Cash Flow'!$A$59:$A$61,'Discounted Cash Flow'!$F$59:$F$61,0)</f>
        <v>183.21167434464604</v>
      </c>
      <c r="E12" s="6">
        <f t="shared" si="0"/>
        <v>40.379345021792574</v>
      </c>
      <c r="F12" s="6">
        <f>_xlfn.XLOOKUP(F9,'Discounted Cash Flow'!$A$59:$A$61,'Discounted Cash Flow'!$F$59:$F$61,0)</f>
        <v>223.59101936643862</v>
      </c>
      <c r="G12" s="230">
        <f t="shared" ref="G12:G14" si="1">I12</f>
        <v>0.15</v>
      </c>
      <c r="I12" s="193">
        <v>0.15</v>
      </c>
    </row>
    <row r="13" spans="2:13">
      <c r="B13" s="3" t="s">
        <v>23</v>
      </c>
      <c r="C13" s="6">
        <f>_xlfn.XLOOKUP(C9,'Comparable Peer'!$A$32:$A$34,'Comparable Peer'!$C$32:$C$34,0)</f>
        <v>22.527660483777538</v>
      </c>
      <c r="D13" s="6">
        <f>_xlfn.XLOOKUP(D9,'Comparable Peer'!$A$32:$A$34,'Comparable Peer'!$C$32:$C$34,0)</f>
        <v>-33.107067879636105</v>
      </c>
      <c r="E13" s="6">
        <f t="shared" si="0"/>
        <v>77.436546877227499</v>
      </c>
      <c r="F13" s="6">
        <f>_xlfn.XLOOKUP(F9,'Comparable Peer'!$A$32:$A$34,'Comparable Peer'!$C$32:$C$34,0)</f>
        <v>44.329478997591401</v>
      </c>
      <c r="G13" s="230">
        <f t="shared" si="1"/>
        <v>0.2</v>
      </c>
      <c r="I13" s="193">
        <v>0.2</v>
      </c>
    </row>
    <row r="14" spans="2:13">
      <c r="B14" s="3" t="s">
        <v>24</v>
      </c>
      <c r="C14" s="6">
        <f>_xlfn.XLOOKUP(C9,'Internal Rate of Return'!$A$59:$A$61,'Internal Rate of Return'!$C$59:$C$61,0)</f>
        <v>84.656999823852445</v>
      </c>
      <c r="D14" s="6">
        <f>_xlfn.XLOOKUP(D9,'Internal Rate of Return'!$A$59:$A$61,'Internal Rate of Return'!$C$59:$C$61,0)</f>
        <v>82.59764003031863</v>
      </c>
      <c r="E14" s="6">
        <f t="shared" si="0"/>
        <v>-2.360977410504006E-3</v>
      </c>
      <c r="F14" s="6">
        <f>_xlfn.XLOOKUP(F9,'Internal Rate of Return'!$A$59:$A$61,'Internal Rate of Return'!$C$59:$C$61,0)</f>
        <v>82.595279052908126</v>
      </c>
      <c r="G14" s="230">
        <f t="shared" si="1"/>
        <v>0.2</v>
      </c>
      <c r="I14" s="193">
        <v>0.2</v>
      </c>
    </row>
    <row r="15" spans="2:13" outlineLevel="1">
      <c r="B15" s="3" t="s">
        <v>25</v>
      </c>
      <c r="C15" s="178">
        <f>_xlfn.XLOOKUP(C9,'Dividend Discount'!$A$53:$A$55,'Dividend Discount'!$C$53:$C$55,0)</f>
        <v>39.115299908108696</v>
      </c>
      <c r="D15" s="178">
        <f>_xlfn.XLOOKUP(D9,'Dividend Discount'!$A$53:$A$55,'Dividend Discount'!$C$53:$C$55,0)</f>
        <v>37.451969755370143</v>
      </c>
      <c r="E15" s="6">
        <f>F15-D15</f>
        <v>3.388117844709214</v>
      </c>
      <c r="F15" s="178">
        <f>_xlfn.XLOOKUP(F9,'Dividend Discount'!$A$53:$A$55,'Dividend Discount'!$C$53:$C$55,0)</f>
        <v>40.840087600079357</v>
      </c>
      <c r="G15" s="230">
        <f>G16-SUM(G11:G14)</f>
        <v>0.39999999999999991</v>
      </c>
    </row>
    <row r="16" spans="2:13">
      <c r="B16" s="7" t="s">
        <v>26</v>
      </c>
      <c r="C16" s="8">
        <f>SUMPRODUCT(C11:C15,$G$11:$G$15)</f>
        <v>72.375586403903668</v>
      </c>
      <c r="D16" s="8">
        <f>SUMPRODUCT(D11:D15,$G$11:$G$15)</f>
        <v>56.862875844996424</v>
      </c>
      <c r="E16" s="8">
        <f>F16-D16</f>
        <v>22.912432052146471</v>
      </c>
      <c r="F16" s="8">
        <f>SUMPRODUCT(F11:F15,$G$11:$G$15)</f>
        <v>79.775307897142895</v>
      </c>
      <c r="G16" s="9">
        <v>1</v>
      </c>
      <c r="I16" s="9">
        <f>+SUM(I11:I15)+G15</f>
        <v>1</v>
      </c>
    </row>
    <row r="18" spans="2:7">
      <c r="B18" s="239" t="s">
        <v>27</v>
      </c>
      <c r="C18" s="239"/>
      <c r="D18" s="239"/>
      <c r="E18" s="239"/>
      <c r="F18" s="239"/>
      <c r="G18" s="239"/>
    </row>
    <row r="19" spans="2:7">
      <c r="B19" s="198"/>
      <c r="C19" s="199" t="s">
        <v>28</v>
      </c>
      <c r="D19" s="200" t="s">
        <v>14</v>
      </c>
      <c r="E19" s="200" t="s">
        <v>13</v>
      </c>
      <c r="F19" s="199" t="s">
        <v>16</v>
      </c>
      <c r="G19" s="198"/>
    </row>
    <row r="20" spans="2:7">
      <c r="B20" s="3" t="s">
        <v>29</v>
      </c>
      <c r="C20" s="197">
        <f>+$G$6</f>
        <v>58.67</v>
      </c>
      <c r="D20" s="197">
        <f>_xlfn.XLOOKUP(D19,$C$9:$F$9,$C$16:$F$16,0)</f>
        <v>56.862875844996424</v>
      </c>
      <c r="E20" s="197">
        <f>_xlfn.XLOOKUP(E19,$C$9:$F$9,$C$16:$F$16,0)</f>
        <v>72.375586403903668</v>
      </c>
      <c r="F20" s="197">
        <f>_xlfn.XLOOKUP(F19,$C$9:$F$9,$C$16:$F$16,0)</f>
        <v>79.775307897142895</v>
      </c>
    </row>
    <row r="21" spans="2:7">
      <c r="B21" s="3" t="s">
        <v>30</v>
      </c>
      <c r="D21" s="178">
        <f>D$20-$C20</f>
        <v>-1.8071241550035779</v>
      </c>
      <c r="E21" s="178">
        <f>E$20-$C20</f>
        <v>13.705586403903666</v>
      </c>
      <c r="F21" s="178">
        <f>F$20-$C20</f>
        <v>21.105307897142893</v>
      </c>
    </row>
    <row r="22" spans="2:7">
      <c r="B22" s="3" t="s">
        <v>31</v>
      </c>
      <c r="C22" s="196"/>
      <c r="D22" s="194">
        <f>D$20/$C$20-1</f>
        <v>-3.0801502556733862E-2</v>
      </c>
      <c r="E22" s="194">
        <f>E$20/$C$20-1</f>
        <v>0.23360467707352428</v>
      </c>
      <c r="F22" s="194">
        <f>F$20/$C$20-1</f>
        <v>0.35972912727361339</v>
      </c>
    </row>
    <row r="25" spans="2:7">
      <c r="B25" s="231" t="s">
        <v>10</v>
      </c>
      <c r="C25" s="232">
        <f>$G$6</f>
        <v>58.67</v>
      </c>
      <c r="D25" s="232">
        <f t="shared" ref="D25:F25" si="2">$G$6</f>
        <v>58.67</v>
      </c>
      <c r="E25" s="232">
        <f t="shared" si="2"/>
        <v>58.67</v>
      </c>
      <c r="F25" s="232">
        <f t="shared" si="2"/>
        <v>58.67</v>
      </c>
      <c r="G25" s="233"/>
    </row>
    <row r="26" spans="2:7">
      <c r="B26" s="231" t="s">
        <v>26</v>
      </c>
      <c r="C26" s="232">
        <f>$C$16</f>
        <v>72.375586403903668</v>
      </c>
      <c r="D26" s="232">
        <f t="shared" ref="D26:F26" si="3">$C$16</f>
        <v>72.375586403903668</v>
      </c>
      <c r="E26" s="232">
        <f t="shared" si="3"/>
        <v>72.375586403903668</v>
      </c>
      <c r="F26" s="232">
        <f t="shared" si="3"/>
        <v>72.375586403903668</v>
      </c>
      <c r="G26" s="233"/>
    </row>
  </sheetData>
  <mergeCells count="5">
    <mergeCell ref="B18:G18"/>
    <mergeCell ref="B8:G8"/>
    <mergeCell ref="B3:G3"/>
    <mergeCell ref="B2:G2"/>
    <mergeCell ref="K9:M9"/>
  </mergeCells>
  <pageMargins left="0.7" right="0.7" top="0.75" bottom="0.75" header="0.3" footer="0.3"/>
  <ignoredErrors>
    <ignoredError sqref="E10:E15" formula="1"/>
  </ignoredErrors>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1B65-FE45-4871-9382-FA62AABA6646}">
  <sheetPr>
    <tabColor theme="3" tint="0.499984740745262"/>
  </sheetPr>
  <dimension ref="A2:R344"/>
  <sheetViews>
    <sheetView zoomScaleNormal="100" workbookViewId="0">
      <selection activeCell="F31" sqref="F31"/>
    </sheetView>
  </sheetViews>
  <sheetFormatPr baseColWidth="10" defaultColWidth="0" defaultRowHeight="11" outlineLevelRow="1"/>
  <cols>
    <col min="1" max="1" width="2.1640625" style="112" bestFit="1" customWidth="1"/>
    <col min="2" max="2" width="36.1640625" style="14" customWidth="1"/>
    <col min="3" max="3" width="10.83203125" style="13" bestFit="1" customWidth="1"/>
    <col min="4" max="18" width="8.6640625" style="1" customWidth="1"/>
    <col min="19" max="16384" width="8.6640625" style="1" hidden="1"/>
  </cols>
  <sheetData>
    <row r="2" spans="1:18">
      <c r="A2" s="112" t="s">
        <v>32</v>
      </c>
      <c r="B2" s="42" t="s">
        <v>33</v>
      </c>
      <c r="C2" s="47"/>
      <c r="D2" s="41"/>
      <c r="E2" s="41"/>
      <c r="F2" s="41"/>
      <c r="G2" s="41"/>
      <c r="H2" s="41"/>
      <c r="I2" s="41"/>
      <c r="J2" s="41"/>
      <c r="K2" s="41"/>
      <c r="L2" s="41"/>
      <c r="M2" s="41"/>
      <c r="N2" s="41"/>
      <c r="O2" s="41"/>
      <c r="P2" s="41"/>
      <c r="Q2" s="41"/>
      <c r="R2" s="41"/>
    </row>
    <row r="3" spans="1:18">
      <c r="B3" s="146" t="s">
        <v>34</v>
      </c>
      <c r="C3" s="147" t="s">
        <v>35</v>
      </c>
      <c r="D3" s="147" t="s">
        <v>36</v>
      </c>
      <c r="E3" s="148"/>
      <c r="F3" s="148"/>
      <c r="G3" s="148"/>
      <c r="H3" s="148"/>
      <c r="I3" s="148"/>
      <c r="J3" s="148"/>
      <c r="K3" s="148"/>
      <c r="L3" s="148"/>
      <c r="M3" s="148"/>
      <c r="N3" s="148"/>
      <c r="O3" s="148"/>
      <c r="P3" s="148"/>
      <c r="Q3" s="148"/>
      <c r="R3" s="148"/>
    </row>
    <row r="4" spans="1:18" outlineLevel="1">
      <c r="B4" s="14" t="s">
        <v>37</v>
      </c>
      <c r="C4" s="13" t="s">
        <v>38</v>
      </c>
      <c r="D4" s="133"/>
    </row>
    <row r="5" spans="1:18" outlineLevel="1">
      <c r="B5" s="14" t="s">
        <v>39</v>
      </c>
      <c r="C5" s="13" t="s">
        <v>40</v>
      </c>
      <c r="D5" s="133"/>
    </row>
    <row r="6" spans="1:18" outlineLevel="1">
      <c r="B6" s="14" t="s">
        <v>41</v>
      </c>
      <c r="C6" s="13" t="s">
        <v>42</v>
      </c>
      <c r="D6" s="133"/>
    </row>
    <row r="7" spans="1:18" outlineLevel="1">
      <c r="B7" s="14" t="s">
        <v>43</v>
      </c>
      <c r="C7" s="13" t="s">
        <v>44</v>
      </c>
      <c r="D7" s="133"/>
    </row>
    <row r="8" spans="1:18" outlineLevel="1">
      <c r="B8" s="14" t="s">
        <v>45</v>
      </c>
      <c r="C8" s="13" t="s">
        <v>46</v>
      </c>
      <c r="D8" s="133"/>
    </row>
    <row r="9" spans="1:18" outlineLevel="1">
      <c r="B9" s="14" t="s">
        <v>47</v>
      </c>
      <c r="C9" s="13" t="s">
        <v>48</v>
      </c>
      <c r="D9" s="133"/>
    </row>
    <row r="10" spans="1:18" outlineLevel="1">
      <c r="D10" s="133"/>
    </row>
    <row r="11" spans="1:18" outlineLevel="1">
      <c r="B11" s="14" t="s">
        <v>49</v>
      </c>
      <c r="C11" s="13" t="s">
        <v>50</v>
      </c>
      <c r="D11" s="133"/>
    </row>
    <row r="12" spans="1:18" outlineLevel="1">
      <c r="B12" s="14" t="str">
        <f>$C$11&amp;" Financial Analysis"</f>
        <v>XLTP Financial Analysis</v>
      </c>
      <c r="C12" s="13" t="s">
        <v>51</v>
      </c>
      <c r="D12" s="133"/>
    </row>
    <row r="13" spans="1:18" outlineLevel="1">
      <c r="B13" s="14" t="str">
        <f>$C$11&amp;" Discounted Cash Flow"</f>
        <v>XLTP Discounted Cash Flow</v>
      </c>
      <c r="C13" s="13" t="s">
        <v>52</v>
      </c>
      <c r="D13" s="133"/>
    </row>
    <row r="14" spans="1:18" outlineLevel="1">
      <c r="B14" s="14" t="str">
        <f>$C$11&amp;" Bloomberg Comparable Valuation Analysis"</f>
        <v>XLTP Bloomberg Comparable Valuation Analysis</v>
      </c>
      <c r="C14" s="13" t="s">
        <v>53</v>
      </c>
      <c r="D14" s="133"/>
    </row>
    <row r="15" spans="1:18">
      <c r="D15" s="133"/>
    </row>
    <row r="16" spans="1:18">
      <c r="A16" s="112" t="s">
        <v>54</v>
      </c>
      <c r="B16" s="42" t="s">
        <v>55</v>
      </c>
      <c r="C16" s="47"/>
      <c r="D16" s="41"/>
      <c r="E16" s="41"/>
      <c r="F16" s="41"/>
      <c r="G16" s="41"/>
      <c r="H16" s="41"/>
      <c r="I16" s="41"/>
      <c r="J16" s="41"/>
      <c r="K16" s="41"/>
      <c r="L16" s="41"/>
      <c r="M16" s="41"/>
      <c r="N16" s="41"/>
      <c r="O16" s="41"/>
      <c r="P16" s="41"/>
      <c r="Q16" s="41"/>
      <c r="R16" s="41"/>
    </row>
    <row r="17" spans="2:18">
      <c r="B17" s="22"/>
      <c r="C17" s="31"/>
      <c r="D17" s="22" cm="1">
        <f t="array" ref="D17:M17">_xlfn.SEQUENCE(1,5+$C$20,(YEAR($C$19)-5))</f>
        <v>2019</v>
      </c>
      <c r="E17" s="22">
        <v>2020</v>
      </c>
      <c r="F17" s="22">
        <v>2021</v>
      </c>
      <c r="G17" s="22">
        <v>2022</v>
      </c>
      <c r="H17" s="22">
        <v>2023</v>
      </c>
      <c r="I17" s="23">
        <v>2024</v>
      </c>
      <c r="J17" s="23">
        <v>2025</v>
      </c>
      <c r="K17" s="23">
        <v>2026</v>
      </c>
      <c r="L17" s="23">
        <v>2027</v>
      </c>
      <c r="M17" s="23">
        <v>2028</v>
      </c>
      <c r="N17" s="23"/>
      <c r="O17" s="23"/>
      <c r="P17" s="23"/>
      <c r="Q17" s="23"/>
      <c r="R17" s="23"/>
    </row>
    <row r="18" spans="2:18" ht="12" outlineLevel="1" thickBot="1">
      <c r="B18" s="154" t="s">
        <v>56</v>
      </c>
      <c r="C18" s="155"/>
    </row>
    <row r="19" spans="2:18" outlineLevel="1">
      <c r="B19" s="153" t="s">
        <v>2</v>
      </c>
      <c r="C19" s="114">
        <v>45591</v>
      </c>
    </row>
    <row r="20" spans="2:18" outlineLevel="1">
      <c r="B20" s="16" t="s">
        <v>57</v>
      </c>
      <c r="C20" s="143">
        <v>5</v>
      </c>
      <c r="D20" s="63">
        <v>3</v>
      </c>
      <c r="E20" s="63">
        <v>5</v>
      </c>
      <c r="F20" s="63">
        <v>7</v>
      </c>
      <c r="G20" s="63">
        <v>10</v>
      </c>
    </row>
    <row r="21" spans="2:18" outlineLevel="1">
      <c r="B21" s="16" t="s">
        <v>58</v>
      </c>
      <c r="C21" s="144">
        <v>15.97</v>
      </c>
    </row>
    <row r="22" spans="2:18" outlineLevel="1"/>
    <row r="23" spans="2:18" outlineLevel="1"/>
    <row r="24" spans="2:18" ht="12" outlineLevel="1" thickBot="1">
      <c r="B24" s="151" t="s">
        <v>59</v>
      </c>
      <c r="C24" s="152"/>
      <c r="H24" s="1">
        <f>D64/F64</f>
        <v>10.287483039348711</v>
      </c>
    </row>
    <row r="25" spans="2:18" outlineLevel="1">
      <c r="B25" s="153" t="s">
        <v>5</v>
      </c>
      <c r="C25" s="115" t="s">
        <v>60</v>
      </c>
    </row>
    <row r="26" spans="2:18" outlineLevel="1">
      <c r="B26" s="153" t="s">
        <v>8</v>
      </c>
      <c r="C26" s="115" t="s">
        <v>61</v>
      </c>
    </row>
    <row r="27" spans="2:18" outlineLevel="1">
      <c r="B27" s="153"/>
      <c r="C27" s="153"/>
    </row>
    <row r="28" spans="2:18" outlineLevel="1"/>
    <row r="29" spans="2:18" ht="12" outlineLevel="1" thickBot="1">
      <c r="B29" s="151" t="s">
        <v>62</v>
      </c>
      <c r="C29" s="152"/>
    </row>
    <row r="30" spans="2:18" outlineLevel="1">
      <c r="B30" s="153" t="s">
        <v>3</v>
      </c>
      <c r="C30" s="116" t="s">
        <v>63</v>
      </c>
    </row>
    <row r="31" spans="2:18" outlineLevel="1">
      <c r="B31" s="153" t="s">
        <v>6</v>
      </c>
      <c r="C31" s="116" t="s">
        <v>64</v>
      </c>
    </row>
    <row r="32" spans="2:18" outlineLevel="1">
      <c r="B32" s="153" t="s">
        <v>9</v>
      </c>
      <c r="C32" s="116" t="s">
        <v>65</v>
      </c>
    </row>
    <row r="33" spans="2:18" outlineLevel="1">
      <c r="B33" s="153" t="s">
        <v>4</v>
      </c>
      <c r="C33" s="117">
        <v>66.88</v>
      </c>
      <c r="D33" s="1" t="s">
        <v>16</v>
      </c>
    </row>
    <row r="34" spans="2:18" outlineLevel="1">
      <c r="B34" s="153" t="s">
        <v>7</v>
      </c>
      <c r="C34" s="117">
        <v>45.13</v>
      </c>
      <c r="D34" s="1" t="s">
        <v>14</v>
      </c>
    </row>
    <row r="35" spans="2:18" outlineLevel="1">
      <c r="B35" s="153" t="s">
        <v>10</v>
      </c>
      <c r="C35" s="118">
        <v>58.67</v>
      </c>
      <c r="D35" s="1" t="s">
        <v>13</v>
      </c>
    </row>
    <row r="36" spans="2:18" outlineLevel="1">
      <c r="B36" s="16" t="s">
        <v>66</v>
      </c>
      <c r="C36" s="94">
        <v>285.8</v>
      </c>
    </row>
    <row r="37" spans="2:18" outlineLevel="1">
      <c r="B37" s="16" t="s">
        <v>67</v>
      </c>
      <c r="C37" s="93" t="s">
        <v>68</v>
      </c>
    </row>
    <row r="38" spans="2:18" outlineLevel="1">
      <c r="B38" s="16" t="s">
        <v>69</v>
      </c>
      <c r="C38" s="92" t="s">
        <v>70</v>
      </c>
    </row>
    <row r="39" spans="2:18" outlineLevel="1">
      <c r="B39" s="16" t="str">
        <f>"In "&amp;C38&amp;" "</f>
        <v xml:space="preserve">In USD </v>
      </c>
      <c r="C39" s="92" t="s">
        <v>71</v>
      </c>
    </row>
    <row r="40" spans="2:18" outlineLevel="1">
      <c r="B40" s="16"/>
      <c r="C40" s="1"/>
    </row>
    <row r="41" spans="2:18" outlineLevel="1">
      <c r="B41" s="16"/>
      <c r="C41" s="1"/>
    </row>
    <row r="42" spans="2:18" ht="12" outlineLevel="1" thickBot="1">
      <c r="B42" s="151" t="s">
        <v>72</v>
      </c>
      <c r="C42" s="152"/>
      <c r="D42" s="155"/>
      <c r="E42" s="155"/>
      <c r="F42" s="155"/>
      <c r="G42" s="155"/>
      <c r="H42" s="155"/>
      <c r="I42" s="152"/>
      <c r="J42" s="152"/>
      <c r="K42" s="152"/>
      <c r="L42" s="152"/>
      <c r="M42" s="152"/>
      <c r="N42" s="152"/>
      <c r="O42" s="152"/>
      <c r="P42" s="152"/>
      <c r="Q42" s="152"/>
      <c r="R42" s="152"/>
    </row>
    <row r="43" spans="2:18" outlineLevel="1">
      <c r="B43" s="47"/>
      <c r="C43" s="47"/>
      <c r="D43" s="159">
        <v>1</v>
      </c>
      <c r="E43" s="159">
        <v>2</v>
      </c>
      <c r="F43" s="159">
        <v>3</v>
      </c>
      <c r="G43" s="159">
        <v>4</v>
      </c>
      <c r="H43" s="159">
        <v>5</v>
      </c>
      <c r="I43" s="47"/>
      <c r="J43" s="47"/>
      <c r="K43" s="47"/>
      <c r="L43" s="47"/>
      <c r="M43" s="47"/>
      <c r="N43" s="47"/>
      <c r="O43" s="47"/>
      <c r="P43" s="47"/>
      <c r="Q43" s="47"/>
      <c r="R43" s="47"/>
    </row>
    <row r="44" spans="2:18" outlineLevel="1">
      <c r="B44" s="31"/>
      <c r="C44" s="31"/>
      <c r="D44" s="22" cm="1">
        <f t="array" ref="D44:H44">_xlfn.SEQUENCE(1,5,(YEAR($C$19)-5))</f>
        <v>2019</v>
      </c>
      <c r="E44" s="22">
        <v>2020</v>
      </c>
      <c r="F44" s="22">
        <v>2021</v>
      </c>
      <c r="G44" s="22">
        <v>2022</v>
      </c>
      <c r="H44" s="22">
        <v>2023</v>
      </c>
      <c r="I44" s="110"/>
      <c r="J44" s="110"/>
      <c r="K44" s="110"/>
      <c r="L44" s="110"/>
      <c r="M44" s="110"/>
      <c r="N44" s="110"/>
      <c r="O44" s="110"/>
      <c r="P44" s="110"/>
      <c r="Q44" s="110"/>
      <c r="R44" s="110"/>
    </row>
    <row r="45" spans="2:18" outlineLevel="1">
      <c r="B45" s="162" t="s">
        <v>73</v>
      </c>
      <c r="C45" s="163"/>
      <c r="D45" s="174">
        <f>(0.42+3*0.375)</f>
        <v>1.5449999999999999</v>
      </c>
      <c r="E45" s="174">
        <f>(0.445+3*0.42)</f>
        <v>1.7050000000000001</v>
      </c>
      <c r="F45" s="174">
        <f>0.46+3*0.445</f>
        <v>1.7949999999999999</v>
      </c>
      <c r="G45" s="174">
        <f>0.48+3*0.46</f>
        <v>1.86</v>
      </c>
      <c r="H45" s="174">
        <f>0.48+0.48+0.48+0.49</f>
        <v>1.93</v>
      </c>
    </row>
    <row r="46" spans="2:18" outlineLevel="1">
      <c r="B46" s="160" t="s">
        <v>74</v>
      </c>
      <c r="C46" s="158">
        <f>((H45/D45)^(1/H43)-1)</f>
        <v>4.550415966266308E-2</v>
      </c>
    </row>
    <row r="47" spans="2:18" outlineLevel="1">
      <c r="B47" s="17" t="s">
        <v>14</v>
      </c>
      <c r="C47" s="164">
        <f>C46-D47</f>
        <v>3.5504159662663078E-2</v>
      </c>
      <c r="D47" s="173">
        <v>0.01</v>
      </c>
    </row>
    <row r="48" spans="2:18" outlineLevel="1">
      <c r="B48" s="17" t="s">
        <v>16</v>
      </c>
      <c r="C48" s="164">
        <f>C46+D48</f>
        <v>5.5504159662663081E-2</v>
      </c>
      <c r="D48" s="173">
        <v>0.01</v>
      </c>
    </row>
    <row r="49" spans="2:18" outlineLevel="1">
      <c r="B49" s="160"/>
      <c r="C49" s="158"/>
    </row>
    <row r="50" spans="2:18" outlineLevel="1">
      <c r="B50" s="16" t="s">
        <v>75</v>
      </c>
      <c r="C50" s="161">
        <v>0.04</v>
      </c>
    </row>
    <row r="51" spans="2:18" outlineLevel="1">
      <c r="B51" s="17" t="s">
        <v>14</v>
      </c>
      <c r="C51" s="164">
        <f>C50-D51</f>
        <v>0.03</v>
      </c>
      <c r="D51" s="173">
        <v>0.01</v>
      </c>
    </row>
    <row r="52" spans="2:18" outlineLevel="1">
      <c r="B52" s="17" t="s">
        <v>16</v>
      </c>
      <c r="C52" s="164">
        <f>C50+D52</f>
        <v>0.05</v>
      </c>
      <c r="D52" s="173">
        <v>0.01</v>
      </c>
    </row>
    <row r="53" spans="2:18" outlineLevel="1">
      <c r="B53" s="16"/>
      <c r="C53" s="14"/>
    </row>
    <row r="54" spans="2:18" outlineLevel="1">
      <c r="B54" s="16" t="s">
        <v>76</v>
      </c>
      <c r="C54" s="92" t="s">
        <v>77</v>
      </c>
      <c r="D54" s="63" t="s">
        <v>77</v>
      </c>
      <c r="E54" s="63" t="s">
        <v>78</v>
      </c>
    </row>
    <row r="55" spans="2:18" outlineLevel="1">
      <c r="C55" s="156"/>
    </row>
    <row r="56" spans="2:18" outlineLevel="1">
      <c r="B56" s="16" t="str">
        <f>"Annual Dividends Per Share - Last Paid "&amp;H44</f>
        <v>Annual Dividends Per Share - Last Paid 2023</v>
      </c>
      <c r="C56" s="166">
        <f>H45</f>
        <v>1.93</v>
      </c>
    </row>
    <row r="57" spans="2:18" outlineLevel="1">
      <c r="B57" s="16" t="s">
        <v>79</v>
      </c>
      <c r="C57" s="164">
        <f>C121</f>
        <v>6.8228999999999998E-2</v>
      </c>
    </row>
    <row r="58" spans="2:18" outlineLevel="1">
      <c r="B58" s="16"/>
      <c r="C58" s="164"/>
    </row>
    <row r="59" spans="2:18" outlineLevel="1">
      <c r="B59" s="16"/>
      <c r="C59" s="164"/>
    </row>
    <row r="60" spans="2:18" ht="12" outlineLevel="1" thickBot="1">
      <c r="B60" s="151" t="s">
        <v>80</v>
      </c>
      <c r="C60" s="152"/>
      <c r="D60" s="152"/>
      <c r="E60" s="152"/>
      <c r="F60" s="152"/>
      <c r="G60" s="152"/>
      <c r="H60" s="152"/>
      <c r="I60" s="152"/>
      <c r="J60" s="152"/>
      <c r="K60" s="152"/>
      <c r="L60" s="152"/>
      <c r="M60" s="152"/>
      <c r="N60" s="152"/>
      <c r="O60" s="152"/>
      <c r="P60" s="152"/>
      <c r="Q60" s="152"/>
      <c r="R60" s="152"/>
    </row>
    <row r="61" spans="2:18" outlineLevel="1">
      <c r="B61" s="47"/>
      <c r="C61" s="47"/>
      <c r="D61" s="47"/>
      <c r="E61" s="47"/>
      <c r="F61" s="47"/>
      <c r="G61" s="47"/>
      <c r="H61" s="47"/>
      <c r="I61" s="47"/>
      <c r="J61" s="47"/>
      <c r="K61" s="47"/>
      <c r="L61" s="47"/>
      <c r="M61" s="47"/>
      <c r="N61" s="47"/>
      <c r="O61" s="47"/>
      <c r="P61" s="47"/>
      <c r="Q61" s="47"/>
      <c r="R61" s="47"/>
    </row>
    <row r="62" spans="2:18" outlineLevel="1">
      <c r="B62" s="31"/>
      <c r="C62" s="31" t="s">
        <v>81</v>
      </c>
      <c r="D62" s="31" t="s">
        <v>82</v>
      </c>
      <c r="E62" s="31" t="s">
        <v>83</v>
      </c>
      <c r="F62" s="31" t="s">
        <v>84</v>
      </c>
      <c r="G62" s="110"/>
      <c r="H62" s="110"/>
      <c r="I62" s="110"/>
      <c r="J62" s="110"/>
      <c r="K62" s="110"/>
      <c r="L62" s="110"/>
      <c r="M62" s="110"/>
      <c r="N62" s="110"/>
      <c r="O62" s="110"/>
      <c r="P62" s="110"/>
      <c r="Q62" s="110"/>
      <c r="R62" s="110"/>
    </row>
    <row r="63" spans="2:18" outlineLevel="1">
      <c r="B63" s="14" t="s">
        <v>85</v>
      </c>
      <c r="C63" s="164"/>
    </row>
    <row r="64" spans="2:18" outlineLevel="1">
      <c r="B64" s="16" t="str">
        <f>Assumptions!$C$30</f>
        <v>Tyson Foods</v>
      </c>
      <c r="C64" s="130">
        <v>24.6</v>
      </c>
      <c r="D64" s="130">
        <v>30327.5</v>
      </c>
      <c r="E64" s="130">
        <v>53092</v>
      </c>
      <c r="F64" s="130">
        <v>2948</v>
      </c>
    </row>
    <row r="65" spans="1:18" outlineLevel="1">
      <c r="B65" s="14" t="s">
        <v>86</v>
      </c>
      <c r="C65" s="131"/>
      <c r="D65" s="131"/>
      <c r="E65" s="131"/>
      <c r="F65" s="131"/>
    </row>
    <row r="66" spans="1:18" outlineLevel="1">
      <c r="B66" s="123" t="s">
        <v>87</v>
      </c>
      <c r="C66" s="130">
        <v>12.1</v>
      </c>
      <c r="D66" s="130">
        <v>13208.2</v>
      </c>
      <c r="E66" s="130">
        <v>17809.7</v>
      </c>
      <c r="F66" s="130">
        <v>1678.3</v>
      </c>
    </row>
    <row r="67" spans="1:18" outlineLevel="1">
      <c r="B67" s="123" t="s">
        <v>88</v>
      </c>
      <c r="C67" s="238">
        <v>18.399999999999999</v>
      </c>
      <c r="D67" s="238">
        <v>19340.2</v>
      </c>
      <c r="E67" s="238">
        <v>11980.8</v>
      </c>
      <c r="F67" s="238">
        <v>1307.8</v>
      </c>
    </row>
    <row r="68" spans="1:18" outlineLevel="1">
      <c r="B68" s="123" t="s">
        <v>89</v>
      </c>
      <c r="C68" s="130">
        <v>16.5</v>
      </c>
      <c r="D68" s="130">
        <v>4577</v>
      </c>
      <c r="E68" s="130">
        <v>4851.8999999999996</v>
      </c>
      <c r="F68" s="130">
        <v>499.7</v>
      </c>
    </row>
    <row r="69" spans="1:18" outlineLevel="1">
      <c r="B69" s="123"/>
      <c r="C69" s="130"/>
      <c r="D69" s="130"/>
      <c r="E69" s="130"/>
      <c r="F69" s="130"/>
    </row>
    <row r="70" spans="1:18" outlineLevel="1">
      <c r="B70" s="123"/>
      <c r="C70" s="130"/>
      <c r="D70" s="130"/>
      <c r="E70" s="130"/>
      <c r="F70" s="130"/>
    </row>
    <row r="71" spans="1:18" outlineLevel="1">
      <c r="B71" s="16"/>
      <c r="C71" s="164"/>
    </row>
    <row r="72" spans="1:18" outlineLevel="1">
      <c r="B72" s="16"/>
      <c r="C72" s="164"/>
    </row>
    <row r="73" spans="1:18" outlineLevel="1">
      <c r="B73" s="16"/>
      <c r="C73" s="164"/>
    </row>
    <row r="74" spans="1:18" outlineLevel="1">
      <c r="B74" s="16"/>
      <c r="C74" s="164"/>
    </row>
    <row r="75" spans="1:18" outlineLevel="1">
      <c r="B75" s="16"/>
      <c r="C75" s="164"/>
    </row>
    <row r="76" spans="1:18" outlineLevel="1"/>
    <row r="78" spans="1:18">
      <c r="A78" s="112" t="s">
        <v>46</v>
      </c>
      <c r="B78" s="42" t="s">
        <v>90</v>
      </c>
      <c r="C78" s="47"/>
      <c r="D78" s="41"/>
      <c r="E78" s="41"/>
      <c r="F78" s="41"/>
      <c r="G78" s="41"/>
      <c r="H78" s="41"/>
      <c r="I78" s="41"/>
      <c r="J78" s="41"/>
      <c r="K78" s="41"/>
      <c r="L78" s="41"/>
      <c r="M78" s="41"/>
      <c r="N78" s="41"/>
      <c r="O78" s="41"/>
      <c r="P78" s="41"/>
      <c r="Q78" s="41"/>
      <c r="R78" s="41"/>
    </row>
    <row r="79" spans="1:18" outlineLevel="1">
      <c r="B79" s="110" t="str">
        <f>"Capital Structure, "&amp;Assumptions!$B$39&amp;Assumptions!$C$39</f>
        <v>Capital Structure, In USD Millions</v>
      </c>
      <c r="C79" s="110"/>
      <c r="D79" s="110"/>
      <c r="E79" s="110"/>
      <c r="F79" s="110"/>
      <c r="G79" s="110"/>
      <c r="H79" s="110"/>
      <c r="I79" s="110"/>
      <c r="J79" s="110"/>
      <c r="K79" s="110"/>
      <c r="L79" s="110"/>
      <c r="M79" s="110"/>
      <c r="N79" s="110"/>
      <c r="O79" s="110"/>
      <c r="P79" s="110"/>
      <c r="Q79" s="110"/>
      <c r="R79" s="110"/>
    </row>
    <row r="80" spans="1:18" outlineLevel="1">
      <c r="B80" s="98" t="s">
        <v>91</v>
      </c>
      <c r="C80" s="10">
        <v>20876.5</v>
      </c>
    </row>
    <row r="81" spans="2:18" outlineLevel="1">
      <c r="B81" s="99" t="s">
        <v>92</v>
      </c>
      <c r="C81" s="95">
        <f>C80/$C$92</f>
        <v>0.67536353784190351</v>
      </c>
    </row>
    <row r="82" spans="2:18" outlineLevel="1">
      <c r="B82" s="73"/>
      <c r="C82" s="96"/>
    </row>
    <row r="83" spans="2:18" outlineLevel="1">
      <c r="B83" s="100" t="s">
        <v>93</v>
      </c>
      <c r="C83" s="10">
        <v>2048</v>
      </c>
    </row>
    <row r="84" spans="2:18" outlineLevel="1">
      <c r="B84" s="101" t="s">
        <v>92</v>
      </c>
      <c r="C84" s="95">
        <f>C83/$C$92</f>
        <v>6.625365964123385E-2</v>
      </c>
    </row>
    <row r="85" spans="2:18" outlineLevel="1">
      <c r="B85" s="100" t="s">
        <v>94</v>
      </c>
      <c r="C85" s="10">
        <v>7987</v>
      </c>
    </row>
    <row r="86" spans="2:18" outlineLevel="1">
      <c r="B86" s="101" t="s">
        <v>92</v>
      </c>
      <c r="C86" s="95">
        <f>C85/$C$92</f>
        <v>0.25838280251686263</v>
      </c>
    </row>
    <row r="87" spans="2:18" outlineLevel="1">
      <c r="B87" s="98" t="s">
        <v>95</v>
      </c>
      <c r="C87" s="30">
        <f>C83+C85</f>
        <v>10035</v>
      </c>
    </row>
    <row r="88" spans="2:18" outlineLevel="1">
      <c r="B88" s="99" t="s">
        <v>92</v>
      </c>
      <c r="C88" s="95">
        <f>C87/$C$92</f>
        <v>0.32463646215809649</v>
      </c>
    </row>
    <row r="89" spans="2:18" outlineLevel="1">
      <c r="B89" s="73"/>
      <c r="C89" s="97"/>
    </row>
    <row r="90" spans="2:18" outlineLevel="1">
      <c r="B90" s="98" t="s">
        <v>96</v>
      </c>
      <c r="C90" s="10">
        <v>0</v>
      </c>
    </row>
    <row r="91" spans="2:18" outlineLevel="1">
      <c r="B91" s="99" t="s">
        <v>97</v>
      </c>
      <c r="C91" s="95">
        <f>C90/$C$92</f>
        <v>0</v>
      </c>
    </row>
    <row r="92" spans="2:18" outlineLevel="1">
      <c r="B92" s="74" t="s">
        <v>98</v>
      </c>
      <c r="C92" s="75">
        <f>SUM(C80,C87,C90)</f>
        <v>30911.5</v>
      </c>
    </row>
    <row r="93" spans="2:18" outlineLevel="1">
      <c r="B93" s="96"/>
      <c r="C93" s="96"/>
    </row>
    <row r="94" spans="2:18" outlineLevel="1">
      <c r="B94" s="110" t="str">
        <f>"Cost of Debt, "&amp;Assumptions!$B$39&amp;Assumptions!$C$39</f>
        <v>Cost of Debt, In USD Millions</v>
      </c>
      <c r="C94" s="111"/>
      <c r="D94" s="110"/>
      <c r="E94" s="110"/>
      <c r="F94" s="110"/>
      <c r="G94" s="110"/>
      <c r="H94" s="110"/>
      <c r="I94" s="110"/>
      <c r="J94" s="110"/>
      <c r="K94" s="110"/>
      <c r="L94" s="110"/>
      <c r="M94" s="110"/>
      <c r="N94" s="110"/>
      <c r="O94" s="110"/>
      <c r="P94" s="110"/>
      <c r="Q94" s="110"/>
      <c r="R94" s="110"/>
    </row>
    <row r="95" spans="2:18" outlineLevel="1">
      <c r="B95" s="98" t="s">
        <v>99</v>
      </c>
      <c r="C95" s="76"/>
    </row>
    <row r="96" spans="2:18" outlineLevel="1">
      <c r="B96" s="103" t="s">
        <v>100</v>
      </c>
      <c r="C96" s="77">
        <f>1-C95</f>
        <v>1</v>
      </c>
    </row>
    <row r="97" spans="2:18" outlineLevel="1">
      <c r="B97" s="96"/>
      <c r="C97" s="78"/>
    </row>
    <row r="98" spans="2:18" outlineLevel="1">
      <c r="B98" s="104" t="s">
        <v>101</v>
      </c>
      <c r="C98" s="76">
        <v>4.1300000000000003E-2</v>
      </c>
    </row>
    <row r="99" spans="2:18" outlineLevel="1">
      <c r="B99" s="104" t="s">
        <v>102</v>
      </c>
      <c r="C99" s="79">
        <f>C83/C87</f>
        <v>0.2040857000498256</v>
      </c>
    </row>
    <row r="100" spans="2:18" outlineLevel="1">
      <c r="B100" s="103" t="s">
        <v>103</v>
      </c>
      <c r="C100" s="77">
        <f>C99*C98</f>
        <v>8.4287394120577987E-3</v>
      </c>
    </row>
    <row r="101" spans="2:18" outlineLevel="1">
      <c r="B101" s="104" t="s">
        <v>104</v>
      </c>
      <c r="C101" s="76">
        <v>4.2700000000000002E-2</v>
      </c>
    </row>
    <row r="102" spans="2:18" outlineLevel="1">
      <c r="B102" s="104" t="s">
        <v>105</v>
      </c>
      <c r="C102" s="79">
        <f>C85/C87</f>
        <v>0.79591429995017438</v>
      </c>
    </row>
    <row r="103" spans="2:18" outlineLevel="1">
      <c r="B103" s="103" t="s">
        <v>106</v>
      </c>
      <c r="C103" s="77">
        <f>C101*C102</f>
        <v>3.3985540607872448E-2</v>
      </c>
    </row>
    <row r="104" spans="2:18" outlineLevel="1">
      <c r="B104" s="98" t="s">
        <v>107</v>
      </c>
      <c r="C104" s="77">
        <f>C103+C100</f>
        <v>4.2414280019930251E-2</v>
      </c>
    </row>
    <row r="105" spans="2:18" outlineLevel="1">
      <c r="B105" s="1"/>
      <c r="C105" s="1"/>
    </row>
    <row r="106" spans="2:18" outlineLevel="1">
      <c r="B106" s="98" t="s">
        <v>108</v>
      </c>
      <c r="C106" s="87">
        <v>1.43</v>
      </c>
    </row>
    <row r="107" spans="2:18" outlineLevel="1">
      <c r="B107" s="74" t="s">
        <v>109</v>
      </c>
      <c r="C107" s="80">
        <f>C106*C104*C96</f>
        <v>6.0652420428500255E-2</v>
      </c>
    </row>
    <row r="108" spans="2:18" outlineLevel="1">
      <c r="B108" s="1"/>
      <c r="C108" s="1"/>
    </row>
    <row r="109" spans="2:18" outlineLevel="1">
      <c r="B109" s="110" t="str">
        <f>"Cost of Equity, "&amp;Assumptions!$B$39&amp;Assumptions!$C$39</f>
        <v>Cost of Equity, In USD Millions</v>
      </c>
      <c r="C109" s="110"/>
      <c r="D109" s="110"/>
      <c r="E109" s="110"/>
      <c r="F109" s="110"/>
      <c r="G109" s="110"/>
      <c r="H109" s="110"/>
      <c r="I109" s="110"/>
      <c r="J109" s="110"/>
      <c r="K109" s="110"/>
      <c r="L109" s="110"/>
      <c r="M109" s="110"/>
      <c r="N109" s="110"/>
      <c r="O109" s="110"/>
      <c r="P109" s="110"/>
      <c r="Q109" s="110"/>
      <c r="R109" s="110"/>
    </row>
    <row r="110" spans="2:18" outlineLevel="1">
      <c r="B110" s="73" t="s">
        <v>110</v>
      </c>
      <c r="C110" s="76">
        <v>4.2700000000000002E-2</v>
      </c>
    </row>
    <row r="111" spans="2:18" outlineLevel="1">
      <c r="B111" s="105" t="s">
        <v>111</v>
      </c>
      <c r="C111" s="76">
        <v>2.58E-2</v>
      </c>
    </row>
    <row r="112" spans="2:18" outlineLevel="1">
      <c r="B112" s="105" t="s">
        <v>112</v>
      </c>
      <c r="C112" s="87">
        <v>0.49</v>
      </c>
    </row>
    <row r="113" spans="2:3" outlineLevel="1">
      <c r="B113" s="105" t="s">
        <v>113</v>
      </c>
      <c r="C113" s="81">
        <f>+C114-C115</f>
        <v>5.2099999999999994E-2</v>
      </c>
    </row>
    <row r="114" spans="2:3" outlineLevel="1">
      <c r="B114" s="104" t="s">
        <v>114</v>
      </c>
      <c r="C114" s="76">
        <v>9.4799999999999995E-2</v>
      </c>
    </row>
    <row r="115" spans="2:3" outlineLevel="1">
      <c r="B115" s="106" t="s">
        <v>115</v>
      </c>
      <c r="C115" s="81">
        <f>+C110</f>
        <v>4.2700000000000002E-2</v>
      </c>
    </row>
    <row r="116" spans="2:3" outlineLevel="1">
      <c r="B116" s="74" t="s">
        <v>116</v>
      </c>
      <c r="C116" s="150">
        <f>C110+C112*C113</f>
        <v>6.8228999999999998E-2</v>
      </c>
    </row>
    <row r="117" spans="2:3" outlineLevel="1">
      <c r="B117" s="102" t="s">
        <v>117</v>
      </c>
      <c r="C117" s="102"/>
    </row>
    <row r="118" spans="2:3" outlineLevel="1">
      <c r="B118" s="73" t="s">
        <v>118</v>
      </c>
      <c r="C118" s="87">
        <v>0</v>
      </c>
    </row>
    <row r="119" spans="2:3" outlineLevel="1">
      <c r="B119" s="107" t="s">
        <v>119</v>
      </c>
      <c r="C119" s="87">
        <v>0</v>
      </c>
    </row>
    <row r="120" spans="2:3" outlineLevel="1">
      <c r="B120" s="74" t="s">
        <v>120</v>
      </c>
      <c r="C120" s="80">
        <f>IFERROR(C118/C119,0)</f>
        <v>0</v>
      </c>
    </row>
    <row r="121" spans="2:3" ht="12" outlineLevel="1" thickBot="1">
      <c r="B121" s="53" t="s">
        <v>121</v>
      </c>
      <c r="C121" s="165">
        <f>C116+C120</f>
        <v>6.8228999999999998E-2</v>
      </c>
    </row>
    <row r="122" spans="2:3" outlineLevel="1">
      <c r="B122" s="1"/>
      <c r="C122" s="1"/>
    </row>
    <row r="123" spans="2:3" ht="12" outlineLevel="1" thickBot="1">
      <c r="B123" s="82" t="s">
        <v>45</v>
      </c>
      <c r="C123" s="83">
        <f>C81*C116+C88*C107+C91*C120</f>
        <v>6.5769366012649016E-2</v>
      </c>
    </row>
    <row r="124" spans="2:3" ht="12" outlineLevel="1" thickTop="1"/>
    <row r="125" spans="2:3" outlineLevel="1"/>
    <row r="126" spans="2:3" outlineLevel="1"/>
    <row r="127" spans="2:3" outlineLevel="1"/>
    <row r="128" spans="2:3" outlineLevel="1"/>
    <row r="129" spans="1:18" outlineLevel="1"/>
    <row r="131" spans="1:18">
      <c r="A131" s="112" t="s">
        <v>122</v>
      </c>
      <c r="B131" s="42" t="s">
        <v>123</v>
      </c>
      <c r="C131" s="47"/>
      <c r="D131" s="41"/>
      <c r="E131" s="41"/>
      <c r="F131" s="41"/>
      <c r="G131" s="41"/>
      <c r="H131" s="41"/>
      <c r="I131" s="41"/>
      <c r="J131" s="41"/>
      <c r="K131" s="41"/>
      <c r="L131" s="41"/>
      <c r="M131" s="41"/>
      <c r="N131" s="41"/>
      <c r="O131" s="41"/>
      <c r="P131" s="41"/>
      <c r="Q131" s="41"/>
      <c r="R131" s="41"/>
    </row>
    <row r="132" spans="1:18">
      <c r="A132" s="113"/>
      <c r="B132" s="22" t="str">
        <f>"Year Ending "&amp;TEXT($C$37,"mmmm d")&amp;", "&amp;$B$39&amp;$C$39</f>
        <v>Year Ending 09/31/2024, In USD Millions</v>
      </c>
      <c r="C132" s="31">
        <f>D132-1</f>
        <v>2018</v>
      </c>
      <c r="D132" s="22" cm="1">
        <f t="array" ref="D132:M132">_xlfn.SEQUENCE(1,5+$C$20,(YEAR($C$19)-5))</f>
        <v>2019</v>
      </c>
      <c r="E132" s="22">
        <v>2020</v>
      </c>
      <c r="F132" s="22">
        <v>2021</v>
      </c>
      <c r="G132" s="22">
        <v>2022</v>
      </c>
      <c r="H132" s="22">
        <v>2023</v>
      </c>
      <c r="I132" s="23">
        <v>2024</v>
      </c>
      <c r="J132" s="23">
        <v>2025</v>
      </c>
      <c r="K132" s="23">
        <v>2026</v>
      </c>
      <c r="L132" s="23">
        <v>2027</v>
      </c>
      <c r="M132" s="23">
        <v>2028</v>
      </c>
      <c r="N132" s="23"/>
      <c r="O132" s="23"/>
      <c r="P132" s="23"/>
      <c r="Q132" s="23"/>
      <c r="R132" s="23"/>
    </row>
    <row r="133" spans="1:18" outlineLevel="1">
      <c r="B133" s="16" t="s">
        <v>124</v>
      </c>
      <c r="C133" s="91">
        <v>0.01</v>
      </c>
    </row>
    <row r="134" spans="1:18" outlineLevel="1">
      <c r="B134" s="16" t="s">
        <v>125</v>
      </c>
      <c r="C134" s="92" t="s">
        <v>126</v>
      </c>
      <c r="D134" s="63" t="s">
        <v>126</v>
      </c>
      <c r="E134" s="63" t="s">
        <v>127</v>
      </c>
      <c r="F134" s="63" t="s">
        <v>77</v>
      </c>
      <c r="G134" s="63" t="s">
        <v>78</v>
      </c>
    </row>
    <row r="135" spans="1:18" outlineLevel="1"/>
    <row r="136" spans="1:18" outlineLevel="1">
      <c r="B136" s="45" t="s">
        <v>128</v>
      </c>
      <c r="C136" s="10">
        <v>40052</v>
      </c>
      <c r="D136" s="10">
        <v>42405</v>
      </c>
      <c r="E136" s="10">
        <v>43185</v>
      </c>
      <c r="F136" s="10">
        <v>47049</v>
      </c>
      <c r="G136" s="10">
        <v>53282</v>
      </c>
      <c r="H136" s="10">
        <v>52881</v>
      </c>
      <c r="I136" s="12">
        <v>0.04</v>
      </c>
      <c r="J136" s="12">
        <v>0.04</v>
      </c>
      <c r="K136" s="12">
        <v>4.4999999999999998E-2</v>
      </c>
      <c r="L136" s="12">
        <v>0.05</v>
      </c>
      <c r="M136" s="12">
        <v>0.05</v>
      </c>
      <c r="N136" s="12">
        <v>0.05</v>
      </c>
      <c r="O136" s="12">
        <v>0.05</v>
      </c>
      <c r="P136" s="12">
        <v>0.05</v>
      </c>
      <c r="Q136" s="12">
        <v>0.05</v>
      </c>
      <c r="R136" s="12">
        <v>0.05</v>
      </c>
    </row>
    <row r="137" spans="1:18" outlineLevel="1">
      <c r="B137" s="16" t="s">
        <v>13</v>
      </c>
      <c r="D137" s="11">
        <f>D136/C136-1</f>
        <v>5.8748626785179336E-2</v>
      </c>
      <c r="E137" s="11">
        <f>E136/D136-1</f>
        <v>1.8394057304563116E-2</v>
      </c>
      <c r="F137" s="11">
        <f t="shared" ref="F137:H137" si="0">F136/E136-1</f>
        <v>8.9475512330670304E-2</v>
      </c>
      <c r="G137" s="11">
        <f t="shared" si="0"/>
        <v>0.13247890497141279</v>
      </c>
      <c r="H137" s="11">
        <f t="shared" si="0"/>
        <v>-7.5259937690026479E-3</v>
      </c>
      <c r="I137" s="11">
        <f>IF(I132="",0,
    IF($C$134="Perpetual",$C$133,
       IF($C$134="Custom",I136,
          IF($C$134="CAGR",(($H$137/$D$137)^(1/COUNTA($D$136:$H$136))-1),
             AVERAGE($D$137:$H$137)))))</f>
        <v>0.01</v>
      </c>
      <c r="J137" s="11">
        <f t="shared" ref="J137:R137" si="1">IF(J132="",0,
    IF($C$134="Perpetual",$C$133,
       IF($C$134="Custom",J136,
          IF($C$134="CAGR",(($H$137/$D$137)^(1/COUNTA($D$136:$H$136))-1),
             AVERAGE($D$137:$H$137)))))</f>
        <v>0.01</v>
      </c>
      <c r="K137" s="11">
        <f t="shared" si="1"/>
        <v>0.01</v>
      </c>
      <c r="L137" s="11">
        <f t="shared" si="1"/>
        <v>0.01</v>
      </c>
      <c r="M137" s="11">
        <f t="shared" si="1"/>
        <v>0.01</v>
      </c>
      <c r="N137" s="11">
        <f t="shared" si="1"/>
        <v>0</v>
      </c>
      <c r="O137" s="11">
        <f t="shared" si="1"/>
        <v>0</v>
      </c>
      <c r="P137" s="11">
        <f t="shared" si="1"/>
        <v>0</v>
      </c>
      <c r="Q137" s="11">
        <f t="shared" si="1"/>
        <v>0</v>
      </c>
      <c r="R137" s="11">
        <f t="shared" si="1"/>
        <v>0</v>
      </c>
    </row>
    <row r="138" spans="1:18" outlineLevel="1">
      <c r="B138" s="16" t="s">
        <v>14</v>
      </c>
      <c r="C138" s="235">
        <v>0.02</v>
      </c>
      <c r="I138" s="15">
        <f>IF(I132="",0,I137-$C138)</f>
        <v>-0.01</v>
      </c>
      <c r="J138" s="15">
        <f t="shared" ref="J138:R138" si="2">IF(J132="",0,J137-$C138)</f>
        <v>-0.01</v>
      </c>
      <c r="K138" s="15">
        <f t="shared" si="2"/>
        <v>-0.01</v>
      </c>
      <c r="L138" s="15">
        <f t="shared" si="2"/>
        <v>-0.01</v>
      </c>
      <c r="M138" s="15">
        <f t="shared" si="2"/>
        <v>-0.01</v>
      </c>
      <c r="N138" s="15">
        <f t="shared" si="2"/>
        <v>0</v>
      </c>
      <c r="O138" s="15">
        <f t="shared" si="2"/>
        <v>0</v>
      </c>
      <c r="P138" s="15">
        <f t="shared" si="2"/>
        <v>0</v>
      </c>
      <c r="Q138" s="15">
        <f t="shared" si="2"/>
        <v>0</v>
      </c>
      <c r="R138" s="15">
        <f t="shared" si="2"/>
        <v>0</v>
      </c>
    </row>
    <row r="139" spans="1:18" outlineLevel="1">
      <c r="B139" s="16" t="s">
        <v>16</v>
      </c>
      <c r="C139" s="235">
        <v>0.02</v>
      </c>
      <c r="I139" s="15">
        <f>IF(I132="",0,I137+$C139)</f>
        <v>0.03</v>
      </c>
      <c r="J139" s="15">
        <f t="shared" ref="J139:R139" si="3">IF(J132="",0,J137+$C139)</f>
        <v>0.03</v>
      </c>
      <c r="K139" s="15">
        <f t="shared" si="3"/>
        <v>0.03</v>
      </c>
      <c r="L139" s="15">
        <f t="shared" si="3"/>
        <v>0.03</v>
      </c>
      <c r="M139" s="15">
        <f t="shared" si="3"/>
        <v>0.03</v>
      </c>
      <c r="N139" s="15">
        <f t="shared" si="3"/>
        <v>0</v>
      </c>
      <c r="O139" s="15">
        <f t="shared" si="3"/>
        <v>0</v>
      </c>
      <c r="P139" s="15">
        <f t="shared" si="3"/>
        <v>0</v>
      </c>
      <c r="Q139" s="15">
        <f t="shared" si="3"/>
        <v>0</v>
      </c>
      <c r="R139" s="15">
        <f t="shared" si="3"/>
        <v>0</v>
      </c>
    </row>
    <row r="140" spans="1:18" outlineLevel="1"/>
    <row r="141" spans="1:18" outlineLevel="1"/>
    <row r="142" spans="1:18" outlineLevel="1">
      <c r="B142" s="14" t="str">
        <f>"Cost of "&amp;B136&amp;" ~ Cost of Goods Sold"</f>
        <v>Cost of Revenue ~ Cost of Goods Sold</v>
      </c>
      <c r="C142" s="10">
        <v>34956</v>
      </c>
      <c r="D142" s="10">
        <v>37383</v>
      </c>
      <c r="E142" s="10">
        <v>37801</v>
      </c>
      <c r="F142" s="10">
        <v>40523</v>
      </c>
      <c r="G142" s="10">
        <v>46614</v>
      </c>
      <c r="H142" s="10">
        <v>50250</v>
      </c>
    </row>
    <row r="143" spans="1:18" outlineLevel="1">
      <c r="B143" s="16" t="str">
        <f>"As a % of "&amp;$B$136</f>
        <v>As a % of Revenue</v>
      </c>
      <c r="D143" s="11">
        <f>IFERROR(D142/D$136,0)</f>
        <v>0.8815705695083127</v>
      </c>
      <c r="E143" s="11">
        <f>IFERROR(E142/E$136,0)</f>
        <v>0.87532708116244062</v>
      </c>
      <c r="F143" s="11">
        <f>IFERROR(F142/F$136,0)</f>
        <v>0.86129354502752453</v>
      </c>
      <c r="G143" s="11">
        <f>IFERROR(G142/G$136,0)</f>
        <v>0.87485454750197067</v>
      </c>
      <c r="H143" s="11">
        <f>IFERROR(H142/H$136,0)</f>
        <v>0.95024678050717648</v>
      </c>
      <c r="I143" s="15">
        <f>IF(I$132="",0,AVERAGE($D143:$H143))</f>
        <v>0.88865850474148489</v>
      </c>
      <c r="J143" s="15">
        <f t="shared" ref="J143:R143" si="4">IF(J$132="",0,AVERAGE($D143:$H143))</f>
        <v>0.88865850474148489</v>
      </c>
      <c r="K143" s="15">
        <f t="shared" si="4"/>
        <v>0.88865850474148489</v>
      </c>
      <c r="L143" s="15">
        <f t="shared" si="4"/>
        <v>0.88865850474148489</v>
      </c>
      <c r="M143" s="15">
        <f t="shared" si="4"/>
        <v>0.88865850474148489</v>
      </c>
      <c r="N143" s="15">
        <f t="shared" si="4"/>
        <v>0</v>
      </c>
      <c r="O143" s="15">
        <f t="shared" si="4"/>
        <v>0</v>
      </c>
      <c r="P143" s="15">
        <f t="shared" si="4"/>
        <v>0</v>
      </c>
      <c r="Q143" s="15">
        <f t="shared" si="4"/>
        <v>0</v>
      </c>
      <c r="R143" s="15">
        <f t="shared" si="4"/>
        <v>0</v>
      </c>
    </row>
    <row r="144" spans="1:18" outlineLevel="1"/>
    <row r="145" spans="2:18" outlineLevel="1"/>
    <row r="146" spans="2:18" outlineLevel="1">
      <c r="B146" s="45" t="s">
        <v>129</v>
      </c>
      <c r="D146" s="10"/>
      <c r="E146" s="10"/>
      <c r="F146" s="10"/>
      <c r="G146" s="10"/>
      <c r="H146" s="10"/>
    </row>
    <row r="147" spans="2:18" outlineLevel="1">
      <c r="B147" s="16" t="str">
        <f>"As a % of "&amp;$B$136</f>
        <v>As a % of Revenue</v>
      </c>
      <c r="D147" s="11">
        <f>IFERROR(D146/D$136,0)</f>
        <v>0</v>
      </c>
      <c r="E147" s="11">
        <f>IFERROR(E146/E$136,0)</f>
        <v>0</v>
      </c>
      <c r="F147" s="11">
        <f>IFERROR(F146/F$136,0)</f>
        <v>0</v>
      </c>
      <c r="G147" s="11">
        <f>IFERROR(G146/G$136,0)</f>
        <v>0</v>
      </c>
      <c r="H147" s="11">
        <f>IFERROR(H146/H$136,0)</f>
        <v>0</v>
      </c>
      <c r="I147" s="15">
        <f>IF(I$132="",0,AVERAGE($D147:$H147))</f>
        <v>0</v>
      </c>
      <c r="J147" s="15">
        <f t="shared" ref="J147:R147" si="5">IF(J$132="",0,AVERAGE($D147:$H147))</f>
        <v>0</v>
      </c>
      <c r="K147" s="15">
        <f t="shared" si="5"/>
        <v>0</v>
      </c>
      <c r="L147" s="15">
        <f t="shared" si="5"/>
        <v>0</v>
      </c>
      <c r="M147" s="15">
        <f t="shared" si="5"/>
        <v>0</v>
      </c>
      <c r="N147" s="15">
        <f t="shared" si="5"/>
        <v>0</v>
      </c>
      <c r="O147" s="15">
        <f t="shared" si="5"/>
        <v>0</v>
      </c>
      <c r="P147" s="15">
        <f t="shared" si="5"/>
        <v>0</v>
      </c>
      <c r="Q147" s="15">
        <f t="shared" si="5"/>
        <v>0</v>
      </c>
      <c r="R147" s="15">
        <f t="shared" si="5"/>
        <v>0</v>
      </c>
    </row>
    <row r="148" spans="2:18" outlineLevel="1"/>
    <row r="149" spans="2:18" outlineLevel="1"/>
    <row r="150" spans="2:18" outlineLevel="1">
      <c r="B150" s="45" t="s">
        <v>130</v>
      </c>
      <c r="D150" s="10">
        <v>1959</v>
      </c>
      <c r="E150" s="10">
        <v>2481</v>
      </c>
      <c r="F150" s="10">
        <v>2278</v>
      </c>
      <c r="G150" s="10">
        <v>2306</v>
      </c>
      <c r="H150" s="10">
        <v>1737</v>
      </c>
    </row>
    <row r="151" spans="2:18" outlineLevel="1">
      <c r="B151" s="16" t="str">
        <f>"As a % of "&amp;$B$136</f>
        <v>As a % of Revenue</v>
      </c>
      <c r="D151" s="11">
        <f>IFERROR(D150/D$136,0)</f>
        <v>4.6197382384152809E-2</v>
      </c>
      <c r="E151" s="11">
        <f>IFERROR(E150/E$136,0)</f>
        <v>5.7450503647099686E-2</v>
      </c>
      <c r="F151" s="11">
        <f>IFERROR(F150/F$136,0)</f>
        <v>4.8417607175497888E-2</v>
      </c>
      <c r="G151" s="11">
        <f>IFERROR(G150/G$136,0)</f>
        <v>4.3279156187830785E-2</v>
      </c>
      <c r="H151" s="11">
        <f>IFERROR(H150/H$136,0)</f>
        <v>3.2847336472457023E-2</v>
      </c>
      <c r="I151" s="15">
        <f>IF(I$132="",0,AVERAGE($D151:$H151))</f>
        <v>4.563839717340764E-2</v>
      </c>
      <c r="J151" s="15">
        <f t="shared" ref="J151:R151" si="6">IF(J$132="",0,AVERAGE($D151:$H151))</f>
        <v>4.563839717340764E-2</v>
      </c>
      <c r="K151" s="15">
        <f t="shared" si="6"/>
        <v>4.563839717340764E-2</v>
      </c>
      <c r="L151" s="15">
        <f t="shared" si="6"/>
        <v>4.563839717340764E-2</v>
      </c>
      <c r="M151" s="15">
        <f t="shared" si="6"/>
        <v>4.563839717340764E-2</v>
      </c>
      <c r="N151" s="15">
        <f t="shared" si="6"/>
        <v>0</v>
      </c>
      <c r="O151" s="15">
        <f t="shared" si="6"/>
        <v>0</v>
      </c>
      <c r="P151" s="15">
        <f t="shared" si="6"/>
        <v>0</v>
      </c>
      <c r="Q151" s="15">
        <f t="shared" si="6"/>
        <v>0</v>
      </c>
      <c r="R151" s="15">
        <f t="shared" si="6"/>
        <v>0</v>
      </c>
    </row>
    <row r="152" spans="2:18" outlineLevel="1"/>
    <row r="153" spans="2:18" outlineLevel="1"/>
    <row r="154" spans="2:18" outlineLevel="1">
      <c r="B154" s="45" t="s">
        <v>131</v>
      </c>
      <c r="D154" s="21">
        <f t="shared" ref="D154:I154" si="7">D155+D168</f>
        <v>632</v>
      </c>
      <c r="E154" s="21">
        <f t="shared" si="7"/>
        <v>239</v>
      </c>
      <c r="F154" s="21">
        <f t="shared" si="7"/>
        <v>207</v>
      </c>
      <c r="G154" s="21">
        <f t="shared" si="7"/>
        <v>213</v>
      </c>
      <c r="H154" s="21">
        <f t="shared" si="7"/>
        <v>1572</v>
      </c>
      <c r="I154" s="19">
        <f t="shared" si="7"/>
        <v>360.42260646850559</v>
      </c>
      <c r="J154" s="19">
        <f t="shared" ref="J154:R154" si="8">J155+J168</f>
        <v>344.03891949235663</v>
      </c>
      <c r="K154" s="19">
        <f t="shared" si="8"/>
        <v>344.85410937876492</v>
      </c>
      <c r="L154" s="19">
        <f t="shared" si="8"/>
        <v>356.81710883998028</v>
      </c>
      <c r="M154" s="19">
        <f t="shared" si="8"/>
        <v>363.51132931196463</v>
      </c>
      <c r="N154" s="19">
        <f t="shared" si="8"/>
        <v>0</v>
      </c>
      <c r="O154" s="19">
        <f t="shared" si="8"/>
        <v>0</v>
      </c>
      <c r="P154" s="19">
        <f t="shared" si="8"/>
        <v>0</v>
      </c>
      <c r="Q154" s="19">
        <f t="shared" si="8"/>
        <v>0</v>
      </c>
      <c r="R154" s="19">
        <f t="shared" si="8"/>
        <v>0</v>
      </c>
    </row>
    <row r="155" spans="2:18" outlineLevel="1">
      <c r="B155" s="16" t="str">
        <f>B154</f>
        <v>Non-Operating (Income) Loss</v>
      </c>
      <c r="D155" s="10">
        <v>443</v>
      </c>
      <c r="E155" s="10">
        <v>344</v>
      </c>
      <c r="F155" s="10">
        <v>355</v>
      </c>
      <c r="G155" s="10">
        <v>261</v>
      </c>
      <c r="H155" s="10">
        <v>283</v>
      </c>
      <c r="I155" s="19">
        <f>+I156+I166</f>
        <v>360.42260646850559</v>
      </c>
      <c r="J155" s="19">
        <f t="shared" ref="J155:R155" si="9">+J156+J166</f>
        <v>344.03891949235663</v>
      </c>
      <c r="K155" s="19">
        <f t="shared" si="9"/>
        <v>344.85410937876492</v>
      </c>
      <c r="L155" s="19">
        <f t="shared" si="9"/>
        <v>356.81710883998028</v>
      </c>
      <c r="M155" s="19">
        <f t="shared" si="9"/>
        <v>363.51132931196463</v>
      </c>
      <c r="N155" s="19">
        <f t="shared" si="9"/>
        <v>0</v>
      </c>
      <c r="O155" s="19">
        <f t="shared" si="9"/>
        <v>0</v>
      </c>
      <c r="P155" s="19">
        <f t="shared" si="9"/>
        <v>0</v>
      </c>
      <c r="Q155" s="19">
        <f t="shared" si="9"/>
        <v>0</v>
      </c>
      <c r="R155" s="19">
        <f t="shared" si="9"/>
        <v>0</v>
      </c>
    </row>
    <row r="156" spans="2:18" outlineLevel="1">
      <c r="B156" s="17" t="s">
        <v>132</v>
      </c>
      <c r="D156" s="19">
        <f>D157-D163</f>
        <v>451</v>
      </c>
      <c r="E156" s="19">
        <f t="shared" ref="E156:R156" si="10">E157-E163</f>
        <v>475</v>
      </c>
      <c r="F156" s="19">
        <f t="shared" si="10"/>
        <v>420</v>
      </c>
      <c r="G156" s="19">
        <f t="shared" si="10"/>
        <v>348</v>
      </c>
      <c r="H156" s="19">
        <f t="shared" si="10"/>
        <v>325</v>
      </c>
      <c r="I156" s="19">
        <f t="shared" si="10"/>
        <v>360.42260646850559</v>
      </c>
      <c r="J156" s="19">
        <f t="shared" si="10"/>
        <v>344.03891949235663</v>
      </c>
      <c r="K156" s="19">
        <f t="shared" si="10"/>
        <v>344.85410937876492</v>
      </c>
      <c r="L156" s="19">
        <f t="shared" si="10"/>
        <v>356.81710883998028</v>
      </c>
      <c r="M156" s="19">
        <f t="shared" si="10"/>
        <v>363.51132931196463</v>
      </c>
      <c r="N156" s="19">
        <f t="shared" si="10"/>
        <v>0</v>
      </c>
      <c r="O156" s="19">
        <f t="shared" si="10"/>
        <v>0</v>
      </c>
      <c r="P156" s="19">
        <f t="shared" si="10"/>
        <v>0</v>
      </c>
      <c r="Q156" s="19">
        <f t="shared" si="10"/>
        <v>0</v>
      </c>
      <c r="R156" s="19">
        <f t="shared" si="10"/>
        <v>0</v>
      </c>
    </row>
    <row r="157" spans="2:18" outlineLevel="1">
      <c r="B157" s="29" t="s">
        <v>133</v>
      </c>
      <c r="D157" s="10">
        <v>462</v>
      </c>
      <c r="E157" s="10">
        <v>485</v>
      </c>
      <c r="F157" s="10">
        <v>428</v>
      </c>
      <c r="G157" s="10">
        <v>365</v>
      </c>
      <c r="H157" s="10">
        <v>355</v>
      </c>
      <c r="I157" s="19">
        <f>IF(I$132="",0,I158*SUM(I160,I162))</f>
        <v>360.42260646850559</v>
      </c>
      <c r="J157" s="19">
        <f t="shared" ref="J157:R157" si="11">IF(J$132="",0,J158*SUM(J160,J162))</f>
        <v>344.03891949235663</v>
      </c>
      <c r="K157" s="19">
        <f t="shared" si="11"/>
        <v>344.85410937876492</v>
      </c>
      <c r="L157" s="19">
        <f t="shared" si="11"/>
        <v>356.81710883998028</v>
      </c>
      <c r="M157" s="19">
        <f t="shared" si="11"/>
        <v>363.51132931196463</v>
      </c>
      <c r="N157" s="19">
        <f t="shared" si="11"/>
        <v>0</v>
      </c>
      <c r="O157" s="19">
        <f t="shared" si="11"/>
        <v>0</v>
      </c>
      <c r="P157" s="19">
        <f t="shared" si="11"/>
        <v>0</v>
      </c>
      <c r="Q157" s="19">
        <f t="shared" si="11"/>
        <v>0</v>
      </c>
      <c r="R157" s="19">
        <f t="shared" si="11"/>
        <v>0</v>
      </c>
    </row>
    <row r="158" spans="2:18" outlineLevel="1">
      <c r="B158" s="219" t="s">
        <v>134</v>
      </c>
      <c r="C158" s="225" t="s">
        <v>127</v>
      </c>
      <c r="D158" s="228">
        <f>D157/SUM(D160,D162)</f>
        <v>3.8719409989943013E-2</v>
      </c>
      <c r="E158" s="228">
        <f t="shared" ref="E158:H158" si="12">E157/SUM(E160,E162)</f>
        <v>4.086619480957196E-2</v>
      </c>
      <c r="F158" s="228">
        <f t="shared" si="12"/>
        <v>4.3359335427008407E-2</v>
      </c>
      <c r="G158" s="228">
        <f t="shared" si="12"/>
        <v>4.1401996370235936E-2</v>
      </c>
      <c r="H158" s="228">
        <f t="shared" si="12"/>
        <v>3.537618335824614E-2</v>
      </c>
      <c r="I158" s="15">
        <f>IF(I$132="",0,AVERAGE($D158:$H158))</f>
        <v>3.9944623991001085E-2</v>
      </c>
      <c r="J158" s="15">
        <f t="shared" ref="J158:R158" si="13">IF(J$132="",0,AVERAGE($D158:$H158))</f>
        <v>3.9944623991001085E-2</v>
      </c>
      <c r="K158" s="15">
        <f t="shared" si="13"/>
        <v>3.9944623991001085E-2</v>
      </c>
      <c r="L158" s="15">
        <f t="shared" si="13"/>
        <v>3.9944623991001085E-2</v>
      </c>
      <c r="M158" s="15">
        <f t="shared" si="13"/>
        <v>3.9944623991001085E-2</v>
      </c>
      <c r="N158" s="15">
        <f t="shared" si="13"/>
        <v>0</v>
      </c>
      <c r="O158" s="15">
        <f t="shared" si="13"/>
        <v>0</v>
      </c>
      <c r="P158" s="15">
        <f t="shared" si="13"/>
        <v>0</v>
      </c>
      <c r="Q158" s="15">
        <f t="shared" si="13"/>
        <v>0</v>
      </c>
      <c r="R158" s="15">
        <f t="shared" si="13"/>
        <v>0</v>
      </c>
    </row>
    <row r="159" spans="2:18" outlineLevel="1">
      <c r="B159" s="219" t="s">
        <v>135</v>
      </c>
      <c r="C159" s="222">
        <v>0.08</v>
      </c>
      <c r="D159" s="63" t="s">
        <v>78</v>
      </c>
      <c r="E159" s="63" t="s">
        <v>127</v>
      </c>
      <c r="F159" s="81"/>
      <c r="G159" s="81"/>
      <c r="H159" s="81"/>
    </row>
    <row r="160" spans="2:18" outlineLevel="1">
      <c r="B160" s="220" t="str">
        <f>B308</f>
        <v>Short-Term Debt</v>
      </c>
      <c r="C160" s="223"/>
      <c r="D160" s="221">
        <f>D308</f>
        <v>2102</v>
      </c>
      <c r="E160" s="221">
        <f t="shared" ref="E160:H160" si="14">E308</f>
        <v>709</v>
      </c>
      <c r="F160" s="221">
        <f t="shared" si="14"/>
        <v>1222</v>
      </c>
      <c r="G160" s="221">
        <f t="shared" si="14"/>
        <v>604</v>
      </c>
      <c r="H160" s="221">
        <f t="shared" si="14"/>
        <v>2048</v>
      </c>
      <c r="I160" s="19">
        <f>IF(I$132="",0,(I162*I161)+'Cash Flows'!H23)</f>
        <v>1036.056683415103</v>
      </c>
      <c r="J160" s="19">
        <f>IF(J$132="",0,(J162*J161)+'Cash Flows'!I23)</f>
        <v>625.89668341510287</v>
      </c>
      <c r="K160" s="19">
        <f>IF(K$132="",0,(K162*K161)+'Cash Flows'!J23)</f>
        <v>646.30468341510289</v>
      </c>
      <c r="L160" s="19">
        <f>IF(L$132="",0,(L162*L161)+'Cash Flows'!K23)</f>
        <v>945.79428341510288</v>
      </c>
      <c r="M160" s="19">
        <f>IF(M$132="",0,(M162*M161)+'Cash Flows'!L23)</f>
        <v>1113.3818034151029</v>
      </c>
      <c r="N160" s="19">
        <f>IF(N$132="",0,(N162*N161)+'Cash Flows'!M23)</f>
        <v>0</v>
      </c>
      <c r="O160" s="19">
        <f>IF(O$132="",0,(O162*O161)+'Cash Flows'!N23)</f>
        <v>0</v>
      </c>
      <c r="P160" s="19">
        <f>IF(P$132="",0,(P162*P161)+'Cash Flows'!O23)</f>
        <v>0</v>
      </c>
      <c r="Q160" s="19">
        <f>IF(Q$132="",0,(Q162*Q161)+'Cash Flows'!P23)</f>
        <v>0</v>
      </c>
      <c r="R160" s="19">
        <f>IF(R$132="",0,(R162*R161)+'Cash Flows'!Q23)</f>
        <v>0</v>
      </c>
    </row>
    <row r="161" spans="2:18" outlineLevel="1">
      <c r="B161" s="220" t="s">
        <v>136</v>
      </c>
      <c r="C161" s="223"/>
      <c r="D161" s="228">
        <f>D160/D162</f>
        <v>0.21383519837232962</v>
      </c>
      <c r="E161" s="228">
        <f t="shared" ref="E161:H161" si="15">E160/E162</f>
        <v>6.3536159154046062E-2</v>
      </c>
      <c r="F161" s="228">
        <f t="shared" si="15"/>
        <v>0.14128801017458667</v>
      </c>
      <c r="G161" s="228">
        <f t="shared" si="15"/>
        <v>7.3550901120311735E-2</v>
      </c>
      <c r="H161" s="228">
        <f t="shared" si="15"/>
        <v>0.25641667710028798</v>
      </c>
      <c r="I161" s="15">
        <f>IF(I$132="",0,AVERAGE($D161:$H161))</f>
        <v>0.14972538918431239</v>
      </c>
      <c r="J161" s="15">
        <f t="shared" ref="J161:R161" si="16">IF(J$132="",0,AVERAGE($D161:$H161))</f>
        <v>0.14972538918431239</v>
      </c>
      <c r="K161" s="15">
        <f t="shared" si="16"/>
        <v>0.14972538918431239</v>
      </c>
      <c r="L161" s="15">
        <f t="shared" si="16"/>
        <v>0.14972538918431239</v>
      </c>
      <c r="M161" s="15">
        <f t="shared" si="16"/>
        <v>0.14972538918431239</v>
      </c>
      <c r="N161" s="15">
        <f t="shared" si="16"/>
        <v>0</v>
      </c>
      <c r="O161" s="15">
        <f t="shared" si="16"/>
        <v>0</v>
      </c>
      <c r="P161" s="15">
        <f t="shared" si="16"/>
        <v>0</v>
      </c>
      <c r="Q161" s="15">
        <f t="shared" si="16"/>
        <v>0</v>
      </c>
      <c r="R161" s="15">
        <f t="shared" si="16"/>
        <v>0</v>
      </c>
    </row>
    <row r="162" spans="2:18" outlineLevel="1">
      <c r="B162" s="220" t="str">
        <f>B314</f>
        <v>Long-Term Debt</v>
      </c>
      <c r="C162" s="223"/>
      <c r="D162" s="221">
        <f>D314</f>
        <v>9830</v>
      </c>
      <c r="E162" s="221">
        <f t="shared" ref="E162:H162" si="17">E314</f>
        <v>11159</v>
      </c>
      <c r="F162" s="221">
        <f t="shared" si="17"/>
        <v>8649</v>
      </c>
      <c r="G162" s="221">
        <f t="shared" si="17"/>
        <v>8212</v>
      </c>
      <c r="H162" s="221">
        <f t="shared" si="17"/>
        <v>7987</v>
      </c>
      <c r="I162" s="49">
        <f>IF(I$132="",0,H162)</f>
        <v>7987</v>
      </c>
      <c r="J162" s="49">
        <f t="shared" ref="J162:R162" si="18">IF(J$132="",0,I162)</f>
        <v>7987</v>
      </c>
      <c r="K162" s="49">
        <f t="shared" si="18"/>
        <v>7987</v>
      </c>
      <c r="L162" s="49">
        <f t="shared" si="18"/>
        <v>7987</v>
      </c>
      <c r="M162" s="49">
        <f t="shared" si="18"/>
        <v>7987</v>
      </c>
      <c r="N162" s="49">
        <f t="shared" si="18"/>
        <v>0</v>
      </c>
      <c r="O162" s="49">
        <f t="shared" si="18"/>
        <v>0</v>
      </c>
      <c r="P162" s="49">
        <f t="shared" si="18"/>
        <v>0</v>
      </c>
      <c r="Q162" s="49">
        <f t="shared" si="18"/>
        <v>0</v>
      </c>
      <c r="R162" s="49">
        <f t="shared" si="18"/>
        <v>0</v>
      </c>
    </row>
    <row r="163" spans="2:18" outlineLevel="1">
      <c r="B163" s="29" t="s">
        <v>137</v>
      </c>
      <c r="C163" s="224"/>
      <c r="D163" s="20">
        <v>11</v>
      </c>
      <c r="E163" s="20">
        <v>10</v>
      </c>
      <c r="F163" s="20">
        <v>8</v>
      </c>
      <c r="G163" s="20">
        <v>17</v>
      </c>
      <c r="H163" s="20">
        <v>30</v>
      </c>
    </row>
    <row r="164" spans="2:18" outlineLevel="1">
      <c r="B164" s="219" t="s">
        <v>138</v>
      </c>
      <c r="C164" s="226" t="str">
        <f>C158</f>
        <v>5 Year Average</v>
      </c>
      <c r="D164" s="227">
        <f>IFERROR(D163/D265,0)</f>
        <v>3.4700315457413249E-2</v>
      </c>
      <c r="E164" s="227">
        <f>IFERROR(E163/E265,0)</f>
        <v>6.7567567567567571E-2</v>
      </c>
      <c r="F164" s="227">
        <f>IFERROR(F163/F265,0)</f>
        <v>3.5906642728904849E-3</v>
      </c>
      <c r="G164" s="227">
        <f>IFERROR(G163/G265,0)</f>
        <v>0.10625</v>
      </c>
      <c r="H164" s="227">
        <f>IFERROR(H163/H265,0)</f>
        <v>-2.1428571428571428</v>
      </c>
      <c r="I164" s="15">
        <f>IF(I$132="",0,AVERAGE($D164:$H164))</f>
        <v>-0.38614971911185431</v>
      </c>
      <c r="J164" s="15">
        <f t="shared" ref="J164:R164" si="19">IF(J$132="",0,AVERAGE($D164:$H164))</f>
        <v>-0.38614971911185431</v>
      </c>
      <c r="K164" s="15">
        <f t="shared" si="19"/>
        <v>-0.38614971911185431</v>
      </c>
      <c r="L164" s="15">
        <f t="shared" si="19"/>
        <v>-0.38614971911185431</v>
      </c>
      <c r="M164" s="15">
        <f t="shared" si="19"/>
        <v>-0.38614971911185431</v>
      </c>
      <c r="N164" s="15">
        <f t="shared" si="19"/>
        <v>0</v>
      </c>
      <c r="O164" s="15">
        <f t="shared" si="19"/>
        <v>0</v>
      </c>
      <c r="P164" s="15">
        <f t="shared" si="19"/>
        <v>0</v>
      </c>
      <c r="Q164" s="15">
        <f t="shared" si="19"/>
        <v>0</v>
      </c>
      <c r="R164" s="15">
        <f t="shared" si="19"/>
        <v>0</v>
      </c>
    </row>
    <row r="165" spans="2:18" outlineLevel="1">
      <c r="B165" s="219" t="s">
        <v>135</v>
      </c>
      <c r="C165" s="222">
        <v>0.03</v>
      </c>
      <c r="D165" s="63"/>
      <c r="E165" s="63"/>
      <c r="F165" s="218"/>
      <c r="G165" s="218"/>
      <c r="H165" s="218"/>
    </row>
    <row r="166" spans="2:18" outlineLevel="1">
      <c r="B166" s="17" t="str">
        <f>"Other "&amp;B154</f>
        <v>Other Non-Operating (Income) Loss</v>
      </c>
      <c r="D166" s="21">
        <f>D155-D156</f>
        <v>-8</v>
      </c>
      <c r="E166" s="21">
        <f>E155-E156</f>
        <v>-131</v>
      </c>
      <c r="F166" s="21">
        <f>F155-F156</f>
        <v>-65</v>
      </c>
      <c r="G166" s="21">
        <f>G155-G156</f>
        <v>-87</v>
      </c>
      <c r="H166" s="21">
        <f>H155-H156</f>
        <v>-42</v>
      </c>
    </row>
    <row r="167" spans="2:18" outlineLevel="1">
      <c r="B167" s="17" t="str">
        <f>"As a % of "&amp;$B$136</f>
        <v>As a % of Revenue</v>
      </c>
      <c r="D167" s="11">
        <f>IFERROR(D166/D$136,0)</f>
        <v>-1.8865699799551939E-4</v>
      </c>
      <c r="E167" s="11">
        <f>IFERROR(E166/E$136,0)</f>
        <v>-3.0334606923700358E-3</v>
      </c>
      <c r="F167" s="11">
        <f>IFERROR(F166/F$136,0)</f>
        <v>-1.3815383961401943E-3</v>
      </c>
      <c r="G167" s="11">
        <f>IFERROR(G166/G$136,0)</f>
        <v>-1.6328215907811269E-3</v>
      </c>
      <c r="H167" s="11">
        <f>IFERROR(H166/H$136,0)</f>
        <v>-7.9423611505077439E-4</v>
      </c>
      <c r="I167" s="15">
        <f>IF(I$132="",0,AVERAGE($D167:$H167))</f>
        <v>-1.4061427584675303E-3</v>
      </c>
      <c r="J167" s="15">
        <f t="shared" ref="J167:R167" si="20">IF(J$132="",0,AVERAGE($D167:$H167))</f>
        <v>-1.4061427584675303E-3</v>
      </c>
      <c r="K167" s="15">
        <f t="shared" si="20"/>
        <v>-1.4061427584675303E-3</v>
      </c>
      <c r="L167" s="15">
        <f t="shared" si="20"/>
        <v>-1.4061427584675303E-3</v>
      </c>
      <c r="M167" s="15">
        <f t="shared" si="20"/>
        <v>-1.4061427584675303E-3</v>
      </c>
      <c r="N167" s="15">
        <f t="shared" si="20"/>
        <v>0</v>
      </c>
      <c r="O167" s="15">
        <f t="shared" si="20"/>
        <v>0</v>
      </c>
      <c r="P167" s="15">
        <f t="shared" si="20"/>
        <v>0</v>
      </c>
      <c r="Q167" s="15">
        <f t="shared" si="20"/>
        <v>0</v>
      </c>
      <c r="R167" s="15">
        <f t="shared" si="20"/>
        <v>0</v>
      </c>
    </row>
    <row r="168" spans="2:18" outlineLevel="1">
      <c r="B168" s="16" t="s">
        <v>139</v>
      </c>
      <c r="D168" s="10">
        <v>189</v>
      </c>
      <c r="E168" s="10">
        <v>-105</v>
      </c>
      <c r="F168" s="10">
        <v>-148</v>
      </c>
      <c r="G168" s="10">
        <v>-48</v>
      </c>
      <c r="H168" s="10">
        <v>1289</v>
      </c>
    </row>
    <row r="169" spans="2:18" outlineLevel="1">
      <c r="B169" s="16" t="str">
        <f>"As a % of "&amp;$B$136</f>
        <v>As a % of Revenue</v>
      </c>
      <c r="D169" s="11">
        <f>IFERROR(D168/D$136,0)</f>
        <v>4.4570215776441454E-3</v>
      </c>
      <c r="E169" s="11">
        <f>IFERROR(E168/E$136,0)</f>
        <v>-2.4313997915943034E-3</v>
      </c>
      <c r="F169" s="11">
        <f>IFERROR(F168/F$136,0)</f>
        <v>-3.1456566558269038E-3</v>
      </c>
      <c r="G169" s="11">
        <f>IFERROR(G168/G$136,0)</f>
        <v>-9.0086708456889753E-4</v>
      </c>
      <c r="H169" s="11">
        <f>IFERROR(H168/H$136,0)</f>
        <v>2.4375484578582098E-2</v>
      </c>
      <c r="I169" s="15">
        <f>IF(I$132="",0,AVERAGE($D169:$H169))</f>
        <v>4.4709165248472283E-3</v>
      </c>
      <c r="J169" s="15">
        <f t="shared" ref="J169:R169" si="21">IF(J$132="",0,AVERAGE($D169:$H169))</f>
        <v>4.4709165248472283E-3</v>
      </c>
      <c r="K169" s="15">
        <f t="shared" si="21"/>
        <v>4.4709165248472283E-3</v>
      </c>
      <c r="L169" s="15">
        <f t="shared" si="21"/>
        <v>4.4709165248472283E-3</v>
      </c>
      <c r="M169" s="15">
        <f t="shared" si="21"/>
        <v>4.4709165248472283E-3</v>
      </c>
      <c r="N169" s="15">
        <f t="shared" si="21"/>
        <v>0</v>
      </c>
      <c r="O169" s="15">
        <f t="shared" si="21"/>
        <v>0</v>
      </c>
      <c r="P169" s="15">
        <f t="shared" si="21"/>
        <v>0</v>
      </c>
      <c r="Q169" s="15">
        <f t="shared" si="21"/>
        <v>0</v>
      </c>
      <c r="R169" s="15">
        <f t="shared" si="21"/>
        <v>0</v>
      </c>
    </row>
    <row r="170" spans="2:18" outlineLevel="1"/>
    <row r="171" spans="2:18" outlineLevel="1"/>
    <row r="172" spans="2:18" outlineLevel="1">
      <c r="B172" s="45" t="s">
        <v>140</v>
      </c>
      <c r="D172" s="10">
        <v>396</v>
      </c>
      <c r="E172" s="10">
        <v>593</v>
      </c>
      <c r="F172" s="10">
        <v>981</v>
      </c>
      <c r="G172" s="10">
        <v>900</v>
      </c>
      <c r="H172" s="10">
        <v>-29</v>
      </c>
    </row>
    <row r="173" spans="2:18" outlineLevel="1">
      <c r="B173" s="16" t="s">
        <v>141</v>
      </c>
      <c r="C173" s="91">
        <v>0.21</v>
      </c>
    </row>
    <row r="174" spans="2:18" outlineLevel="1">
      <c r="B174" s="16" t="s">
        <v>99</v>
      </c>
      <c r="D174" s="11">
        <f>IFERROR(D172/'Income Statement'!C28,0)</f>
        <v>0.16289592760180996</v>
      </c>
      <c r="E174" s="11">
        <f>IFERROR(E172/'Income Statement'!D28,0)</f>
        <v>0.22259759759759759</v>
      </c>
      <c r="F174" s="11">
        <f>IFERROR(F172/'Income Statement'!E28,0)</f>
        <v>0.24276169265033407</v>
      </c>
      <c r="G174" s="11">
        <f>IFERROR(G172/'Income Statement'!F28,0)</f>
        <v>0.21691973969631237</v>
      </c>
      <c r="H174" s="11">
        <f>IFERROR(H172/'Income Statement'!G28,0)</f>
        <v>4.2772861356932153E-2</v>
      </c>
      <c r="I174" s="15">
        <f>IF(I$132="",0,$C$173)</f>
        <v>0.21</v>
      </c>
      <c r="J174" s="15">
        <f t="shared" ref="J174:R174" si="22">IF(J$132="",0,$C$173)</f>
        <v>0.21</v>
      </c>
      <c r="K174" s="15">
        <f t="shared" si="22"/>
        <v>0.21</v>
      </c>
      <c r="L174" s="15">
        <f t="shared" si="22"/>
        <v>0.21</v>
      </c>
      <c r="M174" s="15">
        <f t="shared" si="22"/>
        <v>0.21</v>
      </c>
      <c r="N174" s="15">
        <f t="shared" si="22"/>
        <v>0</v>
      </c>
      <c r="O174" s="15">
        <f t="shared" si="22"/>
        <v>0</v>
      </c>
      <c r="P174" s="15">
        <f t="shared" si="22"/>
        <v>0</v>
      </c>
      <c r="Q174" s="15">
        <f t="shared" si="22"/>
        <v>0</v>
      </c>
      <c r="R174" s="15">
        <f t="shared" si="22"/>
        <v>0</v>
      </c>
    </row>
    <row r="175" spans="2:18" outlineLevel="1"/>
    <row r="176" spans="2:18" outlineLevel="1"/>
    <row r="177" spans="2:18" outlineLevel="1">
      <c r="B177" s="45" t="s">
        <v>142</v>
      </c>
      <c r="D177" s="19">
        <f>D179+D182+D183+D184</f>
        <v>13</v>
      </c>
      <c r="E177" s="19">
        <f t="shared" ref="E177:H177" si="23">E179+E182+E183+E184</f>
        <v>10</v>
      </c>
      <c r="F177" s="19">
        <f t="shared" si="23"/>
        <v>13</v>
      </c>
      <c r="G177" s="19">
        <f t="shared" si="23"/>
        <v>11</v>
      </c>
      <c r="H177" s="19">
        <f t="shared" si="23"/>
        <v>-1</v>
      </c>
    </row>
    <row r="178" spans="2:18" outlineLevel="1">
      <c r="B178" s="16" t="str">
        <f>"As a % of "&amp;$B$136</f>
        <v>As a % of Revenue</v>
      </c>
      <c r="D178" s="11">
        <f>IFERROR(D177/D$136,0)</f>
        <v>3.0656762174271904E-4</v>
      </c>
      <c r="E178" s="11">
        <f t="shared" ref="E178:H178" si="24">IFERROR(E177/E$136,0)</f>
        <v>2.3156188491374319E-4</v>
      </c>
      <c r="F178" s="11">
        <f t="shared" si="24"/>
        <v>2.7630767922803883E-4</v>
      </c>
      <c r="G178" s="11">
        <f t="shared" si="24"/>
        <v>2.0644870688037235E-4</v>
      </c>
      <c r="H178" s="11">
        <f t="shared" si="24"/>
        <v>-1.8910383691685104E-5</v>
      </c>
      <c r="I178" s="15">
        <f>IF(I$132="",0,AVERAGE($D178:$H178))</f>
        <v>2.0039510181463766E-4</v>
      </c>
      <c r="J178" s="15">
        <f t="shared" ref="J178:R178" si="25">IF(J$132="",0,AVERAGE($D178:$H178))</f>
        <v>2.0039510181463766E-4</v>
      </c>
      <c r="K178" s="15">
        <f t="shared" si="25"/>
        <v>2.0039510181463766E-4</v>
      </c>
      <c r="L178" s="15">
        <f t="shared" si="25"/>
        <v>2.0039510181463766E-4</v>
      </c>
      <c r="M178" s="15">
        <f t="shared" si="25"/>
        <v>2.0039510181463766E-4</v>
      </c>
      <c r="N178" s="15">
        <f t="shared" si="25"/>
        <v>0</v>
      </c>
      <c r="O178" s="15">
        <f t="shared" si="25"/>
        <v>0</v>
      </c>
      <c r="P178" s="15">
        <f t="shared" si="25"/>
        <v>0</v>
      </c>
      <c r="Q178" s="15">
        <f t="shared" si="25"/>
        <v>0</v>
      </c>
      <c r="R178" s="15">
        <f t="shared" si="25"/>
        <v>0</v>
      </c>
    </row>
    <row r="179" spans="2:18" outlineLevel="1">
      <c r="B179" s="17" t="s">
        <v>143</v>
      </c>
      <c r="D179" s="19">
        <f>D180+D181</f>
        <v>0</v>
      </c>
      <c r="E179" s="19">
        <f t="shared" ref="E179:H179" si="26">E180+E181</f>
        <v>0</v>
      </c>
      <c r="F179" s="19">
        <f t="shared" si="26"/>
        <v>0</v>
      </c>
      <c r="G179" s="19">
        <f t="shared" si="26"/>
        <v>0</v>
      </c>
      <c r="H179" s="19">
        <f t="shared" si="26"/>
        <v>0</v>
      </c>
    </row>
    <row r="180" spans="2:18" outlineLevel="1">
      <c r="B180" s="29" t="s">
        <v>144</v>
      </c>
      <c r="D180" s="20"/>
      <c r="E180" s="20"/>
      <c r="F180" s="20"/>
      <c r="G180" s="20"/>
      <c r="H180" s="20"/>
    </row>
    <row r="181" spans="2:18" outlineLevel="1">
      <c r="B181" s="29" t="s">
        <v>145</v>
      </c>
      <c r="D181" s="20"/>
      <c r="E181" s="20"/>
      <c r="F181" s="20"/>
      <c r="G181" s="20"/>
      <c r="H181" s="20"/>
    </row>
    <row r="182" spans="2:18" outlineLevel="1">
      <c r="B182" s="17" t="s">
        <v>146</v>
      </c>
      <c r="D182" s="20">
        <v>13</v>
      </c>
      <c r="E182" s="20">
        <v>10</v>
      </c>
      <c r="F182" s="20">
        <v>13</v>
      </c>
      <c r="G182" s="20">
        <v>11</v>
      </c>
      <c r="H182" s="20">
        <v>-1</v>
      </c>
    </row>
    <row r="183" spans="2:18" outlineLevel="1">
      <c r="B183" s="17" t="s">
        <v>147</v>
      </c>
      <c r="D183" s="20"/>
      <c r="E183" s="20"/>
      <c r="F183" s="20"/>
      <c r="G183" s="20"/>
      <c r="H183" s="20"/>
    </row>
    <row r="184" spans="2:18" outlineLevel="1">
      <c r="B184" s="17" t="s">
        <v>148</v>
      </c>
      <c r="D184" s="20"/>
      <c r="E184" s="20"/>
      <c r="F184" s="20"/>
      <c r="G184" s="20"/>
      <c r="H184" s="20"/>
    </row>
    <row r="185" spans="2:18" outlineLevel="1"/>
    <row r="186" spans="2:18" outlineLevel="1"/>
    <row r="187" spans="2:18" outlineLevel="1">
      <c r="B187" s="45" t="s">
        <v>149</v>
      </c>
      <c r="C187" s="13" t="s">
        <v>150</v>
      </c>
      <c r="D187" s="10">
        <v>1259</v>
      </c>
      <c r="E187" s="10">
        <v>1199</v>
      </c>
      <c r="F187" s="10">
        <v>1209</v>
      </c>
      <c r="G187" s="10">
        <v>1887</v>
      </c>
      <c r="H187" s="10">
        <v>1939</v>
      </c>
      <c r="I187" s="19"/>
      <c r="J187" s="19"/>
      <c r="K187" s="19"/>
      <c r="L187" s="19"/>
      <c r="M187" s="19"/>
      <c r="N187" s="19"/>
      <c r="O187" s="19"/>
      <c r="P187" s="19"/>
      <c r="Q187" s="19"/>
      <c r="R187" s="19"/>
    </row>
    <row r="188" spans="2:18" outlineLevel="1">
      <c r="B188" s="16" t="str">
        <f>"As a % of "&amp;$B$136</f>
        <v>As a % of Revenue</v>
      </c>
      <c r="D188" s="11">
        <f>IFERROR(D187/D$136,0)</f>
        <v>2.9689895059544866E-2</v>
      </c>
      <c r="E188" s="11">
        <f>IFERROR(E187/E$136,0)</f>
        <v>2.7764270001157811E-2</v>
      </c>
      <c r="F188" s="11">
        <f>IFERROR(F187/F$136,0)</f>
        <v>2.5696614168207614E-2</v>
      </c>
      <c r="G188" s="11">
        <f>IFERROR(G187/G$136,0)</f>
        <v>3.5415337262114786E-2</v>
      </c>
      <c r="H188" s="11">
        <f>IFERROR(H187/H$136,0)</f>
        <v>3.6667233978177415E-2</v>
      </c>
      <c r="I188" s="15">
        <f>IF(I$132="",0,AVERAGE($D188:$H188))</f>
        <v>3.10466700938405E-2</v>
      </c>
      <c r="J188" s="15">
        <f t="shared" ref="J188:R188" si="27">IF(J$132="",0,AVERAGE($D188:$H188))</f>
        <v>3.10466700938405E-2</v>
      </c>
      <c r="K188" s="15">
        <f t="shared" si="27"/>
        <v>3.10466700938405E-2</v>
      </c>
      <c r="L188" s="15">
        <f t="shared" si="27"/>
        <v>3.10466700938405E-2</v>
      </c>
      <c r="M188" s="15">
        <f t="shared" si="27"/>
        <v>3.10466700938405E-2</v>
      </c>
      <c r="N188" s="15">
        <f t="shared" si="27"/>
        <v>0</v>
      </c>
      <c r="O188" s="15">
        <f t="shared" si="27"/>
        <v>0</v>
      </c>
      <c r="P188" s="15">
        <f t="shared" si="27"/>
        <v>0</v>
      </c>
      <c r="Q188" s="15">
        <f t="shared" si="27"/>
        <v>0</v>
      </c>
      <c r="R188" s="15">
        <f t="shared" si="27"/>
        <v>0</v>
      </c>
    </row>
    <row r="189" spans="2:18" outlineLevel="1">
      <c r="B189" s="16"/>
      <c r="D189" s="13"/>
      <c r="E189" s="69"/>
      <c r="F189" s="69"/>
      <c r="G189" s="69"/>
      <c r="H189" s="69"/>
      <c r="I189" s="69"/>
      <c r="J189" s="69"/>
      <c r="K189" s="69"/>
      <c r="L189" s="69"/>
      <c r="M189" s="69"/>
      <c r="N189" s="69"/>
      <c r="O189" s="69"/>
      <c r="P189" s="69"/>
      <c r="Q189" s="69"/>
      <c r="R189" s="69"/>
    </row>
    <row r="190" spans="2:18" outlineLevel="1"/>
    <row r="191" spans="2:18" outlineLevel="1">
      <c r="B191" s="46" t="s">
        <v>151</v>
      </c>
      <c r="D191" s="10">
        <v>1098</v>
      </c>
      <c r="E191" s="10">
        <v>1192</v>
      </c>
      <c r="F191" s="10">
        <v>1214</v>
      </c>
      <c r="G191" s="10">
        <v>1202</v>
      </c>
      <c r="H191" s="10">
        <v>1339</v>
      </c>
      <c r="I191" s="19"/>
      <c r="J191" s="19"/>
      <c r="K191" s="19"/>
      <c r="L191" s="19"/>
      <c r="M191" s="19"/>
      <c r="N191" s="19"/>
      <c r="O191" s="19"/>
      <c r="P191" s="19"/>
      <c r="Q191" s="19"/>
      <c r="R191" s="19"/>
    </row>
    <row r="192" spans="2:18" outlineLevel="1">
      <c r="B192" s="16" t="str">
        <f>"As a % of "&amp;B187</f>
        <v>As a % of Capital Expenditures</v>
      </c>
      <c r="D192" s="11">
        <f>IFERROR(D191/D$187,0)</f>
        <v>0.87212073073868146</v>
      </c>
      <c r="E192" s="11">
        <f>IFERROR(E191/E$187,0)</f>
        <v>0.994161801501251</v>
      </c>
      <c r="F192" s="11">
        <f>IFERROR(F191/F$187,0)</f>
        <v>1.0041356492969395</v>
      </c>
      <c r="G192" s="11">
        <f>IFERROR(G191/G$187,0)</f>
        <v>0.63698993110757818</v>
      </c>
      <c r="H192" s="11">
        <f>IFERROR(H191/H$187,0)</f>
        <v>0.69056214543579164</v>
      </c>
      <c r="I192" s="15">
        <f>IF(I$132="",0,AVERAGE($D192:$H192))</f>
        <v>0.83959405161604828</v>
      </c>
      <c r="J192" s="15">
        <f t="shared" ref="J192:R192" si="28">IF(J$132="",0,AVERAGE($D192:$H192))</f>
        <v>0.83959405161604828</v>
      </c>
      <c r="K192" s="15">
        <f t="shared" si="28"/>
        <v>0.83959405161604828</v>
      </c>
      <c r="L192" s="15">
        <f t="shared" si="28"/>
        <v>0.83959405161604828</v>
      </c>
      <c r="M192" s="15">
        <f t="shared" si="28"/>
        <v>0.83959405161604828</v>
      </c>
      <c r="N192" s="15">
        <f t="shared" si="28"/>
        <v>0</v>
      </c>
      <c r="O192" s="15">
        <f t="shared" si="28"/>
        <v>0</v>
      </c>
      <c r="P192" s="15">
        <f t="shared" si="28"/>
        <v>0</v>
      </c>
      <c r="Q192" s="15">
        <f t="shared" si="28"/>
        <v>0</v>
      </c>
      <c r="R192" s="15">
        <f t="shared" si="28"/>
        <v>0</v>
      </c>
    </row>
    <row r="193" spans="1:18" outlineLevel="1"/>
    <row r="194" spans="1:18" outlineLevel="1">
      <c r="B194" s="17"/>
    </row>
    <row r="195" spans="1:18" outlineLevel="1">
      <c r="B195" s="46" t="s">
        <v>152</v>
      </c>
      <c r="D195" s="237"/>
      <c r="E195" s="237"/>
      <c r="F195" s="237"/>
      <c r="G195" s="237"/>
      <c r="H195" s="237"/>
    </row>
    <row r="196" spans="1:18" outlineLevel="1">
      <c r="B196" s="16" t="str">
        <f>"As a % of "&amp;$B$136</f>
        <v>As a % of Revenue</v>
      </c>
      <c r="D196" s="11">
        <f>IFERROR(D195/D$136,0)</f>
        <v>0</v>
      </c>
      <c r="E196" s="11">
        <f>IFERROR(E195/E$136,0)</f>
        <v>0</v>
      </c>
      <c r="F196" s="11">
        <f>IFERROR(F195/F$136,0)</f>
        <v>0</v>
      </c>
      <c r="G196" s="11">
        <f>IFERROR(G195/G$136,0)</f>
        <v>0</v>
      </c>
      <c r="H196" s="11">
        <f>IFERROR(H195/H$136,0)</f>
        <v>0</v>
      </c>
      <c r="I196" s="15">
        <f>IF(I$132="",0,AVERAGE($D196:$H196))</f>
        <v>0</v>
      </c>
      <c r="J196" s="15">
        <f t="shared" ref="J196:R196" si="29">IF(J$132="",0,AVERAGE($D196:$H196))</f>
        <v>0</v>
      </c>
      <c r="K196" s="15">
        <f t="shared" si="29"/>
        <v>0</v>
      </c>
      <c r="L196" s="15">
        <f t="shared" si="29"/>
        <v>0</v>
      </c>
      <c r="M196" s="15">
        <f t="shared" si="29"/>
        <v>0</v>
      </c>
      <c r="N196" s="15">
        <f t="shared" si="29"/>
        <v>0</v>
      </c>
      <c r="O196" s="15">
        <f t="shared" si="29"/>
        <v>0</v>
      </c>
      <c r="P196" s="15">
        <f t="shared" si="29"/>
        <v>0</v>
      </c>
      <c r="Q196" s="15">
        <f t="shared" si="29"/>
        <v>0</v>
      </c>
      <c r="R196" s="15">
        <f t="shared" si="29"/>
        <v>0</v>
      </c>
    </row>
    <row r="197" spans="1:18" outlineLevel="1"/>
    <row r="198" spans="1:18" outlineLevel="1"/>
    <row r="199" spans="1:18" outlineLevel="1"/>
    <row r="200" spans="1:18" outlineLevel="1"/>
    <row r="201" spans="1:18" outlineLevel="1"/>
    <row r="202" spans="1:18" outlineLevel="1"/>
    <row r="204" spans="1:18">
      <c r="A204" s="112" t="s">
        <v>153</v>
      </c>
      <c r="B204" s="42" t="s">
        <v>154</v>
      </c>
      <c r="C204" s="47"/>
      <c r="D204" s="41"/>
      <c r="E204" s="41"/>
      <c r="F204" s="41"/>
      <c r="G204" s="41"/>
      <c r="H204" s="41"/>
      <c r="I204" s="41"/>
      <c r="J204" s="41"/>
      <c r="K204" s="41"/>
      <c r="L204" s="41"/>
      <c r="M204" s="41"/>
      <c r="N204" s="41"/>
      <c r="O204" s="41"/>
      <c r="P204" s="41"/>
      <c r="Q204" s="41"/>
      <c r="R204" s="41"/>
    </row>
    <row r="205" spans="1:18">
      <c r="A205" s="113"/>
      <c r="B205" s="22" t="str">
        <f>"Year Ending "&amp;TEXT($C$37,"mmmm d")&amp;", "&amp;$B$39&amp;" "&amp;$C$39</f>
        <v>Year Ending 09/31/2024, In USD  Millions</v>
      </c>
      <c r="C205" s="31"/>
      <c r="D205" s="22" cm="1">
        <f t="array" ref="D205:M205">_xlfn.SEQUENCE(1,5+$C$20,(YEAR($C$19)-5))</f>
        <v>2019</v>
      </c>
      <c r="E205" s="22">
        <v>2020</v>
      </c>
      <c r="F205" s="22">
        <v>2021</v>
      </c>
      <c r="G205" s="22">
        <v>2022</v>
      </c>
      <c r="H205" s="22">
        <v>2023</v>
      </c>
      <c r="I205" s="23">
        <v>2024</v>
      </c>
      <c r="J205" s="23">
        <v>2025</v>
      </c>
      <c r="K205" s="23">
        <v>2026</v>
      </c>
      <c r="L205" s="23">
        <v>2027</v>
      </c>
      <c r="M205" s="23">
        <v>2028</v>
      </c>
      <c r="N205" s="23"/>
      <c r="O205" s="23"/>
      <c r="P205" s="23"/>
      <c r="Q205" s="23"/>
      <c r="R205" s="23"/>
    </row>
    <row r="206" spans="1:18" outlineLevel="1">
      <c r="B206" s="51" t="s">
        <v>155</v>
      </c>
      <c r="D206" s="32">
        <f>SUM(D207,D209:D210)</f>
        <v>70</v>
      </c>
      <c r="E206" s="32">
        <f>SUM(E207,E209:E210)</f>
        <v>-66</v>
      </c>
      <c r="F206" s="32">
        <f>SUM(F207,F209:F210)</f>
        <v>-768</v>
      </c>
      <c r="G206" s="32">
        <f>SUM(G207,G209:G210)</f>
        <v>-6</v>
      </c>
      <c r="H206" s="32">
        <f>SUM(H207,H209:H210)</f>
        <v>996</v>
      </c>
    </row>
    <row r="207" spans="1:18" outlineLevel="1">
      <c r="B207" s="17" t="s">
        <v>156</v>
      </c>
      <c r="D207" s="20">
        <v>0</v>
      </c>
      <c r="E207" s="20">
        <v>0</v>
      </c>
      <c r="F207" s="20">
        <v>0</v>
      </c>
      <c r="G207" s="20">
        <v>0</v>
      </c>
      <c r="H207" s="20">
        <v>0</v>
      </c>
    </row>
    <row r="208" spans="1:18" outlineLevel="1">
      <c r="B208" s="17" t="str">
        <f>"As a % of "&amp;$B$136</f>
        <v>As a % of Revenue</v>
      </c>
      <c r="D208" s="11">
        <f>IFERROR(D207/D$136,0)</f>
        <v>0</v>
      </c>
      <c r="E208" s="11">
        <f>IFERROR(E207/E$136,0)</f>
        <v>0</v>
      </c>
      <c r="F208" s="11">
        <f>IFERROR(F207/F$136,0)</f>
        <v>0</v>
      </c>
      <c r="G208" s="11">
        <f>IFERROR(G207/G$136,0)</f>
        <v>0</v>
      </c>
      <c r="H208" s="11">
        <f>IFERROR(H207/H$136,0)</f>
        <v>0</v>
      </c>
      <c r="I208" s="15">
        <f>IF(I$132="",0,AVERAGE($D208:$H208))</f>
        <v>0</v>
      </c>
      <c r="J208" s="15">
        <f t="shared" ref="J208:R208" si="30">IF(J$132="",0,AVERAGE($D208:$H208))</f>
        <v>0</v>
      </c>
      <c r="K208" s="15">
        <f t="shared" si="30"/>
        <v>0</v>
      </c>
      <c r="L208" s="15">
        <f t="shared" si="30"/>
        <v>0</v>
      </c>
      <c r="M208" s="15">
        <f t="shared" si="30"/>
        <v>0</v>
      </c>
      <c r="N208" s="15">
        <f t="shared" si="30"/>
        <v>0</v>
      </c>
      <c r="O208" s="15">
        <f t="shared" si="30"/>
        <v>0</v>
      </c>
      <c r="P208" s="15">
        <f t="shared" si="30"/>
        <v>0</v>
      </c>
      <c r="Q208" s="15">
        <f t="shared" si="30"/>
        <v>0</v>
      </c>
      <c r="R208" s="15">
        <f t="shared" si="30"/>
        <v>0</v>
      </c>
    </row>
    <row r="209" spans="2:18" outlineLevel="1">
      <c r="B209" s="17" t="s">
        <v>157</v>
      </c>
      <c r="D209" s="20">
        <v>0</v>
      </c>
      <c r="E209" s="20">
        <v>0</v>
      </c>
      <c r="F209" s="20">
        <v>0</v>
      </c>
      <c r="G209" s="20">
        <v>0</v>
      </c>
      <c r="H209" s="20">
        <v>0</v>
      </c>
    </row>
    <row r="210" spans="2:18" outlineLevel="1">
      <c r="B210" s="17" t="s">
        <v>158</v>
      </c>
      <c r="D210" s="20">
        <v>70</v>
      </c>
      <c r="E210" s="20">
        <v>-66</v>
      </c>
      <c r="F210" s="20">
        <v>-768</v>
      </c>
      <c r="G210" s="20">
        <v>-6</v>
      </c>
      <c r="H210" s="20">
        <v>996</v>
      </c>
    </row>
    <row r="211" spans="2:18" outlineLevel="1"/>
    <row r="212" spans="2:18" outlineLevel="1"/>
    <row r="213" spans="2:18" outlineLevel="1">
      <c r="B213" s="51" t="s">
        <v>159</v>
      </c>
      <c r="D213" s="32">
        <f>SUM(D214,D216,D218,D220)</f>
        <v>-846</v>
      </c>
      <c r="E213" s="32">
        <f t="shared" ref="E213:H213" si="31">SUM(E214,E216,E218,E220)</f>
        <v>580</v>
      </c>
      <c r="F213" s="32">
        <f t="shared" si="31"/>
        <v>381</v>
      </c>
      <c r="G213" s="32">
        <f t="shared" si="31"/>
        <v>-2104</v>
      </c>
      <c r="H213" s="32">
        <f t="shared" si="31"/>
        <v>187</v>
      </c>
    </row>
    <row r="214" spans="2:18" outlineLevel="1">
      <c r="B214" s="16" t="str">
        <f>"(Increase) Decrease in "&amp;B286</f>
        <v>(Increase) Decrease in Accounts Receivable</v>
      </c>
      <c r="D214" s="20">
        <v>-226</v>
      </c>
      <c r="E214" s="20">
        <v>191</v>
      </c>
      <c r="F214" s="20">
        <v>-508</v>
      </c>
      <c r="G214" s="20">
        <v>-176</v>
      </c>
      <c r="H214" s="20">
        <v>136</v>
      </c>
    </row>
    <row r="215" spans="2:18" outlineLevel="1">
      <c r="B215" s="17" t="str">
        <f>"As a % of "&amp;$B$286</f>
        <v>As a % of Accounts Receivable</v>
      </c>
      <c r="D215" s="11">
        <f>IFERROR(D214/D286,0)</f>
        <v>-0.10400368154624942</v>
      </c>
      <c r="E215" s="11">
        <f>IFERROR(E214/E286,0)</f>
        <v>9.7848360655737709E-2</v>
      </c>
      <c r="F215" s="11">
        <f>IFERROR(F214/F286,0)</f>
        <v>-0.21166666666666667</v>
      </c>
      <c r="G215" s="11">
        <f>IFERROR(G214/G286,0)</f>
        <v>-6.82964687621265E-2</v>
      </c>
      <c r="H215" s="11">
        <f>IFERROR(H214/H286,0)</f>
        <v>5.492730210016155E-2</v>
      </c>
      <c r="I215" s="15">
        <f>IF(I$132="",0,AVERAGE($D215:$H215))</f>
        <v>-4.6238230843828665E-2</v>
      </c>
      <c r="J215" s="15">
        <f t="shared" ref="J215:R215" si="32">IF(J$132="",0,AVERAGE($D215:$H215))</f>
        <v>-4.6238230843828665E-2</v>
      </c>
      <c r="K215" s="15">
        <f t="shared" si="32"/>
        <v>-4.6238230843828665E-2</v>
      </c>
      <c r="L215" s="15">
        <f t="shared" si="32"/>
        <v>-4.6238230843828665E-2</v>
      </c>
      <c r="M215" s="15">
        <f t="shared" si="32"/>
        <v>-4.6238230843828665E-2</v>
      </c>
      <c r="N215" s="15">
        <f t="shared" si="32"/>
        <v>0</v>
      </c>
      <c r="O215" s="15">
        <f t="shared" si="32"/>
        <v>0</v>
      </c>
      <c r="P215" s="15">
        <f t="shared" si="32"/>
        <v>0</v>
      </c>
      <c r="Q215" s="15">
        <f t="shared" si="32"/>
        <v>0</v>
      </c>
      <c r="R215" s="15">
        <f t="shared" si="32"/>
        <v>0</v>
      </c>
    </row>
    <row r="216" spans="2:18" outlineLevel="1">
      <c r="B216" s="16" t="str">
        <f>"(Increase) Decrease in "&amp;B290</f>
        <v>(Increase) Decrease in Inventory</v>
      </c>
      <c r="D216" s="20">
        <v>-214</v>
      </c>
      <c r="E216" s="20">
        <v>86</v>
      </c>
      <c r="F216" s="20">
        <v>-567</v>
      </c>
      <c r="G216" s="20">
        <v>-1195</v>
      </c>
      <c r="H216" s="20">
        <v>175</v>
      </c>
    </row>
    <row r="217" spans="2:18" outlineLevel="1">
      <c r="B217" s="17" t="str">
        <f>"As a % of "&amp;$B$290</f>
        <v>As a % of Inventory</v>
      </c>
      <c r="D217" s="11">
        <f>IFERROR(D216/D290,0)</f>
        <v>-5.2093476144109058E-2</v>
      </c>
      <c r="E217" s="11">
        <f>IFERROR(E216/E290,0)</f>
        <v>2.2285566208862399E-2</v>
      </c>
      <c r="F217" s="11">
        <f>IFERROR(F216/F290,0)</f>
        <v>-0.12939297124600638</v>
      </c>
      <c r="G217" s="11">
        <f>IFERROR(G216/G290,0)</f>
        <v>-0.21672107363075807</v>
      </c>
      <c r="H217" s="11">
        <f>IFERROR(H216/H290,0)</f>
        <v>3.2845345345345348E-2</v>
      </c>
      <c r="I217" s="15">
        <f>IF(I$132="",0,AVERAGE($D217:$H217))</f>
        <v>-6.861532189333315E-2</v>
      </c>
      <c r="J217" s="15">
        <f t="shared" ref="J217:R217" si="33">IF(J$132="",0,AVERAGE($D217:$H217))</f>
        <v>-6.861532189333315E-2</v>
      </c>
      <c r="K217" s="15">
        <f t="shared" si="33"/>
        <v>-6.861532189333315E-2</v>
      </c>
      <c r="L217" s="15">
        <f t="shared" si="33"/>
        <v>-6.861532189333315E-2</v>
      </c>
      <c r="M217" s="15">
        <f t="shared" si="33"/>
        <v>-6.861532189333315E-2</v>
      </c>
      <c r="N217" s="15">
        <f t="shared" si="33"/>
        <v>0</v>
      </c>
      <c r="O217" s="15">
        <f t="shared" si="33"/>
        <v>0</v>
      </c>
      <c r="P217" s="15">
        <f t="shared" si="33"/>
        <v>0</v>
      </c>
      <c r="Q217" s="15">
        <f t="shared" si="33"/>
        <v>0</v>
      </c>
      <c r="R217" s="15">
        <f t="shared" si="33"/>
        <v>0</v>
      </c>
    </row>
    <row r="218" spans="2:18" outlineLevel="1">
      <c r="B218" s="16" t="str">
        <f>"Increase (Decrease) in "&amp;B305</f>
        <v>Increase (Decrease) in Payables and Accruals</v>
      </c>
      <c r="D218" s="20">
        <v>-55</v>
      </c>
      <c r="E218" s="20">
        <v>-64</v>
      </c>
      <c r="F218" s="20">
        <v>351</v>
      </c>
      <c r="G218" s="20">
        <v>302</v>
      </c>
      <c r="H218" s="20">
        <v>47</v>
      </c>
    </row>
    <row r="219" spans="2:18" outlineLevel="1">
      <c r="B219" s="17" t="str">
        <f>"As a % of "&amp;$B$293</f>
        <v>As a % of Other Short-Term Assets</v>
      </c>
      <c r="D219" s="11">
        <f>IFERROR(D218/D291,0)</f>
        <v>0</v>
      </c>
      <c r="E219" s="11">
        <f>IFERROR(E218/E291,0)</f>
        <v>0</v>
      </c>
      <c r="F219" s="11">
        <f>IFERROR(F218/F291,0)</f>
        <v>0</v>
      </c>
      <c r="G219" s="11">
        <f>IFERROR(G218/G291,0)</f>
        <v>0</v>
      </c>
      <c r="H219" s="11">
        <f>IFERROR(H218/H291,0)</f>
        <v>0</v>
      </c>
      <c r="I219" s="15">
        <f>IF(I$132="",0,AVERAGE($D219:$H219))</f>
        <v>0</v>
      </c>
      <c r="J219" s="15">
        <f t="shared" ref="J219:R221" si="34">IF(J$132="",0,AVERAGE($D219:$H219))</f>
        <v>0</v>
      </c>
      <c r="K219" s="15">
        <f t="shared" si="34"/>
        <v>0</v>
      </c>
      <c r="L219" s="15">
        <f t="shared" si="34"/>
        <v>0</v>
      </c>
      <c r="M219" s="15">
        <f t="shared" si="34"/>
        <v>0</v>
      </c>
      <c r="N219" s="15">
        <f t="shared" si="34"/>
        <v>0</v>
      </c>
      <c r="O219" s="15">
        <f t="shared" si="34"/>
        <v>0</v>
      </c>
      <c r="P219" s="15">
        <f t="shared" si="34"/>
        <v>0</v>
      </c>
      <c r="Q219" s="15">
        <f t="shared" si="34"/>
        <v>0</v>
      </c>
      <c r="R219" s="15">
        <f t="shared" si="34"/>
        <v>0</v>
      </c>
    </row>
    <row r="220" spans="2:18" outlineLevel="1">
      <c r="B220" s="16" t="str">
        <f>"Increase (Decrease) in "&amp;B293</f>
        <v>Increase (Decrease) in Other Short-Term Assets</v>
      </c>
      <c r="D220" s="20">
        <v>-351</v>
      </c>
      <c r="E220" s="20">
        <v>367</v>
      </c>
      <c r="F220" s="20">
        <v>1105</v>
      </c>
      <c r="G220" s="20">
        <v>-1035</v>
      </c>
      <c r="H220" s="20">
        <v>-171</v>
      </c>
    </row>
    <row r="221" spans="2:18" outlineLevel="1">
      <c r="B221" s="17" t="str">
        <f>"As a % of "&amp;$B$293</f>
        <v>As a % of Other Short-Term Assets</v>
      </c>
      <c r="D221" s="11">
        <f>IFERROR(D220/D293,0)</f>
        <v>-0.86881188118811881</v>
      </c>
      <c r="E221" s="11">
        <f>IFERROR(E220/E293,0)</f>
        <v>1</v>
      </c>
      <c r="F221" s="11">
        <f>IFERROR(F220/F293,0)</f>
        <v>2.0731707317073171</v>
      </c>
      <c r="G221" s="11">
        <f>IFERROR(G220/G293,0)</f>
        <v>-2.0374015748031495</v>
      </c>
      <c r="H221" s="11">
        <f>IFERROR(H220/H293,0)</f>
        <v>-0.4956521739130435</v>
      </c>
      <c r="I221" s="15">
        <f>IF(I$132="",0,AVERAGE($D221:$H221))</f>
        <v>-6.5738979639398967E-2</v>
      </c>
      <c r="J221" s="15">
        <f t="shared" si="34"/>
        <v>-6.5738979639398967E-2</v>
      </c>
      <c r="K221" s="15">
        <f t="shared" si="34"/>
        <v>-6.5738979639398967E-2</v>
      </c>
      <c r="L221" s="15">
        <f t="shared" si="34"/>
        <v>-6.5738979639398967E-2</v>
      </c>
      <c r="M221" s="15">
        <f t="shared" si="34"/>
        <v>-6.5738979639398967E-2</v>
      </c>
      <c r="N221" s="15">
        <f t="shared" si="34"/>
        <v>0</v>
      </c>
      <c r="O221" s="15">
        <f t="shared" si="34"/>
        <v>0</v>
      </c>
      <c r="P221" s="15">
        <f t="shared" si="34"/>
        <v>0</v>
      </c>
      <c r="Q221" s="15">
        <f t="shared" si="34"/>
        <v>0</v>
      </c>
      <c r="R221" s="15">
        <f t="shared" si="34"/>
        <v>0</v>
      </c>
    </row>
    <row r="222" spans="2:18" outlineLevel="1">
      <c r="B222" s="1"/>
    </row>
    <row r="223" spans="2:18" outlineLevel="1"/>
    <row r="224" spans="2:18" outlineLevel="1">
      <c r="B224" s="51" t="s">
        <v>160</v>
      </c>
      <c r="D224" s="20"/>
      <c r="E224" s="20"/>
      <c r="F224" s="20"/>
      <c r="G224" s="20"/>
      <c r="H224" s="20"/>
    </row>
    <row r="225" spans="2:18" outlineLevel="1">
      <c r="D225" s="19"/>
      <c r="E225" s="19"/>
      <c r="F225" s="19"/>
      <c r="G225" s="19"/>
      <c r="H225" s="19"/>
    </row>
    <row r="226" spans="2:18" outlineLevel="1">
      <c r="D226" s="19"/>
      <c r="E226" s="19"/>
      <c r="F226" s="19"/>
      <c r="G226" s="19"/>
      <c r="H226" s="19"/>
    </row>
    <row r="227" spans="2:18" outlineLevel="1">
      <c r="B227" s="51" t="s">
        <v>161</v>
      </c>
      <c r="D227" s="19"/>
      <c r="E227" s="19"/>
      <c r="F227" s="19"/>
      <c r="G227" s="19"/>
      <c r="H227" s="19"/>
    </row>
    <row r="228" spans="2:18" outlineLevel="1">
      <c r="B228" s="16" t="s">
        <v>162</v>
      </c>
      <c r="D228" s="19"/>
      <c r="E228" s="19"/>
      <c r="F228" s="19"/>
      <c r="G228" s="19"/>
      <c r="H228" s="19"/>
    </row>
    <row r="229" spans="2:18" outlineLevel="1">
      <c r="B229" s="16" t="s">
        <v>163</v>
      </c>
      <c r="D229" s="20">
        <v>0</v>
      </c>
      <c r="E229" s="20">
        <v>0</v>
      </c>
      <c r="F229" s="20">
        <v>0</v>
      </c>
      <c r="G229" s="20">
        <v>0</v>
      </c>
      <c r="H229" s="20">
        <v>0</v>
      </c>
    </row>
    <row r="230" spans="2:18" outlineLevel="1">
      <c r="B230" s="29" t="str">
        <f>"As a % of "&amp;$B$296</f>
        <v>As a % of Property, Plant, and Equipment</v>
      </c>
      <c r="D230" s="11">
        <f>IFERROR(D229/D296,0)</f>
        <v>0</v>
      </c>
      <c r="E230" s="11">
        <f>IFERROR(E229/E296,0)</f>
        <v>0</v>
      </c>
      <c r="F230" s="11">
        <f>IFERROR(F229/F296,0)</f>
        <v>0</v>
      </c>
      <c r="G230" s="11">
        <f>IFERROR(G229/G296,0)</f>
        <v>0</v>
      </c>
      <c r="H230" s="11">
        <f>IFERROR(H229/H296,0)</f>
        <v>0</v>
      </c>
      <c r="I230" s="15">
        <f>IF(I$132="",0,AVERAGE($D230:$H230))</f>
        <v>0</v>
      </c>
      <c r="J230" s="15">
        <f t="shared" ref="J230:R230" si="35">IF(J$132="",0,AVERAGE($D230:$H230))</f>
        <v>0</v>
      </c>
      <c r="K230" s="15">
        <f t="shared" si="35"/>
        <v>0</v>
      </c>
      <c r="L230" s="15">
        <f t="shared" si="35"/>
        <v>0</v>
      </c>
      <c r="M230" s="15">
        <f t="shared" si="35"/>
        <v>0</v>
      </c>
      <c r="N230" s="15">
        <f t="shared" si="35"/>
        <v>0</v>
      </c>
      <c r="O230" s="15">
        <f t="shared" si="35"/>
        <v>0</v>
      </c>
      <c r="P230" s="15">
        <f t="shared" si="35"/>
        <v>0</v>
      </c>
      <c r="Q230" s="15">
        <f t="shared" si="35"/>
        <v>0</v>
      </c>
      <c r="R230" s="15">
        <f t="shared" si="35"/>
        <v>0</v>
      </c>
    </row>
    <row r="231" spans="2:18" outlineLevel="1">
      <c r="B231" s="59"/>
      <c r="D231" s="58"/>
      <c r="E231" s="58"/>
      <c r="F231" s="58"/>
      <c r="G231" s="58"/>
      <c r="H231" s="58"/>
    </row>
    <row r="232" spans="2:18" outlineLevel="1">
      <c r="B232" s="1"/>
      <c r="C232" s="1"/>
    </row>
    <row r="233" spans="2:18" outlineLevel="1">
      <c r="B233" s="51" t="s">
        <v>164</v>
      </c>
      <c r="D233" s="20"/>
      <c r="E233" s="20"/>
      <c r="F233" s="20"/>
      <c r="G233" s="20"/>
      <c r="H233" s="20"/>
    </row>
    <row r="234" spans="2:18" outlineLevel="1">
      <c r="B234" s="59"/>
      <c r="D234" s="58"/>
      <c r="E234" s="58"/>
      <c r="F234" s="58"/>
      <c r="G234" s="58"/>
      <c r="H234" s="58"/>
    </row>
    <row r="235" spans="2:18" outlineLevel="1">
      <c r="B235" s="59"/>
      <c r="D235" s="58"/>
      <c r="E235" s="58"/>
      <c r="F235" s="58"/>
      <c r="G235" s="58"/>
      <c r="H235" s="58"/>
    </row>
    <row r="236" spans="2:18" outlineLevel="1">
      <c r="B236" s="51" t="s">
        <v>165</v>
      </c>
      <c r="D236" s="20">
        <v>-2292</v>
      </c>
      <c r="E236" s="20">
        <v>-154</v>
      </c>
      <c r="F236" s="20">
        <v>1144</v>
      </c>
      <c r="G236" s="20">
        <v>-177</v>
      </c>
      <c r="H236" s="20">
        <v>-262</v>
      </c>
    </row>
    <row r="237" spans="2:18" outlineLevel="1">
      <c r="B237" s="59"/>
      <c r="D237" s="58"/>
      <c r="E237" s="58"/>
      <c r="F237" s="58"/>
      <c r="G237" s="58"/>
      <c r="H237" s="58"/>
    </row>
    <row r="238" spans="2:18" outlineLevel="1">
      <c r="B238" s="59"/>
      <c r="D238" s="58"/>
      <c r="E238" s="58"/>
      <c r="F238" s="58"/>
      <c r="G238" s="58"/>
      <c r="H238" s="58"/>
    </row>
    <row r="239" spans="2:18" outlineLevel="1">
      <c r="B239" s="51" t="s">
        <v>166</v>
      </c>
      <c r="D239" s="20">
        <v>89</v>
      </c>
      <c r="E239" s="20">
        <v>-1068</v>
      </c>
      <c r="F239" s="20">
        <v>1082</v>
      </c>
      <c r="G239" s="20">
        <v>-106</v>
      </c>
      <c r="H239" s="20">
        <v>64</v>
      </c>
    </row>
    <row r="240" spans="2:18" outlineLevel="1">
      <c r="B240" s="59"/>
      <c r="D240" s="58"/>
      <c r="E240" s="58"/>
      <c r="F240" s="58"/>
      <c r="G240" s="58"/>
      <c r="H240" s="58"/>
    </row>
    <row r="241" spans="2:18" outlineLevel="1">
      <c r="B241" s="59"/>
      <c r="D241" s="58"/>
      <c r="E241" s="58"/>
      <c r="F241" s="58"/>
      <c r="G241" s="58"/>
      <c r="H241" s="58"/>
    </row>
    <row r="242" spans="2:18" outlineLevel="1">
      <c r="B242" s="51" t="s">
        <v>160</v>
      </c>
      <c r="D242" s="20"/>
      <c r="E242" s="20"/>
      <c r="F242" s="20"/>
      <c r="G242" s="20"/>
      <c r="H242" s="20"/>
    </row>
    <row r="243" spans="2:18" outlineLevel="1">
      <c r="B243" s="59"/>
      <c r="D243" s="58"/>
      <c r="E243" s="58"/>
      <c r="F243" s="58"/>
      <c r="G243" s="58"/>
      <c r="H243" s="58"/>
    </row>
    <row r="244" spans="2:18" outlineLevel="1">
      <c r="B244" s="59"/>
      <c r="D244" s="58"/>
      <c r="E244" s="58"/>
      <c r="F244" s="58"/>
      <c r="G244" s="58"/>
      <c r="H244" s="58"/>
    </row>
    <row r="245" spans="2:18" outlineLevel="1">
      <c r="B245" s="51" t="s">
        <v>167</v>
      </c>
      <c r="D245" s="237">
        <f>-537</f>
        <v>-537</v>
      </c>
      <c r="E245" s="237">
        <f>-601</f>
        <v>-601</v>
      </c>
      <c r="F245" s="237">
        <f>-636</f>
        <v>-636</v>
      </c>
      <c r="G245" s="237">
        <v>-653</v>
      </c>
      <c r="H245" s="237">
        <v>-670</v>
      </c>
      <c r="I245" s="1" t="s">
        <v>168</v>
      </c>
    </row>
    <row r="246" spans="2:18" outlineLevel="1">
      <c r="B246" s="59" t="str">
        <f>"As % of "&amp;'Income Statement'!B37</f>
        <v>As % of Net Income (Loss), GAAP</v>
      </c>
      <c r="D246" s="227">
        <f>D245/'Income Statement'!C37</f>
        <v>-0.26557863501483681</v>
      </c>
      <c r="E246" s="227">
        <f>E245/'Income Statement'!D37</f>
        <v>-0.2916060164968462</v>
      </c>
      <c r="F246" s="227">
        <f>F245/'Income Statement'!E37</f>
        <v>-0.20872989826058419</v>
      </c>
      <c r="G246" s="227">
        <f>G245/'Income Statement'!F37</f>
        <v>-0.20166769610870908</v>
      </c>
      <c r="H246" s="227">
        <f>H245/'Income Statement'!G37</f>
        <v>1.0339506172839505</v>
      </c>
      <c r="I246" s="15">
        <f>IF(I$132="",0,AVERAGE($D246:$H246))</f>
        <v>1.3273674280594871E-2</v>
      </c>
      <c r="J246" s="15">
        <f t="shared" ref="J246:R246" si="36">IF(J$132="",0,AVERAGE($D246:$H246))</f>
        <v>1.3273674280594871E-2</v>
      </c>
      <c r="K246" s="15">
        <f t="shared" si="36"/>
        <v>1.3273674280594871E-2</v>
      </c>
      <c r="L246" s="15">
        <f t="shared" si="36"/>
        <v>1.3273674280594871E-2</v>
      </c>
      <c r="M246" s="15">
        <f t="shared" si="36"/>
        <v>1.3273674280594871E-2</v>
      </c>
      <c r="N246" s="15">
        <f t="shared" si="36"/>
        <v>0</v>
      </c>
      <c r="O246" s="15">
        <f t="shared" si="36"/>
        <v>0</v>
      </c>
      <c r="P246" s="15">
        <f t="shared" si="36"/>
        <v>0</v>
      </c>
      <c r="Q246" s="15">
        <f t="shared" si="36"/>
        <v>0</v>
      </c>
      <c r="R246" s="15">
        <f t="shared" si="36"/>
        <v>0</v>
      </c>
    </row>
    <row r="247" spans="2:18" outlineLevel="1">
      <c r="B247" s="59"/>
      <c r="D247" s="195"/>
      <c r="E247" s="58"/>
      <c r="F247" s="58"/>
      <c r="G247" s="58"/>
      <c r="H247" s="58"/>
    </row>
    <row r="248" spans="2:18" outlineLevel="1">
      <c r="B248" s="59"/>
      <c r="D248" s="58"/>
      <c r="E248" s="58"/>
      <c r="F248" s="58"/>
      <c r="G248" s="58"/>
      <c r="H248" s="58"/>
    </row>
    <row r="249" spans="2:18" outlineLevel="1">
      <c r="B249" s="51" t="s">
        <v>169</v>
      </c>
      <c r="D249" s="20">
        <v>1891</v>
      </c>
      <c r="E249" s="20">
        <v>-672</v>
      </c>
      <c r="F249" s="20">
        <v>-2047</v>
      </c>
      <c r="G249" s="20">
        <v>-1088</v>
      </c>
      <c r="H249" s="20">
        <v>1117</v>
      </c>
    </row>
    <row r="250" spans="2:18" outlineLevel="1">
      <c r="B250" s="59"/>
      <c r="D250" s="58"/>
      <c r="E250" s="58"/>
      <c r="F250" s="58"/>
      <c r="G250" s="58"/>
      <c r="H250" s="58"/>
    </row>
    <row r="251" spans="2:18" outlineLevel="1">
      <c r="B251" s="59"/>
      <c r="D251" s="58"/>
      <c r="E251" s="58"/>
      <c r="F251" s="58"/>
      <c r="G251" s="58"/>
      <c r="H251" s="58"/>
    </row>
    <row r="252" spans="2:18" outlineLevel="1">
      <c r="B252" s="51" t="s">
        <v>170</v>
      </c>
      <c r="D252" s="20">
        <v>-153</v>
      </c>
      <c r="E252" s="20">
        <v>-177</v>
      </c>
      <c r="F252" s="20">
        <v>-26</v>
      </c>
      <c r="G252" s="20">
        <v>-576</v>
      </c>
      <c r="H252" s="20">
        <v>-343</v>
      </c>
    </row>
    <row r="253" spans="2:18" outlineLevel="1">
      <c r="B253" s="59"/>
      <c r="D253" s="58"/>
      <c r="E253" s="58"/>
      <c r="F253" s="58"/>
      <c r="G253" s="58"/>
      <c r="H253" s="58"/>
    </row>
    <row r="254" spans="2:18" outlineLevel="1">
      <c r="B254" s="59"/>
      <c r="D254" s="58"/>
      <c r="E254" s="58"/>
      <c r="F254" s="58"/>
      <c r="G254" s="58"/>
      <c r="H254" s="58"/>
    </row>
    <row r="255" spans="2:18" outlineLevel="1">
      <c r="B255" s="51" t="s">
        <v>171</v>
      </c>
      <c r="D255" s="20">
        <v>-30</v>
      </c>
      <c r="E255" s="20">
        <v>-18</v>
      </c>
      <c r="F255" s="20">
        <v>-22</v>
      </c>
      <c r="G255" s="20">
        <v>-6</v>
      </c>
      <c r="H255" s="20">
        <v>-16</v>
      </c>
    </row>
    <row r="256" spans="2:18" outlineLevel="1">
      <c r="B256" s="59"/>
      <c r="D256" s="58"/>
      <c r="E256" s="58"/>
      <c r="F256" s="58"/>
      <c r="G256" s="58"/>
      <c r="H256" s="58"/>
    </row>
    <row r="257" spans="2:18" outlineLevel="1">
      <c r="B257" s="59"/>
      <c r="D257" s="58"/>
      <c r="E257" s="58"/>
      <c r="F257" s="58"/>
      <c r="G257" s="58"/>
      <c r="H257" s="58"/>
    </row>
    <row r="258" spans="2:18" outlineLevel="1">
      <c r="B258" s="51" t="s">
        <v>160</v>
      </c>
      <c r="D258" s="20"/>
      <c r="E258" s="20"/>
      <c r="F258" s="20"/>
      <c r="G258" s="20"/>
      <c r="H258" s="20"/>
    </row>
    <row r="259" spans="2:18" outlineLevel="1">
      <c r="B259" s="59"/>
      <c r="D259" s="58"/>
      <c r="E259" s="58"/>
      <c r="F259" s="58"/>
      <c r="G259" s="58"/>
      <c r="H259" s="58"/>
    </row>
    <row r="260" spans="2:18" outlineLevel="1">
      <c r="B260" s="59"/>
      <c r="D260" s="58"/>
      <c r="E260" s="58"/>
      <c r="F260" s="58"/>
      <c r="G260" s="58"/>
      <c r="H260" s="58"/>
    </row>
    <row r="261" spans="2:18" outlineLevel="1">
      <c r="B261" s="51" t="s">
        <v>172</v>
      </c>
      <c r="D261" s="20">
        <v>-6</v>
      </c>
      <c r="E261" s="20">
        <v>-1</v>
      </c>
      <c r="F261" s="20">
        <v>4</v>
      </c>
      <c r="G261" s="20">
        <v>-35</v>
      </c>
      <c r="H261" s="20">
        <v>1</v>
      </c>
    </row>
    <row r="262" spans="2:18" outlineLevel="1">
      <c r="B262" s="59"/>
    </row>
    <row r="263" spans="2:18" outlineLevel="1">
      <c r="B263" s="59"/>
    </row>
    <row r="264" spans="2:18" outlineLevel="1">
      <c r="B264" s="51" t="s">
        <v>173</v>
      </c>
      <c r="C264" s="50">
        <f>D278-1</f>
        <v>2018</v>
      </c>
    </row>
    <row r="265" spans="2:18" outlineLevel="1">
      <c r="B265" s="16" t="s">
        <v>174</v>
      </c>
      <c r="C265" s="10">
        <v>270</v>
      </c>
      <c r="D265" s="30">
        <f>C265+'Cash Flows'!C31-D269</f>
        <v>317</v>
      </c>
      <c r="E265" s="30">
        <f>D265+'Cash Flows'!D31-E269</f>
        <v>148</v>
      </c>
      <c r="F265" s="30">
        <f>E265+'Cash Flows'!E31-F269</f>
        <v>2228</v>
      </c>
      <c r="G265" s="30">
        <f>F265+'Cash Flows'!F31-G269</f>
        <v>160</v>
      </c>
      <c r="H265" s="30">
        <f>G265+'Cash Flows'!G31-H269</f>
        <v>-14</v>
      </c>
      <c r="I265" s="30"/>
      <c r="J265" s="30"/>
      <c r="K265" s="30"/>
      <c r="L265" s="30"/>
      <c r="M265" s="30"/>
      <c r="N265" s="30"/>
      <c r="O265" s="30"/>
      <c r="P265" s="30"/>
      <c r="Q265" s="30"/>
      <c r="R265" s="30"/>
    </row>
    <row r="266" spans="2:18" outlineLevel="1">
      <c r="B266" s="59"/>
    </row>
    <row r="267" spans="2:18" outlineLevel="1">
      <c r="B267" s="51" t="s">
        <v>175</v>
      </c>
    </row>
    <row r="268" spans="2:18" outlineLevel="1">
      <c r="B268" s="68" t="s">
        <v>176</v>
      </c>
      <c r="C268" s="30"/>
      <c r="D268" s="10">
        <v>0</v>
      </c>
      <c r="E268" s="10">
        <v>46</v>
      </c>
      <c r="F268" s="10">
        <v>130</v>
      </c>
      <c r="G268" s="10">
        <v>0</v>
      </c>
      <c r="H268" s="10">
        <v>0</v>
      </c>
    </row>
    <row r="269" spans="2:18" outlineLevel="1">
      <c r="B269" s="17" t="str">
        <f>B267&amp;" Flow"</f>
        <v>Restricted Cash Flow</v>
      </c>
      <c r="C269" s="30"/>
      <c r="D269" s="30">
        <f>D268-C268</f>
        <v>0</v>
      </c>
      <c r="E269" s="30">
        <f>E268-D268</f>
        <v>46</v>
      </c>
      <c r="F269" s="30">
        <f>F268-E268</f>
        <v>84</v>
      </c>
      <c r="G269" s="30">
        <f>G268-F268</f>
        <v>-130</v>
      </c>
      <c r="H269" s="30">
        <f>H268-G268</f>
        <v>0</v>
      </c>
      <c r="I269" s="229">
        <f>IF(I$132="",0,AVERAGE($D269:$H269))</f>
        <v>0</v>
      </c>
      <c r="J269" s="229">
        <f t="shared" ref="J269:R269" si="37">IF(J$132="",0,AVERAGE($D269:$H269))</f>
        <v>0</v>
      </c>
      <c r="K269" s="229">
        <f t="shared" si="37"/>
        <v>0</v>
      </c>
      <c r="L269" s="229">
        <f t="shared" si="37"/>
        <v>0</v>
      </c>
      <c r="M269" s="229">
        <f t="shared" si="37"/>
        <v>0</v>
      </c>
      <c r="N269" s="229">
        <f t="shared" si="37"/>
        <v>0</v>
      </c>
      <c r="O269" s="229">
        <f t="shared" si="37"/>
        <v>0</v>
      </c>
      <c r="P269" s="229">
        <f t="shared" si="37"/>
        <v>0</v>
      </c>
      <c r="Q269" s="229">
        <f t="shared" si="37"/>
        <v>0</v>
      </c>
      <c r="R269" s="229">
        <f t="shared" si="37"/>
        <v>0</v>
      </c>
    </row>
    <row r="270" spans="2:18" outlineLevel="1">
      <c r="B270" s="1"/>
      <c r="C270" s="1"/>
      <c r="I270" s="11"/>
      <c r="J270" s="11"/>
      <c r="K270" s="11"/>
      <c r="L270" s="11"/>
      <c r="M270" s="11"/>
      <c r="N270" s="11"/>
      <c r="O270" s="11"/>
      <c r="P270" s="11"/>
      <c r="Q270" s="11"/>
      <c r="R270" s="11"/>
    </row>
    <row r="271" spans="2:18" outlineLevel="1">
      <c r="B271" s="59"/>
    </row>
    <row r="272" spans="2:18" outlineLevel="1">
      <c r="B272" s="59"/>
    </row>
    <row r="273" spans="1:18" outlineLevel="1">
      <c r="B273" s="59"/>
    </row>
    <row r="274" spans="1:18" outlineLevel="1">
      <c r="B274" s="59"/>
    </row>
    <row r="275" spans="1:18" outlineLevel="1">
      <c r="B275" s="59"/>
    </row>
    <row r="276" spans="1:18">
      <c r="B276" s="59"/>
    </row>
    <row r="277" spans="1:18">
      <c r="A277" s="112" t="s">
        <v>177</v>
      </c>
      <c r="B277" s="42" t="s">
        <v>178</v>
      </c>
      <c r="C277" s="47"/>
      <c r="D277" s="41"/>
      <c r="E277" s="41"/>
      <c r="F277" s="41"/>
      <c r="G277" s="41"/>
      <c r="H277" s="41"/>
      <c r="I277" s="41"/>
      <c r="J277" s="41"/>
      <c r="K277" s="41"/>
      <c r="L277" s="41"/>
      <c r="M277" s="41"/>
      <c r="N277" s="41"/>
      <c r="O277" s="41"/>
      <c r="P277" s="41"/>
      <c r="Q277" s="41"/>
      <c r="R277" s="41"/>
    </row>
    <row r="278" spans="1:18">
      <c r="A278" s="113"/>
      <c r="B278" s="22" t="str">
        <f>"Year Ending "&amp;TEXT($C$37,"mmmm d")&amp;", "&amp;$B$39&amp;" "&amp;$C$39</f>
        <v>Year Ending 09/31/2024, In USD  Millions</v>
      </c>
      <c r="C278" s="31"/>
      <c r="D278" s="22" cm="1">
        <f t="array" ref="D278:M278">_xlfn.SEQUENCE(1,5+$C$20,(YEAR($C$19)-5))</f>
        <v>2019</v>
      </c>
      <c r="E278" s="22">
        <v>2020</v>
      </c>
      <c r="F278" s="22">
        <v>2021</v>
      </c>
      <c r="G278" s="22">
        <v>2022</v>
      </c>
      <c r="H278" s="22">
        <v>2023</v>
      </c>
      <c r="I278" s="23">
        <v>2024</v>
      </c>
      <c r="J278" s="23">
        <v>2025</v>
      </c>
      <c r="K278" s="23">
        <v>2026</v>
      </c>
      <c r="L278" s="23">
        <v>2027</v>
      </c>
      <c r="M278" s="23">
        <v>2028</v>
      </c>
      <c r="N278" s="23"/>
      <c r="O278" s="23"/>
      <c r="P278" s="23"/>
      <c r="Q278" s="23"/>
      <c r="R278" s="23"/>
    </row>
    <row r="279" spans="1:18" outlineLevel="1">
      <c r="B279" s="48" t="s">
        <v>179</v>
      </c>
      <c r="D279" s="49"/>
      <c r="E279" s="49"/>
      <c r="F279" s="49"/>
      <c r="G279" s="49"/>
      <c r="H279" s="49"/>
      <c r="I279" s="49"/>
      <c r="J279" s="49"/>
      <c r="K279" s="49"/>
      <c r="L279" s="49"/>
      <c r="M279" s="49"/>
      <c r="N279" s="49"/>
      <c r="O279" s="49"/>
      <c r="P279" s="49"/>
      <c r="Q279" s="49"/>
      <c r="R279" s="49"/>
    </row>
    <row r="280" spans="1:18" outlineLevel="1">
      <c r="B280" s="16" t="s">
        <v>180</v>
      </c>
      <c r="C280" s="1"/>
      <c r="D280" s="10">
        <v>0</v>
      </c>
      <c r="E280" s="10">
        <v>0</v>
      </c>
      <c r="F280" s="10">
        <v>0</v>
      </c>
      <c r="G280" s="10">
        <v>0</v>
      </c>
      <c r="H280" s="10">
        <v>0</v>
      </c>
      <c r="I280" s="19"/>
      <c r="J280" s="19"/>
      <c r="K280" s="19"/>
      <c r="L280" s="19"/>
      <c r="M280" s="19"/>
      <c r="N280" s="19"/>
      <c r="O280" s="19"/>
      <c r="P280" s="19"/>
      <c r="Q280" s="19"/>
      <c r="R280" s="19"/>
    </row>
    <row r="281" spans="1:18" outlineLevel="1">
      <c r="B281" s="16" t="str">
        <f>"As a % of "&amp;$B$136</f>
        <v>As a % of Revenue</v>
      </c>
      <c r="C281" s="1"/>
      <c r="D281" s="11">
        <f>IFERROR(D280/D$136,0)</f>
        <v>0</v>
      </c>
      <c r="E281" s="11">
        <f>IFERROR(E280/E$136,0)</f>
        <v>0</v>
      </c>
      <c r="F281" s="11">
        <f>IFERROR(F280/F$136,0)</f>
        <v>0</v>
      </c>
      <c r="G281" s="11">
        <f>IFERROR(G280/G$136,0)</f>
        <v>0</v>
      </c>
      <c r="H281" s="11">
        <f>IFERROR(H280/H$136,0)</f>
        <v>0</v>
      </c>
      <c r="I281" s="15">
        <f>IF(I$132="",0,AVERAGE($D281:$H281))</f>
        <v>0</v>
      </c>
      <c r="J281" s="15">
        <f t="shared" ref="J281:R281" si="38">IF(J$132="",0,AVERAGE($D281:$H281))</f>
        <v>0</v>
      </c>
      <c r="K281" s="15">
        <f t="shared" si="38"/>
        <v>0</v>
      </c>
      <c r="L281" s="15">
        <f t="shared" si="38"/>
        <v>0</v>
      </c>
      <c r="M281" s="15">
        <f t="shared" si="38"/>
        <v>0</v>
      </c>
      <c r="N281" s="15">
        <f t="shared" si="38"/>
        <v>0</v>
      </c>
      <c r="O281" s="15">
        <f t="shared" si="38"/>
        <v>0</v>
      </c>
      <c r="P281" s="15">
        <f t="shared" si="38"/>
        <v>0</v>
      </c>
      <c r="Q281" s="15">
        <f t="shared" si="38"/>
        <v>0</v>
      </c>
      <c r="R281" s="15">
        <f t="shared" si="38"/>
        <v>0</v>
      </c>
    </row>
    <row r="282" spans="1:18" outlineLevel="1"/>
    <row r="283" spans="1:18" outlineLevel="1"/>
    <row r="284" spans="1:18" outlineLevel="1">
      <c r="B284" s="48" t="s">
        <v>181</v>
      </c>
      <c r="D284" s="30">
        <f>SUM(D286,D287)</f>
        <v>2173</v>
      </c>
      <c r="E284" s="30">
        <f>SUM(E286,E287)</f>
        <v>1952</v>
      </c>
      <c r="F284" s="30">
        <f>SUM(F286,F287)</f>
        <v>2400</v>
      </c>
      <c r="G284" s="30">
        <f>SUM(G286,G287)</f>
        <v>2577</v>
      </c>
      <c r="H284" s="30">
        <f>SUM(H286,H287)</f>
        <v>2476</v>
      </c>
      <c r="I284" s="30"/>
      <c r="J284" s="30"/>
      <c r="K284" s="30"/>
      <c r="L284" s="30"/>
      <c r="M284" s="30"/>
      <c r="N284" s="30"/>
      <c r="O284" s="30"/>
      <c r="P284" s="30"/>
      <c r="Q284" s="30"/>
      <c r="R284" s="30"/>
    </row>
    <row r="285" spans="1:18" outlineLevel="1">
      <c r="B285" s="16" t="str">
        <f>"As a % of "&amp;$B$136</f>
        <v>As a % of Revenue</v>
      </c>
    </row>
    <row r="286" spans="1:18" outlineLevel="1">
      <c r="B286" s="17" t="s">
        <v>182</v>
      </c>
      <c r="D286" s="10">
        <v>2173</v>
      </c>
      <c r="E286" s="10">
        <v>1952</v>
      </c>
      <c r="F286" s="10">
        <v>2400</v>
      </c>
      <c r="G286" s="10">
        <v>2577</v>
      </c>
      <c r="H286" s="10">
        <v>2476</v>
      </c>
    </row>
    <row r="287" spans="1:18" outlineLevel="1">
      <c r="B287" s="17" t="s">
        <v>183</v>
      </c>
      <c r="D287" s="10"/>
      <c r="E287" s="10"/>
      <c r="F287" s="10"/>
      <c r="G287" s="10"/>
      <c r="H287" s="10"/>
    </row>
    <row r="288" spans="1:18" outlineLevel="1"/>
    <row r="289" spans="2:18" outlineLevel="1"/>
    <row r="290" spans="2:18" outlineLevel="1">
      <c r="B290" s="48" t="s">
        <v>184</v>
      </c>
      <c r="D290" s="10">
        <v>4108</v>
      </c>
      <c r="E290" s="10">
        <v>3859</v>
      </c>
      <c r="F290" s="10">
        <v>4382</v>
      </c>
      <c r="G290" s="10">
        <v>5514</v>
      </c>
      <c r="H290" s="10">
        <v>5328</v>
      </c>
    </row>
    <row r="291" spans="2:18" outlineLevel="1"/>
    <row r="292" spans="2:18" outlineLevel="1"/>
    <row r="293" spans="2:18" outlineLevel="1">
      <c r="B293" s="48" t="s">
        <v>185</v>
      </c>
      <c r="D293" s="10">
        <v>404</v>
      </c>
      <c r="E293" s="10">
        <v>367</v>
      </c>
      <c r="F293" s="10">
        <v>533</v>
      </c>
      <c r="G293" s="10">
        <v>508</v>
      </c>
      <c r="H293" s="10">
        <v>345</v>
      </c>
    </row>
    <row r="294" spans="2:18" outlineLevel="1"/>
    <row r="295" spans="2:18" outlineLevel="1"/>
    <row r="296" spans="2:18" outlineLevel="1">
      <c r="B296" s="48" t="s">
        <v>186</v>
      </c>
      <c r="D296" s="52">
        <v>7282</v>
      </c>
      <c r="E296" s="52">
        <v>8128</v>
      </c>
      <c r="F296" s="52">
        <v>8368</v>
      </c>
      <c r="G296" s="52">
        <v>9192</v>
      </c>
      <c r="H296" s="52">
        <v>10178</v>
      </c>
    </row>
    <row r="297" spans="2:18" outlineLevel="1">
      <c r="B297" s="16"/>
      <c r="E297" s="11"/>
      <c r="F297" s="11"/>
      <c r="G297" s="11"/>
      <c r="H297" s="11"/>
      <c r="I297" s="11"/>
      <c r="J297" s="11"/>
      <c r="K297" s="11"/>
      <c r="L297" s="11"/>
      <c r="M297" s="11"/>
      <c r="N297" s="11"/>
      <c r="O297" s="11"/>
      <c r="P297" s="11"/>
      <c r="Q297" s="11"/>
      <c r="R297" s="11"/>
    </row>
    <row r="298" spans="2:18" outlineLevel="1"/>
    <row r="299" spans="2:18" outlineLevel="1">
      <c r="B299" s="48" t="s">
        <v>187</v>
      </c>
      <c r="D299" s="52"/>
      <c r="E299" s="52"/>
      <c r="F299" s="52"/>
      <c r="G299" s="52"/>
      <c r="H299" s="52"/>
    </row>
    <row r="300" spans="2:18" outlineLevel="1">
      <c r="B300" s="1"/>
      <c r="C300" s="1"/>
      <c r="K300" s="15"/>
      <c r="L300" s="15"/>
      <c r="M300" s="15"/>
      <c r="N300" s="15"/>
      <c r="O300" s="15"/>
      <c r="P300" s="15"/>
      <c r="Q300" s="15"/>
      <c r="R300" s="15"/>
    </row>
    <row r="301" spans="2:18" outlineLevel="1">
      <c r="B301" s="1"/>
      <c r="C301" s="1"/>
    </row>
    <row r="302" spans="2:18" outlineLevel="1">
      <c r="B302" s="48" t="s">
        <v>188</v>
      </c>
      <c r="D302" s="52">
        <v>18646</v>
      </c>
      <c r="E302" s="52">
        <v>18730</v>
      </c>
      <c r="F302" s="52">
        <v>18119</v>
      </c>
      <c r="G302" s="52">
        <v>17999</v>
      </c>
      <c r="H302" s="52">
        <v>17351</v>
      </c>
    </row>
    <row r="303" spans="2:18" outlineLevel="1"/>
    <row r="304" spans="2:18" outlineLevel="1"/>
    <row r="305" spans="2:9" outlineLevel="1">
      <c r="B305" s="48" t="s">
        <v>189</v>
      </c>
      <c r="D305" s="10">
        <v>1926</v>
      </c>
      <c r="E305" s="10">
        <v>1876</v>
      </c>
      <c r="F305" s="10">
        <v>2225</v>
      </c>
      <c r="G305" s="10">
        <v>2483</v>
      </c>
      <c r="H305" s="10">
        <v>2594</v>
      </c>
    </row>
    <row r="306" spans="2:9" outlineLevel="1"/>
    <row r="307" spans="2:9" outlineLevel="1"/>
    <row r="308" spans="2:9" outlineLevel="1">
      <c r="B308" s="48" t="s">
        <v>190</v>
      </c>
      <c r="D308" s="10">
        <v>2102</v>
      </c>
      <c r="E308" s="10">
        <v>709</v>
      </c>
      <c r="F308" s="10">
        <v>1222</v>
      </c>
      <c r="G308" s="10">
        <v>604</v>
      </c>
      <c r="H308" s="10">
        <v>2048</v>
      </c>
    </row>
    <row r="309" spans="2:9" outlineLevel="1"/>
    <row r="310" spans="2:9" outlineLevel="1"/>
    <row r="311" spans="2:9" outlineLevel="1">
      <c r="B311" s="48" t="s">
        <v>191</v>
      </c>
      <c r="D311" s="10">
        <v>1485</v>
      </c>
      <c r="E311" s="10">
        <v>1649</v>
      </c>
      <c r="F311" s="10">
        <v>2878</v>
      </c>
      <c r="G311" s="10">
        <v>2226</v>
      </c>
      <c r="H311" s="10">
        <v>1857</v>
      </c>
    </row>
    <row r="312" spans="2:9" outlineLevel="1"/>
    <row r="313" spans="2:9" outlineLevel="1"/>
    <row r="314" spans="2:9" outlineLevel="1">
      <c r="B314" s="48" t="s">
        <v>192</v>
      </c>
      <c r="D314" s="10">
        <v>9830</v>
      </c>
      <c r="E314" s="10">
        <v>11159</v>
      </c>
      <c r="F314" s="10">
        <v>8649</v>
      </c>
      <c r="G314" s="10">
        <v>8212</v>
      </c>
      <c r="H314" s="10">
        <v>7987</v>
      </c>
      <c r="I314" s="64"/>
    </row>
    <row r="315" spans="2:9" outlineLevel="1"/>
    <row r="316" spans="2:9" outlineLevel="1"/>
    <row r="317" spans="2:9" outlineLevel="1">
      <c r="B317" s="48" t="s">
        <v>193</v>
      </c>
      <c r="D317" s="10">
        <v>3528</v>
      </c>
      <c r="E317" s="10">
        <v>3677</v>
      </c>
      <c r="F317" s="10">
        <v>3481</v>
      </c>
      <c r="G317" s="10">
        <v>3485</v>
      </c>
      <c r="H317" s="10">
        <v>3510</v>
      </c>
    </row>
    <row r="318" spans="2:9" outlineLevel="1"/>
    <row r="319" spans="2:9" outlineLevel="1"/>
    <row r="320" spans="2:9" outlineLevel="1">
      <c r="B320" s="48" t="s">
        <v>194</v>
      </c>
      <c r="D320" s="10"/>
      <c r="E320" s="10"/>
      <c r="F320" s="10"/>
      <c r="G320" s="10"/>
      <c r="H320" s="10"/>
    </row>
    <row r="321" spans="2:18" outlineLevel="1">
      <c r="B321" s="1"/>
      <c r="C321" s="1"/>
    </row>
    <row r="322" spans="2:18" outlineLevel="1">
      <c r="B322" s="1"/>
      <c r="C322" s="1"/>
    </row>
    <row r="323" spans="2:18" outlineLevel="1">
      <c r="B323" s="48" t="s">
        <v>195</v>
      </c>
      <c r="D323" s="10">
        <v>4423</v>
      </c>
      <c r="E323" s="10">
        <v>4478</v>
      </c>
      <c r="F323" s="10">
        <v>4531</v>
      </c>
      <c r="G323" s="10">
        <v>4598</v>
      </c>
      <c r="H323" s="10">
        <v>4605</v>
      </c>
    </row>
    <row r="324" spans="2:18" outlineLevel="1"/>
    <row r="325" spans="2:18" outlineLevel="1"/>
    <row r="326" spans="2:18" outlineLevel="1">
      <c r="B326" s="48" t="s">
        <v>196</v>
      </c>
      <c r="D326" s="10">
        <v>13787</v>
      </c>
      <c r="E326" s="10">
        <v>15100</v>
      </c>
      <c r="F326" s="10">
        <v>17502</v>
      </c>
      <c r="G326" s="10">
        <v>20084</v>
      </c>
      <c r="H326" s="10">
        <v>18760</v>
      </c>
    </row>
    <row r="327" spans="2:18" outlineLevel="1">
      <c r="B327" s="16"/>
      <c r="C327" s="16"/>
      <c r="D327" s="16"/>
      <c r="E327" s="65"/>
      <c r="F327" s="65"/>
      <c r="G327" s="65"/>
      <c r="H327" s="65"/>
      <c r="I327" s="65"/>
      <c r="J327" s="65"/>
      <c r="K327" s="65"/>
      <c r="L327" s="65"/>
      <c r="M327" s="65"/>
      <c r="N327" s="65"/>
      <c r="O327" s="65"/>
      <c r="P327" s="65"/>
      <c r="Q327" s="65"/>
      <c r="R327" s="65"/>
    </row>
    <row r="328" spans="2:18" outlineLevel="1"/>
    <row r="329" spans="2:18" outlineLevel="1">
      <c r="B329" s="48" t="s">
        <v>197</v>
      </c>
      <c r="D329" s="10">
        <v>-117</v>
      </c>
      <c r="E329" s="10">
        <v>-179</v>
      </c>
      <c r="F329" s="10">
        <v>-172</v>
      </c>
      <c r="G329" s="10">
        <v>-297</v>
      </c>
      <c r="H329" s="10">
        <v>-260</v>
      </c>
    </row>
    <row r="330" spans="2:18" outlineLevel="1">
      <c r="B330" s="16"/>
      <c r="D330" s="11"/>
      <c r="E330" s="11"/>
      <c r="F330" s="11"/>
      <c r="G330" s="11"/>
      <c r="H330" s="11"/>
    </row>
    <row r="331" spans="2:18" outlineLevel="1"/>
    <row r="332" spans="2:18" outlineLevel="1">
      <c r="B332" s="48" t="s">
        <v>198</v>
      </c>
      <c r="D332" s="10">
        <v>144</v>
      </c>
      <c r="E332" s="10">
        <v>132</v>
      </c>
      <c r="F332" s="10">
        <v>131</v>
      </c>
      <c r="G332" s="10">
        <v>109</v>
      </c>
      <c r="H332" s="10">
        <v>122</v>
      </c>
    </row>
    <row r="333" spans="2:18" outlineLevel="1"/>
    <row r="334" spans="2:18" outlineLevel="1"/>
    <row r="335" spans="2:18" outlineLevel="1">
      <c r="B335" s="48" t="s">
        <v>199</v>
      </c>
      <c r="D335" s="10">
        <v>4011</v>
      </c>
      <c r="E335" s="10">
        <v>4145</v>
      </c>
      <c r="F335" s="10">
        <v>4138</v>
      </c>
      <c r="G335" s="10">
        <v>4683</v>
      </c>
      <c r="H335" s="10">
        <v>4972</v>
      </c>
    </row>
    <row r="336" spans="2:18" outlineLevel="1"/>
    <row r="337" spans="1:18" outlineLevel="1"/>
    <row r="338" spans="1:18" outlineLevel="1"/>
    <row r="339" spans="1:18" outlineLevel="1">
      <c r="B339" s="35"/>
    </row>
    <row r="340" spans="1:18" outlineLevel="1">
      <c r="B340" s="35"/>
    </row>
    <row r="341" spans="1:18" outlineLevel="1">
      <c r="B341" s="35"/>
    </row>
    <row r="342" spans="1:18">
      <c r="B342" s="35"/>
    </row>
    <row r="343" spans="1:18">
      <c r="A343" s="112" t="s">
        <v>200</v>
      </c>
      <c r="B343" s="22"/>
      <c r="C343" s="31"/>
      <c r="D343" s="22"/>
      <c r="E343" s="22"/>
      <c r="F343" s="22"/>
      <c r="G343" s="22"/>
      <c r="H343" s="22"/>
      <c r="I343" s="23"/>
      <c r="J343" s="23"/>
      <c r="K343" s="23"/>
      <c r="L343" s="23"/>
      <c r="M343" s="23"/>
      <c r="N343" s="23"/>
      <c r="O343" s="23"/>
      <c r="P343" s="23"/>
      <c r="Q343" s="23"/>
      <c r="R343" s="23"/>
    </row>
    <row r="344" spans="1:18">
      <c r="B344" s="42"/>
      <c r="C344" s="47"/>
      <c r="D344" s="41"/>
      <c r="E344" s="41"/>
      <c r="F344" s="41"/>
      <c r="G344" s="41"/>
      <c r="H344" s="41"/>
      <c r="I344" s="41"/>
      <c r="J344" s="41"/>
      <c r="K344" s="41"/>
      <c r="L344" s="41"/>
      <c r="M344" s="41"/>
      <c r="N344" s="41"/>
      <c r="O344" s="41"/>
      <c r="P344" s="41"/>
      <c r="Q344" s="41"/>
      <c r="R344" s="41"/>
    </row>
  </sheetData>
  <dataValidations count="5">
    <dataValidation type="list" allowBlank="1" showInputMessage="1" showErrorMessage="1" sqref="C54" xr:uid="{6200C4AA-A8F0-49DB-AB8D-5C1963A98483}">
      <formula1>$D$54:$E$54</formula1>
    </dataValidation>
    <dataValidation type="list" allowBlank="1" showInputMessage="1" showErrorMessage="1" sqref="C20" xr:uid="{0619A943-7FA7-495C-BE97-C896CDA13A52}">
      <formula1>$D$20:$G$20</formula1>
    </dataValidation>
    <dataValidation type="list" allowBlank="1" showInputMessage="1" showErrorMessage="1" sqref="C134" xr:uid="{B706854D-F2EF-4566-9CEA-CFD98126925F}">
      <formula1>$D$134:$G$134</formula1>
    </dataValidation>
    <dataValidation type="list" allowBlank="1" showInputMessage="1" showErrorMessage="1" sqref="C158" xr:uid="{50B3C7D8-EC29-4779-B91E-109B298FBCB5}">
      <formula1>$D159:$E159</formula1>
    </dataValidation>
    <dataValidation type="list" allowBlank="1" showInputMessage="1" showErrorMessage="1" sqref="C173" xr:uid="{3D57ED9E-EE7C-4813-BEAF-1C1859632F21}">
      <formula1>$E$21:$E$21</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63AA2-971B-413C-8623-04F7D2050AC2}">
  <sheetPr>
    <tabColor rgb="FF92D050"/>
  </sheetPr>
  <dimension ref="A2:R61"/>
  <sheetViews>
    <sheetView zoomScale="87" zoomScaleNormal="175" workbookViewId="0">
      <pane xSplit="1" ySplit="2" topLeftCell="B45" activePane="bottomRight" state="frozen"/>
      <selection pane="topRight" activeCell="B1" sqref="B1"/>
      <selection pane="bottomLeft" activeCell="A3" sqref="A3"/>
      <selection pane="bottomRight" activeCell="F18" sqref="F18"/>
    </sheetView>
  </sheetViews>
  <sheetFormatPr baseColWidth="10" defaultColWidth="0" defaultRowHeight="11"/>
  <cols>
    <col min="1" max="1" width="4" style="1" bestFit="1" customWidth="1"/>
    <col min="2" max="2" width="31.1640625" style="1" bestFit="1" customWidth="1"/>
    <col min="3" max="3" width="9.6640625" style="1" bestFit="1" customWidth="1"/>
    <col min="4" max="4" width="2.1640625" style="1" customWidth="1"/>
    <col min="5" max="5" width="31.1640625" style="1" bestFit="1" customWidth="1"/>
    <col min="6" max="6" width="9.6640625" style="1" bestFit="1" customWidth="1"/>
    <col min="7" max="7" width="2.1640625" style="1" customWidth="1"/>
    <col min="8" max="8" width="25.6640625" style="1" bestFit="1" customWidth="1"/>
    <col min="9" max="9" width="9.1640625" style="1" bestFit="1" customWidth="1"/>
    <col min="10" max="18" width="8.6640625" style="1" customWidth="1"/>
    <col min="19" max="16384" width="8.6640625" style="1" hidden="1"/>
  </cols>
  <sheetData>
    <row r="2" spans="1:18" s="14" customFormat="1">
      <c r="B2" s="42" t="s">
        <v>201</v>
      </c>
      <c r="C2" s="42"/>
      <c r="D2" s="90"/>
      <c r="E2" s="42" t="s">
        <v>202</v>
      </c>
      <c r="F2" s="42"/>
      <c r="G2" s="90"/>
      <c r="H2" s="89" t="s">
        <v>203</v>
      </c>
      <c r="I2" s="89"/>
      <c r="J2" s="89"/>
      <c r="K2" s="89"/>
      <c r="L2" s="89"/>
      <c r="M2" s="89"/>
      <c r="N2" s="89"/>
      <c r="O2" s="89"/>
      <c r="P2" s="89"/>
      <c r="Q2" s="89"/>
      <c r="R2" s="89"/>
    </row>
    <row r="3" spans="1:18">
      <c r="A3" s="242" t="s">
        <v>13</v>
      </c>
      <c r="B3" s="109" t="str">
        <f>_xlfn.TEXTBEFORE(B$2," - ")&amp;" - "&amp;$A3</f>
        <v>Perpetuity Growth Method - Base</v>
      </c>
      <c r="C3" s="109"/>
      <c r="E3" s="109" t="str">
        <f>_xlfn.TEXTBEFORE(E$2," - ")&amp;" - "&amp;$A3</f>
        <v>EBITDA Multiple Method - Base</v>
      </c>
      <c r="F3" s="109"/>
      <c r="H3" s="22" t="str">
        <f>Assumptions!$B$132</f>
        <v>Year Ending 09/31/2024, In USD Millions</v>
      </c>
      <c r="I3" s="108" cm="1">
        <f t="array" ref="I3:M3">_xlfn.SEQUENCE(1,Assumptions!$C$20,(YEAR(Assumptions!$C$19)))</f>
        <v>2024</v>
      </c>
      <c r="J3" s="108">
        <v>2025</v>
      </c>
      <c r="K3" s="108">
        <v>2026</v>
      </c>
      <c r="L3" s="108">
        <v>2027</v>
      </c>
      <c r="M3" s="108">
        <v>2028</v>
      </c>
      <c r="N3" s="108"/>
      <c r="O3" s="108"/>
      <c r="P3" s="108"/>
      <c r="Q3" s="108"/>
      <c r="R3" s="108"/>
    </row>
    <row r="4" spans="1:18">
      <c r="A4" s="242"/>
      <c r="B4" s="88" t="str">
        <f>"Free Cash Flow at Year "&amp;COUNTA($I3:$R3)</f>
        <v>Free Cash Flow at Year 5</v>
      </c>
      <c r="C4" s="136" cm="1">
        <f t="array" ref="C4">LOOKUP(2,1/($I15:$R15&lt;&gt;""),$I15:$R15)</f>
        <v>2060.8523390568462</v>
      </c>
      <c r="E4" s="88" t="str">
        <f>"Terminal EBITDA at Year  "&amp;COUNTA($I3:$R3)</f>
        <v>Terminal EBITDA at Year  5</v>
      </c>
      <c r="F4" s="136" cm="1">
        <f t="array" ref="F4">LOOKUP(2,1/($I4:$R4&lt;&gt;""),$I4:$R4)</f>
        <v>5100.4186939880456</v>
      </c>
      <c r="H4" s="14" t="s">
        <v>204</v>
      </c>
      <c r="I4" s="19">
        <f>IF(I3="","",'Income Statement'!H$53)</f>
        <v>4901.4021135552221</v>
      </c>
      <c r="J4" s="19">
        <f>IF(J3="","",'Income Statement'!I$53)</f>
        <v>4950.4161346907758</v>
      </c>
      <c r="K4" s="19">
        <f>IF(K3="","",'Income Statement'!J$53)</f>
        <v>4999.9202960376842</v>
      </c>
      <c r="L4" s="19">
        <f>IF(L3="","",'Income Statement'!K$53)</f>
        <v>5049.9194989980642</v>
      </c>
      <c r="M4" s="19">
        <f>IF(M3="","",'Income Statement'!L$53)</f>
        <v>5100.4186939880456</v>
      </c>
      <c r="N4" s="19" t="str">
        <f>IF(N3="","",'Income Statement'!M$53)</f>
        <v/>
      </c>
      <c r="O4" s="19" t="str">
        <f>IF(O3="","",'Income Statement'!N$53)</f>
        <v/>
      </c>
      <c r="P4" s="19" t="str">
        <f>IF(P3="","",'Income Statement'!O$53)</f>
        <v/>
      </c>
      <c r="Q4" s="19" t="str">
        <f>IF(Q3="","",'Income Statement'!P$53)</f>
        <v/>
      </c>
      <c r="R4" s="19" t="str">
        <f>IF(R3="","",'Income Statement'!Q$53)</f>
        <v/>
      </c>
    </row>
    <row r="5" spans="1:18">
      <c r="A5" s="242"/>
      <c r="B5" s="73" t="s">
        <v>45</v>
      </c>
      <c r="C5" s="78">
        <f>Assumptions!$C$123</f>
        <v>6.5769366012649016E-2</v>
      </c>
      <c r="E5" s="73" t="s">
        <v>45</v>
      </c>
      <c r="F5" s="78">
        <f>Assumptions!$C$123</f>
        <v>6.5769366012649016E-2</v>
      </c>
      <c r="I5" s="18"/>
      <c r="J5" s="18"/>
      <c r="K5" s="18"/>
      <c r="L5" s="18"/>
      <c r="M5" s="18"/>
      <c r="N5" s="18"/>
      <c r="O5" s="18"/>
      <c r="P5" s="18"/>
      <c r="Q5" s="18"/>
      <c r="R5" s="18"/>
    </row>
    <row r="6" spans="1:18">
      <c r="A6" s="242"/>
      <c r="B6" s="73" t="s">
        <v>205</v>
      </c>
      <c r="C6" s="78">
        <f>Assumptions!$C$133</f>
        <v>0.01</v>
      </c>
      <c r="E6" s="73" t="s">
        <v>58</v>
      </c>
      <c r="F6" s="124">
        <f>Assumptions!$C$21</f>
        <v>15.97</v>
      </c>
      <c r="H6" s="84" t="s">
        <v>206</v>
      </c>
      <c r="I6" s="137">
        <f>IF(I3="","",'Income Statement'!H$59)</f>
        <v>2882.3235223731954</v>
      </c>
      <c r="J6" s="137">
        <f>IF(J3="","",'Income Statement'!I$59)</f>
        <v>2906.9492958583533</v>
      </c>
      <c r="K6" s="137">
        <f>IF(K3="","",'Income Statement'!J$59)</f>
        <v>2935.4674969621492</v>
      </c>
      <c r="L6" s="137">
        <f>IF(L3="","",'Income Statement'!K$59)</f>
        <v>2966.6102081889326</v>
      </c>
      <c r="M6" s="137">
        <f>IF(M3="","",'Income Statement'!L$59)</f>
        <v>2996.9327806413758</v>
      </c>
      <c r="N6" s="137" t="str">
        <f>IF(N3="","",'Income Statement'!M$59)</f>
        <v/>
      </c>
      <c r="O6" s="137" t="str">
        <f>IF(O3="","",'Income Statement'!N$59)</f>
        <v/>
      </c>
      <c r="P6" s="137" t="str">
        <f>IF(P3="","",'Income Statement'!O$59)</f>
        <v/>
      </c>
      <c r="Q6" s="137" t="str">
        <f>IF(Q3="","",'Income Statement'!P$59)</f>
        <v/>
      </c>
      <c r="R6" s="137" t="str">
        <f>IF(R3="","",'Income Statement'!Q$59)</f>
        <v/>
      </c>
    </row>
    <row r="7" spans="1:18">
      <c r="A7" s="242"/>
      <c r="B7" s="85" t="str">
        <f>+"Perpetuity Value at Year "&amp;COUNTA($I3:$R3)&amp;" ~ Terminal Value"</f>
        <v>Perpetuity Value at Year 5 ~ Terminal Value</v>
      </c>
      <c r="C7" s="134">
        <f>(C4*(1+C6))/(C5-C6)</f>
        <v>37322.655989586106</v>
      </c>
      <c r="E7" s="85" t="str">
        <f>+"Perpetuity Value at Year "&amp;COUNTA($I3:$R3)&amp;" ~ Terminal Value"</f>
        <v>Perpetuity Value at Year 5 ~ Terminal Value</v>
      </c>
      <c r="F7" s="134">
        <f>+F4*F6</f>
        <v>81453.68654298909</v>
      </c>
      <c r="H7" s="98"/>
      <c r="I7" s="137"/>
      <c r="J7" s="137"/>
      <c r="K7" s="137"/>
      <c r="L7" s="137"/>
      <c r="M7" s="137"/>
      <c r="N7" s="137"/>
      <c r="O7" s="137"/>
      <c r="P7" s="137"/>
      <c r="Q7" s="137"/>
      <c r="R7" s="137"/>
    </row>
    <row r="8" spans="1:18">
      <c r="A8" s="242"/>
      <c r="C8" s="18"/>
      <c r="F8" s="18"/>
      <c r="H8" s="98" t="s">
        <v>151</v>
      </c>
      <c r="I8" s="137">
        <f>IF(I3="","",'Income Statement'!H$47)</f>
        <v>1392.2121284182713</v>
      </c>
      <c r="J8" s="137">
        <f>IF(J3="","",'Income Statement'!I$47)</f>
        <v>1406.1342497024541</v>
      </c>
      <c r="K8" s="137">
        <f>IF(K3="","",'Income Statement'!J$47)</f>
        <v>1420.1955921994788</v>
      </c>
      <c r="L8" s="137">
        <f>IF(L3="","",'Income Statement'!K$47)</f>
        <v>1434.3975481214736</v>
      </c>
      <c r="M8" s="137">
        <f>IF(M3="","",'Income Statement'!L$47)</f>
        <v>1448.7415236026884</v>
      </c>
      <c r="N8" s="137" t="str">
        <f>IF(N3="","",'Income Statement'!M$47)</f>
        <v/>
      </c>
      <c r="O8" s="137" t="str">
        <f>IF(O3="","",'Income Statement'!N$47)</f>
        <v/>
      </c>
      <c r="P8" s="137" t="str">
        <f>IF(P3="","",'Income Statement'!O$47)</f>
        <v/>
      </c>
      <c r="Q8" s="137" t="str">
        <f>IF(Q3="","",'Income Statement'!P$47)</f>
        <v/>
      </c>
      <c r="R8" s="137" t="str">
        <f>IF(R3="","",'Income Statement'!Q$47)</f>
        <v/>
      </c>
    </row>
    <row r="9" spans="1:18">
      <c r="A9" s="242"/>
      <c r="B9" s="84" t="s">
        <v>207</v>
      </c>
      <c r="C9" s="136">
        <f>C7/(1+C5)^COUNTA($I3:$R3)</f>
        <v>27142.90816014865</v>
      </c>
      <c r="E9" s="84" t="s">
        <v>207</v>
      </c>
      <c r="F9" s="136">
        <f>F7/(1+F5)^COUNTA($I3:$R3)</f>
        <v>59237.207924290778</v>
      </c>
      <c r="H9" s="98"/>
      <c r="I9" s="137"/>
      <c r="J9" s="137"/>
      <c r="K9" s="137"/>
      <c r="L9" s="137"/>
      <c r="M9" s="137"/>
      <c r="N9" s="137"/>
      <c r="O9" s="137"/>
      <c r="P9" s="137"/>
      <c r="Q9" s="137"/>
      <c r="R9" s="137"/>
    </row>
    <row r="10" spans="1:18">
      <c r="A10" s="242"/>
      <c r="B10" s="135" t="s">
        <v>208</v>
      </c>
      <c r="C10" s="137">
        <f>SUM($I18:$R18)</f>
        <v>8803.3986445275168</v>
      </c>
      <c r="E10" s="135" t="s">
        <v>208</v>
      </c>
      <c r="F10" s="137">
        <f>SUM($I18:$R18)</f>
        <v>8803.3986445275168</v>
      </c>
      <c r="H10" s="98" t="s">
        <v>149</v>
      </c>
      <c r="I10" s="137">
        <f>IF(I3="","",'Income Statement'!H$44)</f>
        <v>1658.1967508447033</v>
      </c>
      <c r="J10" s="137">
        <f>IF(J3="","",'Income Statement'!I$44)</f>
        <v>1674.7787183531502</v>
      </c>
      <c r="K10" s="137">
        <f>IF(K3="","",'Income Statement'!J$44)</f>
        <v>1691.526505536682</v>
      </c>
      <c r="L10" s="137">
        <f>IF(L3="","",'Income Statement'!K$44)</f>
        <v>1708.4417705920489</v>
      </c>
      <c r="M10" s="137">
        <f>IF(M3="","",'Income Statement'!L$44)</f>
        <v>1725.5261882979694</v>
      </c>
      <c r="N10" s="137" t="str">
        <f>IF(N3="","",'Income Statement'!M$44)</f>
        <v/>
      </c>
      <c r="O10" s="137" t="str">
        <f>IF(O3="","",'Income Statement'!N$44)</f>
        <v/>
      </c>
      <c r="P10" s="137" t="str">
        <f>IF(P3="","",'Income Statement'!O$44)</f>
        <v/>
      </c>
      <c r="Q10" s="137" t="str">
        <f>IF(Q3="","",'Income Statement'!P$44)</f>
        <v/>
      </c>
      <c r="R10" s="137" t="str">
        <f>IF(R3="","",'Income Statement'!Q$44)</f>
        <v/>
      </c>
    </row>
    <row r="11" spans="1:18">
      <c r="A11" s="242"/>
      <c r="B11" s="74" t="s">
        <v>209</v>
      </c>
      <c r="C11" s="138">
        <f>C9+C10</f>
        <v>35946.306804676169</v>
      </c>
      <c r="E11" s="74" t="s">
        <v>209</v>
      </c>
      <c r="F11" s="138">
        <f>F9+F10</f>
        <v>68040.606568818301</v>
      </c>
      <c r="H11" s="140"/>
      <c r="I11" s="137"/>
      <c r="J11" s="137"/>
      <c r="K11" s="137"/>
      <c r="L11" s="137"/>
      <c r="M11" s="137"/>
      <c r="N11" s="137"/>
      <c r="O11" s="137"/>
      <c r="P11" s="137"/>
      <c r="Q11" s="137"/>
      <c r="R11" s="137"/>
    </row>
    <row r="12" spans="1:18">
      <c r="A12" s="242"/>
      <c r="C12" s="18"/>
      <c r="F12" s="18"/>
      <c r="H12" s="98" t="s">
        <v>210</v>
      </c>
      <c r="I12" s="137">
        <f>IF(I3="","",'Balance Sheet'!H$47-'Balance Sheet'!G$47)</f>
        <v>1258.6370998301891</v>
      </c>
      <c r="J12" s="137">
        <f>IF(J3="","",'Balance Sheet'!I$47-'Balance Sheet'!H$47)</f>
        <v>1500.5312991239762</v>
      </c>
      <c r="K12" s="137">
        <f>IF(K3="","",'Balance Sheet'!J$47-'Balance Sheet'!I$47)</f>
        <v>1176.9184479409751</v>
      </c>
      <c r="L12" s="137">
        <f>IF(L3="","",'Balance Sheet'!K$47-'Balance Sheet'!J$47)</f>
        <v>607.51440597395231</v>
      </c>
      <c r="M12" s="137">
        <f>IF(M3="","",'Balance Sheet'!L$47-'Balance Sheet'!K$47)</f>
        <v>1314.04016663323</v>
      </c>
      <c r="N12" s="137" t="str">
        <f>IF(N3="","",'Balance Sheet'!M$47-'Balance Sheet'!L$47)</f>
        <v/>
      </c>
      <c r="O12" s="137" t="str">
        <f>IF(O3="","",'Balance Sheet'!N$47-'Balance Sheet'!M$47)</f>
        <v/>
      </c>
      <c r="P12" s="137" t="str">
        <f>IF(P3="","",'Balance Sheet'!O$47-'Balance Sheet'!N$47)</f>
        <v/>
      </c>
      <c r="Q12" s="137" t="str">
        <f>IF(Q3="","",'Balance Sheet'!P$47-'Balance Sheet'!O$47)</f>
        <v/>
      </c>
      <c r="R12" s="137" t="str">
        <f>IF(R3="","",'Balance Sheet'!Q$47-'Balance Sheet'!P$47)</f>
        <v/>
      </c>
    </row>
    <row r="13" spans="1:18">
      <c r="A13" s="242"/>
      <c r="B13" s="73" t="s">
        <v>211</v>
      </c>
      <c r="C13" s="137">
        <f>+'Balance Sheet'!$G$48</f>
        <v>9462</v>
      </c>
      <c r="E13" s="73" t="s">
        <v>211</v>
      </c>
      <c r="F13" s="137">
        <f>+'Balance Sheet'!$G$48</f>
        <v>9462</v>
      </c>
      <c r="H13" s="142"/>
      <c r="I13" s="137"/>
      <c r="J13" s="137"/>
      <c r="K13" s="137"/>
      <c r="L13" s="137"/>
      <c r="M13" s="137"/>
      <c r="N13" s="137"/>
      <c r="O13" s="137"/>
      <c r="P13" s="137"/>
      <c r="Q13" s="137"/>
      <c r="R13" s="137"/>
    </row>
    <row r="14" spans="1:18">
      <c r="A14" s="242"/>
      <c r="B14" s="73" t="s">
        <v>212</v>
      </c>
      <c r="C14" s="167">
        <f>+'Balance Sheet'!$G$37</f>
        <v>122</v>
      </c>
      <c r="E14" s="73" t="s">
        <v>212</v>
      </c>
      <c r="F14" s="167">
        <f>+'Balance Sheet'!$G$37</f>
        <v>122</v>
      </c>
      <c r="H14" s="98" t="s">
        <v>213</v>
      </c>
      <c r="I14" s="137">
        <f>IF(I3="","",'Income Statement'!H$31)</f>
        <v>626.86646276375541</v>
      </c>
      <c r="J14" s="137">
        <f>IF(J3="","",'Income Statement'!I$31)</f>
        <v>637.33258912996848</v>
      </c>
      <c r="K14" s="137">
        <f>IF(K3="","",'Income Statement'!J$31)</f>
        <v>644.25720687605644</v>
      </c>
      <c r="L14" s="137">
        <f>IF(L3="","",'Income Statement'!K$31)</f>
        <v>648.91174268765781</v>
      </c>
      <c r="M14" s="137">
        <f>IF(M3="","",'Income Statement'!L$31)</f>
        <v>654.74438974398186</v>
      </c>
      <c r="N14" s="137" t="str">
        <f>IF(N3="","",'Income Statement'!M$31)</f>
        <v/>
      </c>
      <c r="O14" s="137" t="str">
        <f>IF(O3="","",'Income Statement'!N$31)</f>
        <v/>
      </c>
      <c r="P14" s="137" t="str">
        <f>IF(P3="","",'Income Statement'!O$31)</f>
        <v/>
      </c>
      <c r="Q14" s="137" t="str">
        <f>IF(Q3="","",'Income Statement'!P$31)</f>
        <v/>
      </c>
      <c r="R14" s="137" t="str">
        <f>IF(R3="","",'Income Statement'!Q$31)</f>
        <v/>
      </c>
    </row>
    <row r="15" spans="1:18">
      <c r="A15" s="242"/>
      <c r="B15" s="74" t="s">
        <v>214</v>
      </c>
      <c r="C15" s="138">
        <f>+C11-C13-C14</f>
        <v>26362.306804676169</v>
      </c>
      <c r="E15" s="74" t="s">
        <v>214</v>
      </c>
      <c r="F15" s="138">
        <f>+F11-F13-F14</f>
        <v>58456.606568818301</v>
      </c>
      <c r="H15" s="141" t="s">
        <v>215</v>
      </c>
      <c r="I15" s="138">
        <f>IF(I3="","",I6+I8-I10-I12+I14)</f>
        <v>1984.5682628803297</v>
      </c>
      <c r="J15" s="138">
        <f t="shared" ref="J15:R15" si="0">IF(J3="","",J6+J8-J10-J12+J14)</f>
        <v>1775.1061172136499</v>
      </c>
      <c r="K15" s="138">
        <f t="shared" si="0"/>
        <v>2131.4753425600275</v>
      </c>
      <c r="L15" s="138">
        <f t="shared" si="0"/>
        <v>2733.9633224320628</v>
      </c>
      <c r="M15" s="138">
        <f t="shared" si="0"/>
        <v>2060.8523390568462</v>
      </c>
      <c r="N15" s="138" t="str">
        <f t="shared" si="0"/>
        <v/>
      </c>
      <c r="O15" s="138" t="str">
        <f t="shared" si="0"/>
        <v/>
      </c>
      <c r="P15" s="138" t="str">
        <f t="shared" si="0"/>
        <v/>
      </c>
      <c r="Q15" s="138" t="str">
        <f t="shared" si="0"/>
        <v/>
      </c>
      <c r="R15" s="138" t="str">
        <f t="shared" si="0"/>
        <v/>
      </c>
    </row>
    <row r="16" spans="1:18">
      <c r="A16" s="242"/>
    </row>
    <row r="17" spans="1:18">
      <c r="A17" s="242"/>
      <c r="B17" s="73" t="s">
        <v>66</v>
      </c>
      <c r="C17" s="167">
        <f>+Assumptions!$C$36</f>
        <v>285.8</v>
      </c>
      <c r="E17" s="73" t="s">
        <v>66</v>
      </c>
      <c r="F17" s="167">
        <f>+Assumptions!$C$36</f>
        <v>285.8</v>
      </c>
      <c r="H17" s="99" t="s">
        <v>216</v>
      </c>
      <c r="I17" s="170">
        <f>IF(I3="","",1/((1+$C5)^COUNTA($I3:I3)))</f>
        <v>0.93828930713338921</v>
      </c>
      <c r="J17" s="170">
        <f>IF(J3="","",1/((1+$C5)^COUNTA($I3:J3)))</f>
        <v>0.88038682388085565</v>
      </c>
      <c r="K17" s="170">
        <f>IF(K3="","",1/((1+$C5)^COUNTA($I3:K3)))</f>
        <v>0.82605754298853329</v>
      </c>
      <c r="L17" s="170">
        <f>IF(L3="","",1/((1+$C5)^COUNTA($I3:L3)))</f>
        <v>0.77508095966302071</v>
      </c>
      <c r="M17" s="170">
        <f>IF(M3="","",1/((1+$C5)^COUNTA($I3:M3)))</f>
        <v>0.72725017661449809</v>
      </c>
      <c r="N17" s="170" t="str">
        <f>IF(N3="","",1/((1+$C5)^COUNTA($I3:N3)))</f>
        <v/>
      </c>
      <c r="O17" s="170" t="str">
        <f>IF(O3="","",1/((1+$C5)^COUNTA($I3:O3)))</f>
        <v/>
      </c>
      <c r="P17" s="170" t="str">
        <f>IF(P3="","",1/((1+$C5)^COUNTA($I3:P3)))</f>
        <v/>
      </c>
      <c r="Q17" s="170" t="str">
        <f>IF(Q3="","",1/((1+$C5)^COUNTA($I3:Q3)))</f>
        <v/>
      </c>
      <c r="R17" s="170" t="str">
        <f>IF(R3="","",1/((1+$C5)^COUNTA($I3:R3)))</f>
        <v/>
      </c>
    </row>
    <row r="18" spans="1:18" ht="12" thickBot="1">
      <c r="A18" s="242"/>
      <c r="B18" s="86" t="s">
        <v>217</v>
      </c>
      <c r="C18" s="169">
        <f>+C15/C17</f>
        <v>92.240401695857827</v>
      </c>
      <c r="E18" s="86" t="s">
        <v>217</v>
      </c>
      <c r="F18" s="169">
        <f>+F15/F17</f>
        <v>204.53676196227536</v>
      </c>
      <c r="H18" s="86" t="s">
        <v>218</v>
      </c>
      <c r="I18" s="169">
        <f t="shared" ref="I18:R18" si="1">IF(I3="","",I15*I17)</f>
        <v>1862.0991803368984</v>
      </c>
      <c r="J18" s="169">
        <f t="shared" si="1"/>
        <v>1562.7800365852031</v>
      </c>
      <c r="K18" s="169">
        <f t="shared" si="1"/>
        <v>1760.7212844157787</v>
      </c>
      <c r="L18" s="169">
        <f t="shared" si="1"/>
        <v>2119.0429156341438</v>
      </c>
      <c r="M18" s="169">
        <f t="shared" si="1"/>
        <v>1498.7552275554929</v>
      </c>
      <c r="N18" s="169" t="str">
        <f t="shared" si="1"/>
        <v/>
      </c>
      <c r="O18" s="169" t="str">
        <f t="shared" si="1"/>
        <v/>
      </c>
      <c r="P18" s="169" t="str">
        <f t="shared" si="1"/>
        <v/>
      </c>
      <c r="Q18" s="169" t="str">
        <f t="shared" si="1"/>
        <v/>
      </c>
      <c r="R18" s="169" t="str">
        <f t="shared" si="1"/>
        <v/>
      </c>
    </row>
    <row r="19" spans="1:18" ht="12" thickTop="1"/>
    <row r="21" spans="1:18">
      <c r="A21" s="243" t="s">
        <v>14</v>
      </c>
      <c r="B21" s="109" t="str">
        <f>_xlfn.TEXTBEFORE(B$2," - ")&amp;" - "&amp;$A21</f>
        <v>Perpetuity Growth Method - Bear</v>
      </c>
      <c r="C21" s="109"/>
      <c r="E21" s="109" t="str">
        <f>_xlfn.TEXTBEFORE(E$2," - ")&amp;" - "&amp;$A21</f>
        <v>EBITDA Multiple Method - Bear</v>
      </c>
      <c r="F21" s="109"/>
      <c r="H21" s="22" t="str">
        <f>Assumptions!$B$132</f>
        <v>Year Ending 09/31/2024, In USD Millions</v>
      </c>
      <c r="I21" s="108" cm="1">
        <f t="array" ref="I21:M21">_xlfn.SEQUENCE(1,Assumptions!$C$20,(YEAR(Assumptions!$C$19)))</f>
        <v>2024</v>
      </c>
      <c r="J21" s="108">
        <v>2025</v>
      </c>
      <c r="K21" s="108">
        <v>2026</v>
      </c>
      <c r="L21" s="108">
        <v>2027</v>
      </c>
      <c r="M21" s="108">
        <v>2028</v>
      </c>
      <c r="N21" s="108"/>
      <c r="O21" s="108"/>
      <c r="P21" s="108"/>
      <c r="Q21" s="108"/>
      <c r="R21" s="108"/>
    </row>
    <row r="22" spans="1:18">
      <c r="A22" s="243"/>
      <c r="B22" s="88" t="str">
        <f>"Free Cash Flow at Year "&amp;COUNTA($I21:$R21)</f>
        <v>Free Cash Flow at Year 5</v>
      </c>
      <c r="C22" s="136" cm="1">
        <f t="array" ref="C22">LOOKUP(2,1/(I33:R33&lt;&gt;""),I33:R33)</f>
        <v>2047.9268432861386</v>
      </c>
      <c r="E22" s="88" t="str">
        <f>"Terminal EBITDA at Year  "&amp;COUNTA($I21:$R21)</f>
        <v>Terminal EBITDA at Year  5</v>
      </c>
      <c r="F22" s="136" cm="1">
        <f t="array" ref="F22">LOOKUP(2,1/($I22:$R22&lt;&gt;""),$I22:$R22)</f>
        <v>4615.0342975741105</v>
      </c>
      <c r="H22" s="14" t="s">
        <v>204</v>
      </c>
      <c r="I22" s="19">
        <f>IF(I21="","",'IS Bear'!H$53)</f>
        <v>4804.3446459600746</v>
      </c>
      <c r="J22" s="19">
        <f>IF(J21="","",'IS Bear'!I$53)</f>
        <v>4756.3011995004736</v>
      </c>
      <c r="K22" s="19">
        <f>IF(K21="","",'IS Bear'!J$53)</f>
        <v>4708.7381875054634</v>
      </c>
      <c r="L22" s="19">
        <f>IF(L21="","",'IS Bear'!K$53)</f>
        <v>4661.6508056304119</v>
      </c>
      <c r="M22" s="19">
        <f>IF(M21="","",'IS Bear'!L$53)</f>
        <v>4615.0342975741105</v>
      </c>
      <c r="N22" s="19" t="str">
        <f>IF(N21="","",'IS Bear'!M$53)</f>
        <v/>
      </c>
      <c r="O22" s="19" t="str">
        <f>IF(O21="","",'IS Bear'!N$53)</f>
        <v/>
      </c>
      <c r="P22" s="19" t="str">
        <f>IF(P21="","",'IS Bear'!O$53)</f>
        <v/>
      </c>
      <c r="Q22" s="19" t="str">
        <f>IF(Q21="","",'IS Bear'!P$53)</f>
        <v/>
      </c>
      <c r="R22" s="19" t="str">
        <f>IF(R21="","",'IS Bear'!Q$53)</f>
        <v/>
      </c>
    </row>
    <row r="23" spans="1:18">
      <c r="A23" s="243"/>
      <c r="B23" s="73" t="s">
        <v>45</v>
      </c>
      <c r="C23" s="78">
        <f>Assumptions!$C$123</f>
        <v>6.5769366012649016E-2</v>
      </c>
      <c r="E23" s="73" t="s">
        <v>45</v>
      </c>
      <c r="F23" s="78">
        <f>Assumptions!$C$123</f>
        <v>6.5769366012649016E-2</v>
      </c>
      <c r="I23" s="18"/>
      <c r="J23" s="18"/>
      <c r="K23" s="18"/>
      <c r="L23" s="18"/>
      <c r="M23" s="18"/>
      <c r="N23" s="18"/>
      <c r="O23" s="18"/>
      <c r="P23" s="18"/>
      <c r="Q23" s="18"/>
      <c r="R23" s="18"/>
    </row>
    <row r="24" spans="1:18">
      <c r="A24" s="243"/>
      <c r="B24" s="73" t="s">
        <v>205</v>
      </c>
      <c r="C24" s="78">
        <f>Assumptions!$C$133</f>
        <v>0.01</v>
      </c>
      <c r="E24" s="73" t="s">
        <v>58</v>
      </c>
      <c r="F24" s="124">
        <f>Assumptions!$C$21</f>
        <v>15.97</v>
      </c>
      <c r="H24" s="84" t="s">
        <v>206</v>
      </c>
      <c r="I24" s="137">
        <f>IF(I21="","",'IS Bear'!H$59)</f>
        <v>2826.7465961352827</v>
      </c>
      <c r="J24" s="137">
        <f>IF(J21="","",'IS Bear'!I$59)</f>
        <v>2795.7954433825225</v>
      </c>
      <c r="K24" s="137">
        <f>IF(K21="","",'IS Bear'!J$59)</f>
        <v>2768.7311605557725</v>
      </c>
      <c r="L24" s="137">
        <f>IF(L21="","",'IS Bear'!K$59)</f>
        <v>2744.2802724667672</v>
      </c>
      <c r="M24" s="137">
        <f>IF(M21="","",'IS Bear'!L$59)</f>
        <v>2718.9925719697826</v>
      </c>
      <c r="N24" s="137" t="str">
        <f>IF(N21="","",'IS Bear'!M$59)</f>
        <v/>
      </c>
      <c r="O24" s="137" t="str">
        <f>IF(O21="","",'IS Bear'!N$59)</f>
        <v/>
      </c>
      <c r="P24" s="137" t="str">
        <f>IF(P21="","",'IS Bear'!O$59)</f>
        <v/>
      </c>
      <c r="Q24" s="137" t="str">
        <f>IF(Q21="","",'IS Bear'!P$59)</f>
        <v/>
      </c>
      <c r="R24" s="137" t="str">
        <f>IF(R21="","",'IS Bear'!Q$59)</f>
        <v/>
      </c>
    </row>
    <row r="25" spans="1:18">
      <c r="A25" s="243"/>
      <c r="B25" s="85" t="str">
        <f>+"Perpetuity Value at Year "&amp;COUNTA($I21:$R21)&amp;" ~ Terminal Value"</f>
        <v>Perpetuity Value at Year 5 ~ Terminal Value</v>
      </c>
      <c r="C25" s="134">
        <f>(C22*(1+C24))/(C23-C24)</f>
        <v>37088.571371779013</v>
      </c>
      <c r="E25" s="85" t="str">
        <f>+"Perpetuity Value at Year "&amp;COUNTA($I21:$R21)&amp;" ~ Terminal Value"</f>
        <v>Perpetuity Value at Year 5 ~ Terminal Value</v>
      </c>
      <c r="F25" s="134">
        <f>+F22*F24</f>
        <v>73702.097732258553</v>
      </c>
      <c r="H25" s="98"/>
      <c r="I25" s="137"/>
      <c r="J25" s="137"/>
      <c r="K25" s="137"/>
      <c r="L25" s="137"/>
      <c r="M25" s="137"/>
      <c r="N25" s="137"/>
      <c r="O25" s="137"/>
      <c r="P25" s="137"/>
      <c r="Q25" s="137"/>
      <c r="R25" s="137"/>
    </row>
    <row r="26" spans="1:18">
      <c r="A26" s="243"/>
      <c r="C26" s="18"/>
      <c r="F26" s="18"/>
      <c r="H26" s="98" t="s">
        <v>151</v>
      </c>
      <c r="I26" s="137">
        <f>IF(I21="","",'IS Bear'!H$47)</f>
        <v>1364.6435714198899</v>
      </c>
      <c r="J26" s="137">
        <f>IF(J21="","",'IS Bear'!I$47)</f>
        <v>1350.9971357056909</v>
      </c>
      <c r="K26" s="137">
        <f>IF(K21="","",'IS Bear'!J$47)</f>
        <v>1337.487164348634</v>
      </c>
      <c r="L26" s="137">
        <f>IF(L21="","",'IS Bear'!K$47)</f>
        <v>1324.1122927051479</v>
      </c>
      <c r="M26" s="137">
        <f>IF(M21="","",'IS Bear'!L$47)</f>
        <v>1310.8711697780961</v>
      </c>
      <c r="N26" s="137" t="str">
        <f>IF(N21="","",'IS Bear'!M$47)</f>
        <v/>
      </c>
      <c r="O26" s="137" t="str">
        <f>IF(O21="","",'IS Bear'!N$47)</f>
        <v/>
      </c>
      <c r="P26" s="137" t="str">
        <f>IF(P21="","",'IS Bear'!O$47)</f>
        <v/>
      </c>
      <c r="Q26" s="137" t="str">
        <f>IF(Q21="","",'IS Bear'!P$47)</f>
        <v/>
      </c>
      <c r="R26" s="137" t="str">
        <f>IF(R21="","",'IS Bear'!Q$47)</f>
        <v/>
      </c>
    </row>
    <row r="27" spans="1:18">
      <c r="A27" s="243"/>
      <c r="B27" s="84" t="s">
        <v>207</v>
      </c>
      <c r="C27" s="136">
        <f>C25/(1+C23)^COUNTA($I21:$R21)</f>
        <v>26972.670080505704</v>
      </c>
      <c r="E27" s="84" t="s">
        <v>207</v>
      </c>
      <c r="F27" s="136">
        <f>F25/(1+F23)^COUNTA($I21:$R21)</f>
        <v>53599.863592644033</v>
      </c>
      <c r="H27" s="98"/>
      <c r="I27" s="137"/>
      <c r="J27" s="137"/>
      <c r="K27" s="137"/>
      <c r="L27" s="137"/>
      <c r="M27" s="137"/>
      <c r="N27" s="137"/>
      <c r="O27" s="137"/>
      <c r="P27" s="137"/>
      <c r="Q27" s="137"/>
      <c r="R27" s="137"/>
    </row>
    <row r="28" spans="1:18">
      <c r="A28" s="243"/>
      <c r="B28" s="135" t="s">
        <v>208</v>
      </c>
      <c r="C28" s="137">
        <f>SUM($I36:$R36)</f>
        <v>8346.0329350558077</v>
      </c>
      <c r="E28" s="135" t="s">
        <v>208</v>
      </c>
      <c r="F28" s="137">
        <f>SUM($I36:$R36)</f>
        <v>8346.0329350558077</v>
      </c>
      <c r="H28" s="98" t="s">
        <v>149</v>
      </c>
      <c r="I28" s="137">
        <f>IF(I21="","",'IS Bear'!H$44)</f>
        <v>1625.3611716200558</v>
      </c>
      <c r="J28" s="137">
        <f>IF(J21="","",'IS Bear'!I$44)</f>
        <v>1609.1075599038552</v>
      </c>
      <c r="K28" s="137">
        <f>IF(K21="","",'IS Bear'!J$44)</f>
        <v>1593.0164843048167</v>
      </c>
      <c r="L28" s="137">
        <f>IF(L21="","",'IS Bear'!K$44)</f>
        <v>1577.0863194617687</v>
      </c>
      <c r="M28" s="137">
        <f>IF(M21="","",'IS Bear'!L$44)</f>
        <v>1561.3154562671507</v>
      </c>
      <c r="N28" s="137" t="str">
        <f>IF(N21="","",'IS Bear'!M$44)</f>
        <v/>
      </c>
      <c r="O28" s="137" t="str">
        <f>IF(O21="","",'IS Bear'!N$44)</f>
        <v/>
      </c>
      <c r="P28" s="137" t="str">
        <f>IF(P21="","",'IS Bear'!O$44)</f>
        <v/>
      </c>
      <c r="Q28" s="137" t="str">
        <f>IF(Q21="","",'IS Bear'!P$44)</f>
        <v/>
      </c>
      <c r="R28" s="137" t="str">
        <f>IF(R21="","",'IS Bear'!Q$44)</f>
        <v/>
      </c>
    </row>
    <row r="29" spans="1:18">
      <c r="A29" s="243"/>
      <c r="B29" s="74" t="s">
        <v>209</v>
      </c>
      <c r="C29" s="138">
        <f>C27+C28</f>
        <v>35318.703015561514</v>
      </c>
      <c r="E29" s="74" t="s">
        <v>209</v>
      </c>
      <c r="F29" s="138">
        <f>F27+F28</f>
        <v>61945.896527699842</v>
      </c>
      <c r="H29" s="140"/>
      <c r="I29" s="137"/>
      <c r="J29" s="137"/>
      <c r="K29" s="137"/>
      <c r="L29" s="137"/>
      <c r="M29" s="137"/>
      <c r="N29" s="137"/>
      <c r="O29" s="137"/>
      <c r="P29" s="137"/>
      <c r="Q29" s="137"/>
      <c r="R29" s="137"/>
    </row>
    <row r="30" spans="1:18">
      <c r="A30" s="243"/>
      <c r="C30" s="18"/>
      <c r="F30" s="18"/>
      <c r="H30" s="98" t="s">
        <v>210</v>
      </c>
      <c r="I30" s="137">
        <f>IF(I21="","",'BS Bear'!H$47-'BS Bear'!G$47)</f>
        <v>1727.6726026646884</v>
      </c>
      <c r="J30" s="137">
        <f>IF(J21="","",'BS Bear'!I$47-'BS Bear'!H$47)</f>
        <v>1335.0183339130417</v>
      </c>
      <c r="K30" s="137">
        <f>IF(K21="","",'BS Bear'!J$47-'BS Bear'!I$47)</f>
        <v>963.84521823487739</v>
      </c>
      <c r="L30" s="137">
        <f>IF(L21="","",'BS Bear'!K$47-'BS Bear'!J$47)</f>
        <v>346.86436047618372</v>
      </c>
      <c r="M30" s="137">
        <f>IF(M21="","",'BS Bear'!L$47-'BS Bear'!K$47)</f>
        <v>1005.7919980208208</v>
      </c>
      <c r="N30" s="137" t="str">
        <f>IF(N21="","",'BS Bear'!M$47-'BS Bear'!L$47)</f>
        <v/>
      </c>
      <c r="O30" s="137" t="str">
        <f>IF(O21="","",'BS Bear'!N$47-'BS Bear'!M$47)</f>
        <v/>
      </c>
      <c r="P30" s="137" t="str">
        <f>IF(P21="","",'BS Bear'!O$47-'BS Bear'!N$47)</f>
        <v/>
      </c>
      <c r="Q30" s="137" t="str">
        <f>IF(Q21="","",'BS Bear'!P$47-'BS Bear'!O$47)</f>
        <v/>
      </c>
      <c r="R30" s="137" t="str">
        <f>IF(R21="","",'BS Bear'!Q$47-'BS Bear'!P$47)</f>
        <v/>
      </c>
    </row>
    <row r="31" spans="1:18">
      <c r="A31" s="243"/>
      <c r="B31" s="73" t="s">
        <v>211</v>
      </c>
      <c r="C31" s="137">
        <f>+'Balance Sheet'!$G$48</f>
        <v>9462</v>
      </c>
      <c r="E31" s="73" t="s">
        <v>211</v>
      </c>
      <c r="F31" s="137">
        <f>+'Balance Sheet'!$G$48</f>
        <v>9462</v>
      </c>
      <c r="H31" s="142"/>
      <c r="I31" s="137"/>
      <c r="J31" s="137"/>
      <c r="K31" s="137"/>
      <c r="L31" s="137"/>
      <c r="M31" s="137"/>
      <c r="N31" s="137"/>
      <c r="O31" s="137"/>
      <c r="P31" s="137"/>
      <c r="Q31" s="137"/>
      <c r="R31" s="137"/>
    </row>
    <row r="32" spans="1:18">
      <c r="A32" s="243"/>
      <c r="B32" s="73" t="s">
        <v>212</v>
      </c>
      <c r="C32" s="167">
        <f>+'Balance Sheet'!$G$37</f>
        <v>122</v>
      </c>
      <c r="E32" s="73" t="s">
        <v>212</v>
      </c>
      <c r="F32" s="167">
        <f>+'Balance Sheet'!$G$37</f>
        <v>122</v>
      </c>
      <c r="H32" s="98" t="s">
        <v>213</v>
      </c>
      <c r="I32" s="137">
        <f>IF(I21="","",'IS Bear'!H$31)</f>
        <v>612.95447840490226</v>
      </c>
      <c r="J32" s="137">
        <f>IF(J21="","",'IS Bear'!I$31)</f>
        <v>609.5086204122606</v>
      </c>
      <c r="K32" s="137">
        <f>IF(K21="","",'IS Bear'!J$31)</f>
        <v>602.51986260105707</v>
      </c>
      <c r="L32" s="137">
        <f>IF(L21="","",'IS Bear'!K$31)</f>
        <v>593.2582404584964</v>
      </c>
      <c r="M32" s="137">
        <f>IF(M21="","",'IS Bear'!L$31)</f>
        <v>585.17055582623152</v>
      </c>
      <c r="N32" s="137" t="str">
        <f>IF(N21="","",'IS Bear'!M$31)</f>
        <v/>
      </c>
      <c r="O32" s="137" t="str">
        <f>IF(O21="","",'IS Bear'!N$31)</f>
        <v/>
      </c>
      <c r="P32" s="137" t="str">
        <f>IF(P21="","",'IS Bear'!O$31)</f>
        <v/>
      </c>
      <c r="Q32" s="137" t="str">
        <f>IF(Q21="","",'IS Bear'!P$31)</f>
        <v/>
      </c>
      <c r="R32" s="137" t="str">
        <f>IF(R21="","",'IS Bear'!Q$31)</f>
        <v/>
      </c>
    </row>
    <row r="33" spans="1:18">
      <c r="A33" s="243"/>
      <c r="B33" s="74" t="s">
        <v>214</v>
      </c>
      <c r="C33" s="138">
        <f>+C29-C31-C32</f>
        <v>25734.703015561514</v>
      </c>
      <c r="E33" s="74" t="s">
        <v>214</v>
      </c>
      <c r="F33" s="138">
        <f>+F29-F31-F32</f>
        <v>52361.896527699842</v>
      </c>
      <c r="H33" s="141" t="s">
        <v>215</v>
      </c>
      <c r="I33" s="138">
        <f>IF(I21="","",I24+I26-I28-I30+I32)</f>
        <v>1451.3108716753304</v>
      </c>
      <c r="J33" s="138">
        <f t="shared" ref="J33:R33" si="2">IF(J21="","",J24+J26-J28-J30+J32)</f>
        <v>1812.1753056835776</v>
      </c>
      <c r="K33" s="138">
        <f t="shared" si="2"/>
        <v>2151.8764849657691</v>
      </c>
      <c r="L33" s="138">
        <f t="shared" si="2"/>
        <v>2737.7001256924591</v>
      </c>
      <c r="M33" s="138">
        <f t="shared" si="2"/>
        <v>2047.9268432861386</v>
      </c>
      <c r="N33" s="138" t="str">
        <f t="shared" si="2"/>
        <v/>
      </c>
      <c r="O33" s="138" t="str">
        <f t="shared" si="2"/>
        <v/>
      </c>
      <c r="P33" s="138" t="str">
        <f t="shared" si="2"/>
        <v/>
      </c>
      <c r="Q33" s="138" t="str">
        <f t="shared" si="2"/>
        <v/>
      </c>
      <c r="R33" s="138" t="str">
        <f t="shared" si="2"/>
        <v/>
      </c>
    </row>
    <row r="34" spans="1:18">
      <c r="A34" s="243"/>
    </row>
    <row r="35" spans="1:18">
      <c r="A35" s="243"/>
      <c r="B35" s="73" t="s">
        <v>66</v>
      </c>
      <c r="C35" s="167">
        <f>+Assumptions!$C$36</f>
        <v>285.8</v>
      </c>
      <c r="E35" s="73" t="s">
        <v>66</v>
      </c>
      <c r="F35" s="167">
        <f>+Assumptions!$C$36</f>
        <v>285.8</v>
      </c>
      <c r="H35" s="99" t="s">
        <v>216</v>
      </c>
      <c r="I35" s="170">
        <f>IF(I21="","",1/((1+$C23)^COUNTA($I21:I21)))</f>
        <v>0.93828930713338921</v>
      </c>
      <c r="J35" s="170">
        <f>IF(J21="","",1/((1+$C23)^COUNTA($I21:J21)))</f>
        <v>0.88038682388085565</v>
      </c>
      <c r="K35" s="170">
        <f>IF(K21="","",1/((1+$C23)^COUNTA($I21:K21)))</f>
        <v>0.82605754298853329</v>
      </c>
      <c r="L35" s="170">
        <f>IF(L21="","",1/((1+$C23)^COUNTA($I21:L21)))</f>
        <v>0.77508095966302071</v>
      </c>
      <c r="M35" s="170">
        <f>IF(M21="","",1/((1+$C23)^COUNTA($I21:M21)))</f>
        <v>0.72725017661449809</v>
      </c>
      <c r="N35" s="170" t="str">
        <f>IF(N21="","",1/((1+$C23)^COUNTA($I21:N21)))</f>
        <v/>
      </c>
      <c r="O35" s="170" t="str">
        <f>IF(O21="","",1/((1+$C23)^COUNTA($I21:O21)))</f>
        <v/>
      </c>
      <c r="P35" s="170" t="str">
        <f>IF(P21="","",1/((1+$C23)^COUNTA($I21:P21)))</f>
        <v/>
      </c>
      <c r="Q35" s="170" t="str">
        <f>IF(Q21="","",1/((1+$C23)^COUNTA($I21:Q21)))</f>
        <v/>
      </c>
      <c r="R35" s="170" t="str">
        <f>IF(R21="","",1/((1+$C23)^COUNTA($I21:R21)))</f>
        <v/>
      </c>
    </row>
    <row r="36" spans="1:18" ht="12" thickBot="1">
      <c r="A36" s="243"/>
      <c r="B36" s="86" t="s">
        <v>217</v>
      </c>
      <c r="C36" s="169">
        <f>+C33/C35</f>
        <v>90.044447220299205</v>
      </c>
      <c r="E36" s="86" t="s">
        <v>217</v>
      </c>
      <c r="F36" s="169">
        <f>+F33/F35</f>
        <v>183.21167434464604</v>
      </c>
      <c r="H36" s="86" t="s">
        <v>218</v>
      </c>
      <c r="I36" s="169">
        <f t="shared" ref="I36:R36" si="3">IF(I21="","",I33*I35)</f>
        <v>1361.749472219401</v>
      </c>
      <c r="J36" s="169">
        <f t="shared" si="3"/>
        <v>1595.4152616860836</v>
      </c>
      <c r="K36" s="169">
        <f t="shared" si="3"/>
        <v>1777.5738019856246</v>
      </c>
      <c r="L36" s="169">
        <f t="shared" si="3"/>
        <v>2121.9392406912834</v>
      </c>
      <c r="M36" s="169">
        <f t="shared" si="3"/>
        <v>1489.3551584734159</v>
      </c>
      <c r="N36" s="169" t="str">
        <f t="shared" si="3"/>
        <v/>
      </c>
      <c r="O36" s="169" t="str">
        <f t="shared" si="3"/>
        <v/>
      </c>
      <c r="P36" s="169" t="str">
        <f t="shared" si="3"/>
        <v/>
      </c>
      <c r="Q36" s="169" t="str">
        <f t="shared" si="3"/>
        <v/>
      </c>
      <c r="R36" s="169" t="str">
        <f t="shared" si="3"/>
        <v/>
      </c>
    </row>
    <row r="37" spans="1:18" ht="12" thickTop="1"/>
    <row r="39" spans="1:18">
      <c r="A39" s="244" t="s">
        <v>16</v>
      </c>
      <c r="B39" s="109" t="str">
        <f>_xlfn.TEXTBEFORE(B$2," - ")&amp;" - "&amp;$A39</f>
        <v>Perpetuity Growth Method - Bull</v>
      </c>
      <c r="C39" s="109"/>
      <c r="E39" s="109" t="str">
        <f>_xlfn.TEXTBEFORE(E$2," - ")&amp;" - "&amp;$A39</f>
        <v>EBITDA Multiple Method - Bull</v>
      </c>
      <c r="F39" s="109"/>
      <c r="H39" s="22" t="str">
        <f>Assumptions!$B$132</f>
        <v>Year Ending 09/31/2024, In USD Millions</v>
      </c>
      <c r="I39" s="108" cm="1">
        <f t="array" ref="I39:M39">_xlfn.SEQUENCE(1,Assumptions!$C$20,(YEAR(Assumptions!$C$19)))</f>
        <v>2024</v>
      </c>
      <c r="J39" s="108">
        <v>2025</v>
      </c>
      <c r="K39" s="108">
        <v>2026</v>
      </c>
      <c r="L39" s="108">
        <v>2027</v>
      </c>
      <c r="M39" s="108">
        <v>2028</v>
      </c>
      <c r="N39" s="108"/>
      <c r="O39" s="108"/>
      <c r="P39" s="108"/>
      <c r="Q39" s="108"/>
      <c r="R39" s="108"/>
    </row>
    <row r="40" spans="1:18">
      <c r="A40" s="244"/>
      <c r="B40" s="88" t="str">
        <f>"Free Cash Flow at Year "&amp;COUNTA($I39:$R39)</f>
        <v>Free Cash Flow at Year 5</v>
      </c>
      <c r="C40" s="136" cm="1">
        <f t="array" ref="C40">LOOKUP(2,1/(I51:R51&lt;&gt;""),I51:R51)</f>
        <v>2068.8657275608753</v>
      </c>
      <c r="E40" s="88" t="str">
        <f>"Terminal EBITDA at Year  "&amp;COUNTA($I39:$R39)</f>
        <v>Terminal EBITDA at Year  5</v>
      </c>
      <c r="F40" s="136" cm="1">
        <f t="array" ref="F40">LOOKUP(2,1/($I40:$R40&lt;&gt;""),$I40:$R40)</f>
        <v>5625.8102950136636</v>
      </c>
      <c r="H40" s="14" t="s">
        <v>204</v>
      </c>
      <c r="I40" s="19">
        <f>IF(I39="","",'IS Bull'!H$53)</f>
        <v>4998.4595811503768</v>
      </c>
      <c r="J40" s="19">
        <f>IF(J39="","",'IS Bull'!I$53)</f>
        <v>5148.4133685848892</v>
      </c>
      <c r="K40" s="19">
        <f>IF(K39="","",'IS Bull'!J$53)</f>
        <v>5302.865769642438</v>
      </c>
      <c r="L40" s="19">
        <f>IF(L39="","",'IS Bull'!K$53)</f>
        <v>5461.9517427317105</v>
      </c>
      <c r="M40" s="19">
        <f>IF(M39="","",'IS Bull'!L$53)</f>
        <v>5625.8102950136636</v>
      </c>
      <c r="N40" s="19" t="str">
        <f>IF(N39="","",'IS Bull'!M$53)</f>
        <v/>
      </c>
      <c r="O40" s="19" t="str">
        <f>IF(O39="","",'IS Bull'!N$53)</f>
        <v/>
      </c>
      <c r="P40" s="19" t="str">
        <f>IF(P39="","",'IS Bull'!O$53)</f>
        <v/>
      </c>
      <c r="Q40" s="19" t="str">
        <f>IF(Q39="","",'IS Bull'!P$53)</f>
        <v/>
      </c>
      <c r="R40" s="19" t="str">
        <f>IF(R39="","",'IS Bull'!Q$53)</f>
        <v/>
      </c>
    </row>
    <row r="41" spans="1:18">
      <c r="A41" s="244"/>
      <c r="B41" s="73" t="s">
        <v>45</v>
      </c>
      <c r="C41" s="78">
        <f>Assumptions!$C$123</f>
        <v>6.5769366012649016E-2</v>
      </c>
      <c r="E41" s="73" t="s">
        <v>45</v>
      </c>
      <c r="F41" s="78">
        <f>Assumptions!$C$123</f>
        <v>6.5769366012649016E-2</v>
      </c>
      <c r="I41" s="18"/>
      <c r="J41" s="18"/>
      <c r="K41" s="18"/>
      <c r="L41" s="18"/>
      <c r="M41" s="18"/>
      <c r="N41" s="18"/>
      <c r="O41" s="18"/>
      <c r="P41" s="18"/>
      <c r="Q41" s="18"/>
      <c r="R41" s="18"/>
    </row>
    <row r="42" spans="1:18">
      <c r="A42" s="244"/>
      <c r="B42" s="73" t="s">
        <v>205</v>
      </c>
      <c r="C42" s="78">
        <f>Assumptions!$C$133</f>
        <v>0.01</v>
      </c>
      <c r="E42" s="73" t="s">
        <v>58</v>
      </c>
      <c r="F42" s="124">
        <f>Assumptions!$C$21</f>
        <v>15.97</v>
      </c>
      <c r="H42" s="84" t="s">
        <v>206</v>
      </c>
      <c r="I42" s="137">
        <f>IF(I39="","",'IS Bull'!H$59)</f>
        <v>2937.9004486111139</v>
      </c>
      <c r="J42" s="137">
        <f>IF(J39="","",'IS Bull'!I$59)</f>
        <v>3020.3262253837047</v>
      </c>
      <c r="K42" s="137">
        <f>IF(K39="","",'IS Bull'!J$59)</f>
        <v>3108.9397568285622</v>
      </c>
      <c r="L42" s="137">
        <f>IF(L39="","",'IS Bull'!K$59)</f>
        <v>3202.5475985311868</v>
      </c>
      <c r="M42" s="137">
        <f>IF(M39="","",'IS Bull'!L$59)</f>
        <v>3297.7818650005488</v>
      </c>
      <c r="N42" s="137" t="str">
        <f>IF(N39="","",'IS Bull'!M$59)</f>
        <v/>
      </c>
      <c r="O42" s="137" t="str">
        <f>IF(O39="","",'IS Bull'!N$59)</f>
        <v/>
      </c>
      <c r="P42" s="137" t="str">
        <f>IF(P39="","",'IS Bull'!O$59)</f>
        <v/>
      </c>
      <c r="Q42" s="137" t="str">
        <f>IF(Q39="","",'IS Bull'!P$59)</f>
        <v/>
      </c>
      <c r="R42" s="137" t="str">
        <f>IF(R39="","",'IS Bull'!Q$59)</f>
        <v/>
      </c>
    </row>
    <row r="43" spans="1:18">
      <c r="A43" s="244"/>
      <c r="B43" s="85" t="str">
        <f>+"Perpetuity Value at Year "&amp;COUNTA($I39:$R39)&amp;" ~ Terminal Value"</f>
        <v>Perpetuity Value at Year 5 ~ Terminal Value</v>
      </c>
      <c r="C43" s="134">
        <f>(C40*(1+C42))/(C41-C42)</f>
        <v>37467.780866695772</v>
      </c>
      <c r="E43" s="85" t="str">
        <f>+"Perpetuity Value at Year "&amp;COUNTA($I39:$R39)&amp;" ~ Terminal Value"</f>
        <v>Perpetuity Value at Year 5 ~ Terminal Value</v>
      </c>
      <c r="F43" s="134">
        <f>+F40*F42</f>
        <v>89844.19041136821</v>
      </c>
      <c r="H43" s="98"/>
      <c r="I43" s="137"/>
      <c r="J43" s="137"/>
      <c r="K43" s="137"/>
      <c r="L43" s="137"/>
      <c r="M43" s="137"/>
      <c r="N43" s="137"/>
      <c r="O43" s="137"/>
      <c r="P43" s="137"/>
      <c r="Q43" s="137"/>
      <c r="R43" s="137"/>
    </row>
    <row r="44" spans="1:18">
      <c r="A44" s="244"/>
      <c r="C44" s="18"/>
      <c r="F44" s="18"/>
      <c r="H44" s="98" t="s">
        <v>151</v>
      </c>
      <c r="I44" s="137">
        <f>IF(I39="","",'IS Bull'!H$47)</f>
        <v>1419.7806854166529</v>
      </c>
      <c r="J44" s="137">
        <f>IF(J39="","",'IS Bull'!I$47)</f>
        <v>1462.3741059791525</v>
      </c>
      <c r="K44" s="137">
        <f>IF(K39="","",'IS Bull'!J$47)</f>
        <v>1506.2453291585271</v>
      </c>
      <c r="L44" s="137">
        <f>IF(L39="","",'IS Bull'!K$47)</f>
        <v>1551.4326890332829</v>
      </c>
      <c r="M44" s="137">
        <f>IF(M39="","",'IS Bull'!L$47)</f>
        <v>1597.9756697042815</v>
      </c>
      <c r="N44" s="137" t="str">
        <f>IF(N39="","",'IS Bull'!M$47)</f>
        <v/>
      </c>
      <c r="O44" s="137" t="str">
        <f>IF(O39="","",'IS Bull'!N$47)</f>
        <v/>
      </c>
      <c r="P44" s="137" t="str">
        <f>IF(P39="","",'IS Bull'!O$47)</f>
        <v/>
      </c>
      <c r="Q44" s="137" t="str">
        <f>IF(Q39="","",'IS Bull'!P$47)</f>
        <v/>
      </c>
      <c r="R44" s="137" t="str">
        <f>IF(R39="","",'IS Bull'!Q$47)</f>
        <v/>
      </c>
    </row>
    <row r="45" spans="1:18">
      <c r="A45" s="244"/>
      <c r="B45" s="84" t="s">
        <v>207</v>
      </c>
      <c r="C45" s="136">
        <f>C43/(1+C41)^COUNTA($I39:$R39)</f>
        <v>27248.450252657811</v>
      </c>
      <c r="E45" s="84" t="s">
        <v>207</v>
      </c>
      <c r="F45" s="136">
        <f>F43/(1+F41)^COUNTA($I39:$R39)</f>
        <v>65339.20334445413</v>
      </c>
      <c r="H45" s="98"/>
      <c r="I45" s="137"/>
      <c r="J45" s="137"/>
      <c r="K45" s="137"/>
      <c r="L45" s="137"/>
      <c r="M45" s="137"/>
      <c r="N45" s="137"/>
      <c r="O45" s="137"/>
      <c r="P45" s="137"/>
      <c r="Q45" s="137"/>
      <c r="R45" s="137"/>
    </row>
    <row r="46" spans="1:18">
      <c r="A46" s="244"/>
      <c r="B46" s="135" t="s">
        <v>208</v>
      </c>
      <c r="C46" s="137">
        <f>SUM($I54:$R54)</f>
        <v>8147.1099904740331</v>
      </c>
      <c r="E46" s="135" t="s">
        <v>208</v>
      </c>
      <c r="F46" s="137">
        <f>SUM($I54:$R54)</f>
        <v>8147.1099904740331</v>
      </c>
      <c r="H46" s="98" t="s">
        <v>149</v>
      </c>
      <c r="I46" s="137">
        <f>IF(I39="","",'IS Bull'!H$44)</f>
        <v>1691.0323300693508</v>
      </c>
      <c r="J46" s="137">
        <f>IF(J39="","",'IS Bull'!I$44)</f>
        <v>1741.7632999714315</v>
      </c>
      <c r="K46" s="137">
        <f>IF(K39="","",'IS Bull'!J$44)</f>
        <v>1794.0161989705744</v>
      </c>
      <c r="L46" s="137">
        <f>IF(L39="","",'IS Bull'!K$44)</f>
        <v>1847.8366849396916</v>
      </c>
      <c r="M46" s="137">
        <f>IF(M39="","",'IS Bull'!L$44)</f>
        <v>1903.2717854878824</v>
      </c>
      <c r="N46" s="137" t="str">
        <f>IF(N39="","",'IS Bull'!M$44)</f>
        <v/>
      </c>
      <c r="O46" s="137" t="str">
        <f>IF(O39="","",'IS Bull'!N$44)</f>
        <v/>
      </c>
      <c r="P46" s="137" t="str">
        <f>IF(P39="","",'IS Bull'!O$44)</f>
        <v/>
      </c>
      <c r="Q46" s="137" t="str">
        <f>IF(Q39="","",'IS Bull'!P$44)</f>
        <v/>
      </c>
      <c r="R46" s="137" t="str">
        <f>IF(R39="","",'IS Bull'!Q$44)</f>
        <v/>
      </c>
    </row>
    <row r="47" spans="1:18">
      <c r="A47" s="244"/>
      <c r="B47" s="74" t="s">
        <v>209</v>
      </c>
      <c r="C47" s="138">
        <f>C45+C46</f>
        <v>35395.56024313184</v>
      </c>
      <c r="E47" s="74" t="s">
        <v>209</v>
      </c>
      <c r="F47" s="138">
        <f>F45+F46</f>
        <v>73486.313334928156</v>
      </c>
      <c r="H47" s="140"/>
      <c r="I47" s="137"/>
      <c r="J47" s="137"/>
      <c r="K47" s="137"/>
      <c r="L47" s="137"/>
      <c r="M47" s="137"/>
      <c r="N47" s="137"/>
      <c r="O47" s="137"/>
      <c r="P47" s="137"/>
      <c r="Q47" s="137"/>
      <c r="R47" s="137"/>
    </row>
    <row r="48" spans="1:18">
      <c r="A48" s="244"/>
      <c r="C48" s="18"/>
      <c r="F48" s="18"/>
      <c r="H48" s="98" t="s">
        <v>210</v>
      </c>
      <c r="I48" s="137">
        <f>IF(I39="","",'BS Bull'!H$47-'BS Bull'!G$47)</f>
        <v>1963.6015969956925</v>
      </c>
      <c r="J48" s="137">
        <f>IF(J39="","",'BS Bull'!I$47-'BS Bull'!H$47)</f>
        <v>1670.7628442215364</v>
      </c>
      <c r="K48" s="137">
        <f>IF(K39="","",'BS Bull'!J$47-'BS Bull'!I$47)</f>
        <v>1401.4723335387243</v>
      </c>
      <c r="L48" s="137">
        <f>IF(L39="","",'BS Bull'!K$47-'BS Bull'!J$47)</f>
        <v>888.51245622836723</v>
      </c>
      <c r="M48" s="137">
        <f>IF(M39="","",'BS Bull'!L$47-'BS Bull'!K$47)</f>
        <v>1653.6727819649059</v>
      </c>
      <c r="N48" s="137" t="str">
        <f>IF(N39="","",'BS Bull'!M$47-'BS Bull'!L$47)</f>
        <v/>
      </c>
      <c r="O48" s="137" t="str">
        <f>IF(O39="","",'BS Bull'!N$47-'BS Bull'!M$47)</f>
        <v/>
      </c>
      <c r="P48" s="137" t="str">
        <f>IF(P39="","",'BS Bull'!O$47-'BS Bull'!N$47)</f>
        <v/>
      </c>
      <c r="Q48" s="137" t="str">
        <f>IF(Q39="","",'BS Bull'!P$47-'BS Bull'!O$47)</f>
        <v/>
      </c>
      <c r="R48" s="137" t="str">
        <f>IF(R39="","",'BS Bull'!Q$47-'BS Bull'!P$47)</f>
        <v/>
      </c>
    </row>
    <row r="49" spans="1:18">
      <c r="A49" s="244"/>
      <c r="B49" s="73" t="s">
        <v>211</v>
      </c>
      <c r="C49" s="137">
        <f>+'Balance Sheet'!$G$48</f>
        <v>9462</v>
      </c>
      <c r="E49" s="73" t="s">
        <v>211</v>
      </c>
      <c r="F49" s="137">
        <f>+'Balance Sheet'!$G$48</f>
        <v>9462</v>
      </c>
      <c r="H49" s="142"/>
      <c r="I49" s="137"/>
      <c r="J49" s="137"/>
      <c r="K49" s="137"/>
      <c r="L49" s="137"/>
      <c r="M49" s="137"/>
      <c r="N49" s="137"/>
      <c r="O49" s="137"/>
      <c r="P49" s="137"/>
      <c r="Q49" s="137"/>
      <c r="R49" s="137"/>
    </row>
    <row r="50" spans="1:18">
      <c r="A50" s="244"/>
      <c r="B50" s="73" t="s">
        <v>212</v>
      </c>
      <c r="C50" s="167">
        <f>+'Balance Sheet'!$G$37</f>
        <v>122</v>
      </c>
      <c r="E50" s="73" t="s">
        <v>212</v>
      </c>
      <c r="F50" s="167">
        <f>+'Balance Sheet'!$G$37</f>
        <v>122</v>
      </c>
      <c r="H50" s="98" t="s">
        <v>213</v>
      </c>
      <c r="I50" s="137">
        <f>IF(I39="","",'IS Bull'!H$31)</f>
        <v>640.77844712261015</v>
      </c>
      <c r="J50" s="137">
        <f>IF(J39="","",'IS Bull'!I$31)</f>
        <v>665.71303722203152</v>
      </c>
      <c r="K50" s="137">
        <f>IF(K39="","",'IS Bull'!J$31)</f>
        <v>687.68068365534918</v>
      </c>
      <c r="L50" s="137">
        <f>IF(L39="","",'IS Bull'!K$31)</f>
        <v>707.97145516724026</v>
      </c>
      <c r="M50" s="137">
        <f>IF(M39="","",'IS Bull'!L$31)</f>
        <v>730.05276030883294</v>
      </c>
      <c r="N50" s="137" t="str">
        <f>IF(N39="","",'IS Bull'!M$31)</f>
        <v/>
      </c>
      <c r="O50" s="137" t="str">
        <f>IF(O39="","",'IS Bull'!N$31)</f>
        <v/>
      </c>
      <c r="P50" s="137" t="str">
        <f>IF(P39="","",'IS Bull'!O$31)</f>
        <v/>
      </c>
      <c r="Q50" s="137" t="str">
        <f>IF(Q39="","",'IS Bull'!P$31)</f>
        <v/>
      </c>
      <c r="R50" s="137" t="str">
        <f>IF(R39="","",'IS Bull'!Q$31)</f>
        <v/>
      </c>
    </row>
    <row r="51" spans="1:18">
      <c r="A51" s="244"/>
      <c r="B51" s="74" t="s">
        <v>214</v>
      </c>
      <c r="C51" s="138">
        <f>+C47-C49-C50</f>
        <v>25811.56024313184</v>
      </c>
      <c r="E51" s="74" t="s">
        <v>214</v>
      </c>
      <c r="F51" s="138">
        <f>+F47-F49-F50</f>
        <v>63902.313334928156</v>
      </c>
      <c r="H51" s="141" t="s">
        <v>215</v>
      </c>
      <c r="I51" s="138">
        <f>IF(I39="","",I42+I44-I46-I48+I50)</f>
        <v>1343.825654085334</v>
      </c>
      <c r="J51" s="138">
        <f t="shared" ref="J51:R51" si="4">IF(J39="","",J42+J44-J46-J48+J50)</f>
        <v>1735.8872243919211</v>
      </c>
      <c r="K51" s="138">
        <f t="shared" si="4"/>
        <v>2107.3772371331397</v>
      </c>
      <c r="L51" s="138">
        <f t="shared" si="4"/>
        <v>2725.6026015636517</v>
      </c>
      <c r="M51" s="138">
        <f t="shared" si="4"/>
        <v>2068.8657275608753</v>
      </c>
      <c r="N51" s="138" t="str">
        <f t="shared" si="4"/>
        <v/>
      </c>
      <c r="O51" s="138" t="str">
        <f t="shared" si="4"/>
        <v/>
      </c>
      <c r="P51" s="138" t="str">
        <f t="shared" si="4"/>
        <v/>
      </c>
      <c r="Q51" s="138" t="str">
        <f t="shared" si="4"/>
        <v/>
      </c>
      <c r="R51" s="138" t="str">
        <f t="shared" si="4"/>
        <v/>
      </c>
    </row>
    <row r="52" spans="1:18">
      <c r="A52" s="244"/>
    </row>
    <row r="53" spans="1:18">
      <c r="A53" s="244"/>
      <c r="B53" s="73" t="s">
        <v>66</v>
      </c>
      <c r="C53" s="167">
        <f>+Assumptions!$C$36</f>
        <v>285.8</v>
      </c>
      <c r="E53" s="73" t="s">
        <v>66</v>
      </c>
      <c r="F53" s="167">
        <f>+Assumptions!$C$36</f>
        <v>285.8</v>
      </c>
      <c r="H53" s="99" t="s">
        <v>216</v>
      </c>
      <c r="I53" s="170">
        <f>IF(I39="","",1/((1+$C41)^COUNTA($I39:I39)))</f>
        <v>0.93828930713338921</v>
      </c>
      <c r="J53" s="170">
        <f>IF(J39="","",1/((1+$C41)^COUNTA($I39:J39)))</f>
        <v>0.88038682388085565</v>
      </c>
      <c r="K53" s="170">
        <f>IF(K39="","",1/((1+$C41)^COUNTA($I39:K39)))</f>
        <v>0.82605754298853329</v>
      </c>
      <c r="L53" s="170">
        <f>IF(L39="","",1/((1+$C41)^COUNTA($I39:L39)))</f>
        <v>0.77508095966302071</v>
      </c>
      <c r="M53" s="170">
        <f>IF(M39="","",1/((1+$C41)^COUNTA($I39:M39)))</f>
        <v>0.72725017661449809</v>
      </c>
      <c r="N53" s="170" t="str">
        <f>IF(N39="","",1/((1+$C41)^COUNTA($I39:N39)))</f>
        <v/>
      </c>
      <c r="O53" s="170" t="str">
        <f>IF(O39="","",1/((1+$C41)^COUNTA($I39:O39)))</f>
        <v/>
      </c>
      <c r="P53" s="170" t="str">
        <f>IF(P39="","",1/((1+$C41)^COUNTA($I39:P39)))</f>
        <v/>
      </c>
      <c r="Q53" s="170" t="str">
        <f>IF(Q39="","",1/((1+$C41)^COUNTA($I39:Q39)))</f>
        <v/>
      </c>
      <c r="R53" s="170" t="str">
        <f>IF(R39="","",1/((1+$C41)^COUNTA($I39:R39)))</f>
        <v/>
      </c>
    </row>
    <row r="54" spans="1:18" ht="12" thickBot="1">
      <c r="A54" s="244"/>
      <c r="B54" s="86" t="s">
        <v>217</v>
      </c>
      <c r="C54" s="169">
        <f>+C51/C53</f>
        <v>90.313366840909168</v>
      </c>
      <c r="E54" s="86" t="s">
        <v>217</v>
      </c>
      <c r="F54" s="169">
        <f>+F51/F53</f>
        <v>223.59101936643862</v>
      </c>
      <c r="H54" s="86" t="s">
        <v>218</v>
      </c>
      <c r="I54" s="169">
        <f t="shared" ref="I54:R54" si="5">IF(I39="","",I51*I53)</f>
        <v>1260.8972418798016</v>
      </c>
      <c r="J54" s="169">
        <f t="shared" si="5"/>
        <v>1528.2522400977575</v>
      </c>
      <c r="K54" s="169">
        <f t="shared" si="5"/>
        <v>1740.8148626561651</v>
      </c>
      <c r="L54" s="169">
        <f t="shared" si="5"/>
        <v>2112.562680079981</v>
      </c>
      <c r="M54" s="169">
        <f t="shared" si="5"/>
        <v>1504.5829657603285</v>
      </c>
      <c r="N54" s="169" t="str">
        <f t="shared" si="5"/>
        <v/>
      </c>
      <c r="O54" s="169" t="str">
        <f t="shared" si="5"/>
        <v/>
      </c>
      <c r="P54" s="169" t="str">
        <f t="shared" si="5"/>
        <v/>
      </c>
      <c r="Q54" s="169" t="str">
        <f t="shared" si="5"/>
        <v/>
      </c>
      <c r="R54" s="169" t="str">
        <f t="shared" si="5"/>
        <v/>
      </c>
    </row>
    <row r="55" spans="1:18" ht="12" thickTop="1"/>
    <row r="57" spans="1:18">
      <c r="B57" s="42" t="s">
        <v>219</v>
      </c>
      <c r="C57" s="42"/>
      <c r="E57" s="42" t="s">
        <v>220</v>
      </c>
      <c r="F57" s="42"/>
    </row>
    <row r="58" spans="1:18">
      <c r="B58" s="109" t="s">
        <v>221</v>
      </c>
      <c r="C58" s="109"/>
      <c r="E58" s="109" t="s">
        <v>221</v>
      </c>
      <c r="F58" s="109"/>
    </row>
    <row r="59" spans="1:18">
      <c r="A59" s="145" t="s">
        <v>13</v>
      </c>
      <c r="B59" s="14" t="str">
        <f>B3</f>
        <v>Perpetuity Growth Method - Base</v>
      </c>
      <c r="C59" s="229">
        <f>C18</f>
        <v>92.240401695857827</v>
      </c>
      <c r="E59" s="14" t="str">
        <f>E3</f>
        <v>EBITDA Multiple Method - Base</v>
      </c>
      <c r="F59" s="229">
        <f>F18</f>
        <v>204.53676196227536</v>
      </c>
    </row>
    <row r="60" spans="1:18">
      <c r="A60" s="145" t="s">
        <v>14</v>
      </c>
      <c r="B60" s="14" t="str">
        <f>B21</f>
        <v>Perpetuity Growth Method - Bear</v>
      </c>
      <c r="C60" s="229">
        <f>C36</f>
        <v>90.044447220299205</v>
      </c>
      <c r="E60" s="14" t="str">
        <f>E21</f>
        <v>EBITDA Multiple Method - Bear</v>
      </c>
      <c r="F60" s="229">
        <f>F36</f>
        <v>183.21167434464604</v>
      </c>
    </row>
    <row r="61" spans="1:18">
      <c r="A61" s="145" t="s">
        <v>16</v>
      </c>
      <c r="B61" s="14" t="str">
        <f>B39</f>
        <v>Perpetuity Growth Method - Bull</v>
      </c>
      <c r="C61" s="229">
        <f>C54</f>
        <v>90.313366840909168</v>
      </c>
      <c r="E61" s="14" t="str">
        <f>E39</f>
        <v>EBITDA Multiple Method - Bull</v>
      </c>
      <c r="F61" s="229">
        <f>F54</f>
        <v>223.59101936643862</v>
      </c>
    </row>
  </sheetData>
  <mergeCells count="3">
    <mergeCell ref="A3:A18"/>
    <mergeCell ref="A21:A36"/>
    <mergeCell ref="A39:A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5176-F6AE-48B6-AA02-2B5616CFEF02}">
  <sheetPr>
    <tabColor rgb="FF92D050"/>
  </sheetPr>
  <dimension ref="A2:I34"/>
  <sheetViews>
    <sheetView zoomScale="160" zoomScaleNormal="160" workbookViewId="0">
      <pane ySplit="2" topLeftCell="A3" activePane="bottomLeft" state="frozen"/>
      <selection pane="bottomLeft" activeCell="C38" sqref="C38"/>
    </sheetView>
  </sheetViews>
  <sheetFormatPr baseColWidth="10" defaultColWidth="0" defaultRowHeight="11"/>
  <cols>
    <col min="1" max="1" width="3.1640625" style="1" bestFit="1" customWidth="1"/>
    <col min="2" max="2" width="17.6640625" style="1" bestFit="1" customWidth="1"/>
    <col min="3" max="3" width="10.5" style="1" bestFit="1" customWidth="1"/>
    <col min="4" max="5" width="7.6640625" style="1" bestFit="1" customWidth="1"/>
    <col min="6" max="6" width="8.1640625" style="1" bestFit="1" customWidth="1"/>
    <col min="7" max="7" width="6.33203125" style="1" bestFit="1" customWidth="1"/>
    <col min="8" max="8" width="7.6640625" style="1" bestFit="1" customWidth="1"/>
    <col min="9" max="9" width="4.1640625" style="1" bestFit="1" customWidth="1"/>
    <col min="10" max="16384" width="9" style="1" hidden="1"/>
  </cols>
  <sheetData>
    <row r="2" spans="2:9">
      <c r="B2" s="42" t="s">
        <v>86</v>
      </c>
      <c r="C2" s="42"/>
      <c r="D2" s="42"/>
      <c r="E2" s="42"/>
      <c r="F2" s="42"/>
      <c r="G2" s="42"/>
      <c r="H2" s="42"/>
      <c r="I2" s="42"/>
    </row>
    <row r="3" spans="2:9">
      <c r="B3" s="146" t="s">
        <v>222</v>
      </c>
      <c r="C3" s="146"/>
      <c r="D3" s="146"/>
      <c r="E3" s="146"/>
      <c r="F3" s="146"/>
      <c r="G3" s="146"/>
      <c r="H3" s="146"/>
      <c r="I3" s="146"/>
    </row>
    <row r="4" spans="2:9">
      <c r="B4" s="180" t="s">
        <v>3</v>
      </c>
      <c r="C4" s="181" t="s">
        <v>209</v>
      </c>
      <c r="D4" s="181" t="s">
        <v>83</v>
      </c>
      <c r="E4" s="181" t="s">
        <v>84</v>
      </c>
      <c r="F4" s="181" t="s">
        <v>223</v>
      </c>
      <c r="G4" s="181" t="s">
        <v>224</v>
      </c>
      <c r="H4" s="181" t="s">
        <v>225</v>
      </c>
      <c r="I4" s="181" t="s">
        <v>81</v>
      </c>
    </row>
    <row r="5" spans="2:9">
      <c r="B5" s="14" t="s">
        <v>85</v>
      </c>
      <c r="C5" s="182"/>
      <c r="D5" s="182"/>
      <c r="E5" s="182"/>
      <c r="F5" s="182"/>
      <c r="I5" s="182"/>
    </row>
    <row r="6" spans="2:9">
      <c r="B6" s="16" t="str">
        <f>Assumptions!$C$30</f>
        <v>Tyson Foods</v>
      </c>
      <c r="C6" s="183">
        <f>Assumptions!D64</f>
        <v>30327.5</v>
      </c>
      <c r="D6" s="183">
        <f>Assumptions!E64</f>
        <v>53092</v>
      </c>
      <c r="E6" s="183">
        <f>Assumptions!F64</f>
        <v>2948</v>
      </c>
      <c r="F6" s="30">
        <f>+'Income Statement'!$G$37</f>
        <v>-648</v>
      </c>
      <c r="G6" s="124">
        <f>IFERROR(C6/D6,0)</f>
        <v>0.57122542002561594</v>
      </c>
      <c r="H6" s="124">
        <f>IFERROR(C6/E6,0)</f>
        <v>10.287483039348711</v>
      </c>
      <c r="I6" s="183">
        <f>Assumptions!C64</f>
        <v>24.6</v>
      </c>
    </row>
    <row r="7" spans="2:9">
      <c r="B7" s="14" t="s">
        <v>86</v>
      </c>
      <c r="C7" s="183"/>
      <c r="D7" s="183"/>
      <c r="E7" s="183"/>
      <c r="F7" s="183"/>
      <c r="G7" s="184"/>
      <c r="H7" s="184"/>
      <c r="I7" s="183"/>
    </row>
    <row r="8" spans="2:9">
      <c r="B8" s="35" t="str">
        <f>Assumptions!B66</f>
        <v>Pilgrim's Pride</v>
      </c>
      <c r="C8" s="183">
        <f>Assumptions!D66</f>
        <v>13208.2</v>
      </c>
      <c r="D8" s="183">
        <f>Assumptions!E66</f>
        <v>17809.7</v>
      </c>
      <c r="E8" s="183">
        <f>Assumptions!F66</f>
        <v>1678.3</v>
      </c>
      <c r="G8" s="124">
        <f t="shared" ref="G8:G12" si="0">IFERROR(C8/D8,0)</f>
        <v>0.74162956141877745</v>
      </c>
      <c r="H8" s="124">
        <f t="shared" ref="H8:H12" si="1">IFERROR(C8/E8,0)</f>
        <v>7.8699874873383786</v>
      </c>
      <c r="I8" s="183">
        <f>Assumptions!C66</f>
        <v>12.1</v>
      </c>
    </row>
    <row r="9" spans="2:9">
      <c r="B9" s="35" t="str">
        <f>Assumptions!B67</f>
        <v>Hormel Foods Corp</v>
      </c>
      <c r="C9" s="183">
        <f>Assumptions!D67</f>
        <v>19340.2</v>
      </c>
      <c r="D9" s="183">
        <f>Assumptions!E67</f>
        <v>11980.8</v>
      </c>
      <c r="E9" s="183">
        <f>Assumptions!F67</f>
        <v>1307.8</v>
      </c>
      <c r="G9" s="124">
        <f t="shared" si="0"/>
        <v>1.6142661591880343</v>
      </c>
      <c r="H9" s="124">
        <f t="shared" si="1"/>
        <v>14.788346842024776</v>
      </c>
      <c r="I9" s="183">
        <f>Assumptions!C67</f>
        <v>18.399999999999999</v>
      </c>
    </row>
    <row r="10" spans="2:9">
      <c r="B10" s="35" t="str">
        <f>Assumptions!B68</f>
        <v>Maple Leaf</v>
      </c>
      <c r="C10" s="183">
        <f>Assumptions!D68</f>
        <v>4577</v>
      </c>
      <c r="D10" s="183">
        <f>Assumptions!E68</f>
        <v>4851.8999999999996</v>
      </c>
      <c r="E10" s="183">
        <f>Assumptions!F68</f>
        <v>499.7</v>
      </c>
      <c r="G10" s="124">
        <f t="shared" si="0"/>
        <v>0.94334178363115484</v>
      </c>
      <c r="H10" s="124">
        <f t="shared" si="1"/>
        <v>9.1594956974184516</v>
      </c>
      <c r="I10" s="183">
        <f>Assumptions!C68</f>
        <v>16.5</v>
      </c>
    </row>
    <row r="11" spans="2:9">
      <c r="B11" s="35">
        <f>Assumptions!B69</f>
        <v>0</v>
      </c>
      <c r="C11" s="183">
        <f>Assumptions!D69</f>
        <v>0</v>
      </c>
      <c r="D11" s="183">
        <f>Assumptions!E69</f>
        <v>0</v>
      </c>
      <c r="E11" s="183">
        <f>Assumptions!F69</f>
        <v>0</v>
      </c>
      <c r="G11" s="124">
        <f t="shared" si="0"/>
        <v>0</v>
      </c>
      <c r="H11" s="124">
        <f t="shared" si="1"/>
        <v>0</v>
      </c>
      <c r="I11" s="183">
        <f>Assumptions!C69</f>
        <v>0</v>
      </c>
    </row>
    <row r="12" spans="2:9">
      <c r="B12" s="35">
        <f>Assumptions!B70</f>
        <v>0</v>
      </c>
      <c r="C12" s="183">
        <f>Assumptions!D70</f>
        <v>0</v>
      </c>
      <c r="D12" s="183">
        <f>Assumptions!E70</f>
        <v>0</v>
      </c>
      <c r="E12" s="183">
        <f>Assumptions!F70</f>
        <v>0</v>
      </c>
      <c r="G12" s="124">
        <f t="shared" si="0"/>
        <v>0</v>
      </c>
      <c r="H12" s="124">
        <f t="shared" si="1"/>
        <v>0</v>
      </c>
      <c r="I12" s="183">
        <f>Assumptions!C70</f>
        <v>0</v>
      </c>
    </row>
    <row r="13" spans="2:9">
      <c r="E13" s="70"/>
    </row>
    <row r="14" spans="2:9">
      <c r="E14" s="70"/>
    </row>
    <row r="15" spans="2:9">
      <c r="B15" s="146" t="s">
        <v>226</v>
      </c>
      <c r="C15" s="146"/>
      <c r="D15" s="146"/>
      <c r="E15" s="146"/>
      <c r="F15" s="146"/>
      <c r="G15" s="146"/>
      <c r="H15" s="146"/>
      <c r="I15" s="179"/>
    </row>
    <row r="16" spans="2:9">
      <c r="B16" s="127" t="s">
        <v>227</v>
      </c>
      <c r="C16" s="127" t="s">
        <v>228</v>
      </c>
      <c r="D16" s="127" t="s">
        <v>229</v>
      </c>
      <c r="E16" s="127" t="s">
        <v>211</v>
      </c>
      <c r="F16" s="127" t="s">
        <v>214</v>
      </c>
      <c r="G16" s="127" t="s">
        <v>230</v>
      </c>
      <c r="H16" s="127" t="s">
        <v>231</v>
      </c>
      <c r="I16" s="127"/>
    </row>
    <row r="17" spans="1:9">
      <c r="B17" s="14" t="s">
        <v>224</v>
      </c>
      <c r="C17" s="128"/>
      <c r="D17" s="129"/>
      <c r="E17" s="129"/>
      <c r="F17" s="129"/>
      <c r="G17" s="129"/>
      <c r="H17" s="126"/>
    </row>
    <row r="18" spans="1:9">
      <c r="B18" s="16" t="s">
        <v>232</v>
      </c>
      <c r="C18" s="125">
        <f>AVERAGE(G$8:G$12)</f>
        <v>0.65984750084759336</v>
      </c>
      <c r="D18" s="132">
        <f>+$D$6*C18</f>
        <v>35032.623515000429</v>
      </c>
      <c r="E18" s="132">
        <f>'Balance Sheet'!$G$48</f>
        <v>9462</v>
      </c>
      <c r="F18" s="132">
        <f>+D18-E18</f>
        <v>25570.623515000429</v>
      </c>
      <c r="G18" s="132">
        <f>Assumptions!$C$36</f>
        <v>285.8</v>
      </c>
      <c r="H18" s="132">
        <f>+F18/G18</f>
        <v>89.470341200141448</v>
      </c>
    </row>
    <row r="19" spans="1:9">
      <c r="B19" s="16" t="s">
        <v>233</v>
      </c>
      <c r="C19" s="125">
        <f>PERCENTILE(G$8:G$12,0.25)</f>
        <v>0</v>
      </c>
      <c r="D19" s="132">
        <f>+$D$6*C19</f>
        <v>0</v>
      </c>
      <c r="E19" s="132">
        <f>'Balance Sheet'!$G$48</f>
        <v>9462</v>
      </c>
      <c r="F19" s="132">
        <f>+D19-E19</f>
        <v>-9462</v>
      </c>
      <c r="G19" s="132">
        <f>Assumptions!$C$36</f>
        <v>285.8</v>
      </c>
      <c r="H19" s="132">
        <f>+F19/G19</f>
        <v>-33.107067879636105</v>
      </c>
    </row>
    <row r="20" spans="1:9">
      <c r="B20" s="16" t="s">
        <v>234</v>
      </c>
      <c r="C20" s="125">
        <f>PERCENTILE(G$8:G$12,0.75)</f>
        <v>0.94334178363115484</v>
      </c>
      <c r="D20" s="132">
        <f>+$D$6*C20</f>
        <v>50083.901976545276</v>
      </c>
      <c r="E20" s="132">
        <f>'Balance Sheet'!$G$48</f>
        <v>9462</v>
      </c>
      <c r="F20" s="132">
        <f t="shared" ref="F20" si="2">+D20-E20</f>
        <v>40621.901976545276</v>
      </c>
      <c r="G20" s="132">
        <f>Assumptions!$C$36</f>
        <v>285.8</v>
      </c>
      <c r="H20" s="132">
        <f>+F20/G20</f>
        <v>142.13401671289458</v>
      </c>
    </row>
    <row r="21" spans="1:9">
      <c r="B21" s="14" t="s">
        <v>225</v>
      </c>
      <c r="C21" s="128"/>
      <c r="D21" s="132"/>
      <c r="E21" s="132"/>
      <c r="F21" s="132"/>
      <c r="G21" s="132"/>
      <c r="H21" s="132"/>
    </row>
    <row r="22" spans="1:9">
      <c r="B22" s="16" t="s">
        <v>232</v>
      </c>
      <c r="C22" s="125">
        <f>AVERAGE(H$8:H$12)</f>
        <v>6.3635660053563212</v>
      </c>
      <c r="D22" s="132">
        <f>+$E$6*C22</f>
        <v>18759.792583790437</v>
      </c>
      <c r="E22" s="132">
        <f>'Balance Sheet'!$G$48</f>
        <v>9462</v>
      </c>
      <c r="F22" s="132">
        <f>+D22-E22</f>
        <v>9297.7925837904368</v>
      </c>
      <c r="G22" s="132">
        <f>Assumptions!$C$36</f>
        <v>285.8</v>
      </c>
      <c r="H22" s="132">
        <f>+F22/G22</f>
        <v>32.532514288979833</v>
      </c>
    </row>
    <row r="23" spans="1:9">
      <c r="B23" s="16" t="s">
        <v>233</v>
      </c>
      <c r="C23" s="125">
        <f>PERCENTILE(H$8:H$12,0.25)</f>
        <v>0</v>
      </c>
      <c r="D23" s="132">
        <f>+$E$6*C23</f>
        <v>0</v>
      </c>
      <c r="E23" s="132">
        <f>'Balance Sheet'!$G$48</f>
        <v>9462</v>
      </c>
      <c r="F23" s="132">
        <f t="shared" ref="F23:F24" si="3">+D23-E23</f>
        <v>-9462</v>
      </c>
      <c r="G23" s="132">
        <f>Assumptions!$C$36</f>
        <v>285.8</v>
      </c>
      <c r="H23" s="132">
        <f>+F23/G23</f>
        <v>-33.107067879636105</v>
      </c>
    </row>
    <row r="24" spans="1:9">
      <c r="B24" s="16" t="s">
        <v>234</v>
      </c>
      <c r="C24" s="125">
        <f>PERCENTILE(H$8:H$12,0.75)</f>
        <v>9.1594956974184516</v>
      </c>
      <c r="D24" s="132">
        <f>+$E$6*C24</f>
        <v>27002.193315989596</v>
      </c>
      <c r="E24" s="132">
        <f>'Balance Sheet'!$G$48</f>
        <v>9462</v>
      </c>
      <c r="F24" s="132">
        <f t="shared" si="3"/>
        <v>17540.193315989596</v>
      </c>
      <c r="G24" s="132">
        <f>Assumptions!$C$36</f>
        <v>285.8</v>
      </c>
      <c r="H24" s="132">
        <f>+F24/G24</f>
        <v>61.372264926485641</v>
      </c>
    </row>
    <row r="25" spans="1:9">
      <c r="B25" s="14" t="s">
        <v>81</v>
      </c>
      <c r="C25" s="128"/>
      <c r="D25" s="132"/>
      <c r="E25" s="132"/>
      <c r="F25" s="132"/>
      <c r="G25" s="132"/>
      <c r="H25" s="132"/>
    </row>
    <row r="26" spans="1:9">
      <c r="B26" s="16" t="s">
        <v>232</v>
      </c>
      <c r="C26" s="125">
        <f>AVERAGE(I$8:I$12)</f>
        <v>9.4</v>
      </c>
      <c r="D26" s="132">
        <f>+$F$6*C26</f>
        <v>-6091.2</v>
      </c>
      <c r="E26" s="132">
        <f>'Balance Sheet'!$G$48</f>
        <v>9462</v>
      </c>
      <c r="F26" s="132">
        <f>+D26-E26</f>
        <v>-15553.2</v>
      </c>
      <c r="G26" s="132">
        <f>Assumptions!$C$36</f>
        <v>285.8</v>
      </c>
      <c r="H26" s="132">
        <f>+F26/G26</f>
        <v>-54.419874037788666</v>
      </c>
    </row>
    <row r="27" spans="1:9">
      <c r="B27" s="16" t="s">
        <v>233</v>
      </c>
      <c r="C27" s="125">
        <f>PERCENTILE(I$8:I$12,0.25)</f>
        <v>0</v>
      </c>
      <c r="D27" s="132">
        <f>+$F$6*C27</f>
        <v>0</v>
      </c>
      <c r="E27" s="132">
        <f>'Balance Sheet'!$G$48</f>
        <v>9462</v>
      </c>
      <c r="F27" s="132">
        <f t="shared" ref="F27:F28" si="4">+D27-E27</f>
        <v>-9462</v>
      </c>
      <c r="G27" s="132">
        <f>Assumptions!$C$36</f>
        <v>285.8</v>
      </c>
      <c r="H27" s="132">
        <f>+F27/G27</f>
        <v>-33.107067879636105</v>
      </c>
    </row>
    <row r="28" spans="1:9">
      <c r="B28" s="16" t="s">
        <v>234</v>
      </c>
      <c r="C28" s="125">
        <f>PERCENTILE(I$8:I$12,0.75)</f>
        <v>16.5</v>
      </c>
      <c r="D28" s="132">
        <f>+$F$6*C28</f>
        <v>-10692</v>
      </c>
      <c r="E28" s="132">
        <f>'Balance Sheet'!$G$48</f>
        <v>9462</v>
      </c>
      <c r="F28" s="132">
        <f t="shared" si="4"/>
        <v>-20154</v>
      </c>
      <c r="G28" s="132">
        <f>Assumptions!$C$36</f>
        <v>285.8</v>
      </c>
      <c r="H28" s="132">
        <f>+F28/G28</f>
        <v>-70.517844646606022</v>
      </c>
    </row>
    <row r="31" spans="1:9">
      <c r="B31" s="146" t="s">
        <v>217</v>
      </c>
      <c r="C31" s="146"/>
      <c r="D31" s="146"/>
      <c r="E31" s="146"/>
      <c r="F31" s="146"/>
      <c r="G31" s="146"/>
      <c r="H31" s="146"/>
      <c r="I31" s="146"/>
    </row>
    <row r="32" spans="1:9">
      <c r="A32" s="145" t="s">
        <v>13</v>
      </c>
      <c r="B32" s="14" t="s">
        <v>232</v>
      </c>
      <c r="C32" s="132">
        <f>+AVERAGE(H18,H22,H26)</f>
        <v>22.527660483777538</v>
      </c>
    </row>
    <row r="33" spans="1:3">
      <c r="A33" s="145" t="s">
        <v>14</v>
      </c>
      <c r="B33" s="14" t="s">
        <v>233</v>
      </c>
      <c r="C33" s="132">
        <f>+AVERAGE(H19,H23,H27)</f>
        <v>-33.107067879636105</v>
      </c>
    </row>
    <row r="34" spans="1:3">
      <c r="A34" s="145" t="s">
        <v>16</v>
      </c>
      <c r="B34" s="14" t="s">
        <v>234</v>
      </c>
      <c r="C34" s="132">
        <f>+AVERAGE(H20,H24,H28)</f>
        <v>44.329478997591401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BC312-3951-4146-B4CD-CC581B76464A}">
  <sheetPr>
    <tabColor rgb="FF92D050"/>
  </sheetPr>
  <dimension ref="A2:O61"/>
  <sheetViews>
    <sheetView zoomScale="115" zoomScaleNormal="115" workbookViewId="0">
      <pane xSplit="1" ySplit="2" topLeftCell="B3" activePane="bottomRight" state="frozen"/>
      <selection pane="topRight" activeCell="B1" sqref="B1"/>
      <selection pane="bottomLeft" activeCell="A3" sqref="A3"/>
      <selection pane="bottomRight" activeCell="H41" sqref="H41"/>
    </sheetView>
  </sheetViews>
  <sheetFormatPr baseColWidth="10" defaultColWidth="0" defaultRowHeight="11"/>
  <cols>
    <col min="1" max="1" width="4" style="1" bestFit="1" customWidth="1"/>
    <col min="2" max="2" width="21" style="1" bestFit="1" customWidth="1"/>
    <col min="3" max="3" width="8.1640625" style="1" bestFit="1" customWidth="1"/>
    <col min="4" max="4" width="2.1640625" style="1" customWidth="1"/>
    <col min="5" max="5" width="24.6640625" style="14" bestFit="1" customWidth="1"/>
    <col min="6" max="15" width="8.6640625" style="1" customWidth="1"/>
    <col min="16" max="16384" width="8.6640625" style="1" hidden="1"/>
  </cols>
  <sheetData>
    <row r="2" spans="1:15">
      <c r="B2" s="89" t="s">
        <v>24</v>
      </c>
      <c r="C2" s="186"/>
      <c r="E2" s="89" t="s">
        <v>235</v>
      </c>
      <c r="F2" s="89"/>
      <c r="G2" s="89"/>
      <c r="H2" s="89"/>
      <c r="I2" s="89"/>
      <c r="J2" s="89"/>
      <c r="K2" s="89"/>
      <c r="L2" s="89"/>
      <c r="M2" s="89"/>
      <c r="N2" s="89"/>
      <c r="O2" s="89"/>
    </row>
    <row r="3" spans="1:15">
      <c r="A3" s="242" t="s">
        <v>13</v>
      </c>
      <c r="B3" s="146" t="str">
        <f>"IRR - "&amp;A3</f>
        <v>IRR - Base</v>
      </c>
      <c r="C3" s="146"/>
      <c r="E3" s="22" t="str">
        <f>Assumptions!$B$132</f>
        <v>Year Ending 09/31/2024, In USD Millions</v>
      </c>
      <c r="F3" s="108" cm="1">
        <f t="array" ref="F3:J3">_xlfn.SEQUENCE(1,Assumptions!$C$20,(YEAR(Assumptions!$C$19)))</f>
        <v>2024</v>
      </c>
      <c r="G3" s="108">
        <v>2025</v>
      </c>
      <c r="H3" s="108">
        <v>2026</v>
      </c>
      <c r="I3" s="108">
        <v>2027</v>
      </c>
      <c r="J3" s="108">
        <v>2028</v>
      </c>
      <c r="K3" s="108"/>
      <c r="L3" s="108"/>
      <c r="M3" s="108"/>
      <c r="N3" s="108"/>
      <c r="O3" s="108"/>
    </row>
    <row r="4" spans="1:15">
      <c r="A4" s="242"/>
      <c r="B4" s="14" t="str">
        <f>"Free Cash Flow to Equity at Year "&amp;COUNTA(F3:O3)</f>
        <v>Free Cash Flow to Equity at Year 5</v>
      </c>
      <c r="C4" s="190" cm="1">
        <f t="array" ref="C4">LOOKUP(2,1/($F4:$O4&lt;&gt;""),$F4:$O4)</f>
        <v>2060.8523390568462</v>
      </c>
      <c r="E4" s="14" t="s">
        <v>215</v>
      </c>
      <c r="F4" s="19">
        <f>IF(F3="","",'Discounted Cash Flow'!I15)</f>
        <v>1984.5682628803297</v>
      </c>
      <c r="G4" s="19">
        <f>IF(G3="","",'Discounted Cash Flow'!J15)</f>
        <v>1775.1061172136499</v>
      </c>
      <c r="H4" s="19">
        <f>IF(H3="","",'Discounted Cash Flow'!K15)</f>
        <v>2131.4753425600275</v>
      </c>
      <c r="I4" s="19">
        <f>IF(I3="","",'Discounted Cash Flow'!L15)</f>
        <v>2733.9633224320628</v>
      </c>
      <c r="J4" s="19">
        <f>IF(J3="","",'Discounted Cash Flow'!M15)</f>
        <v>2060.8523390568462</v>
      </c>
      <c r="K4" s="19" t="str">
        <f>IF(K3="","",'Discounted Cash Flow'!N15)</f>
        <v/>
      </c>
      <c r="L4" s="19" t="str">
        <f>IF(L3="","",'Discounted Cash Flow'!O15)</f>
        <v/>
      </c>
      <c r="M4" s="19" t="str">
        <f>IF(M3="","",'Discounted Cash Flow'!P15)</f>
        <v/>
      </c>
      <c r="N4" s="19" t="str">
        <f>IF(N3="","",'Discounted Cash Flow'!Q15)</f>
        <v/>
      </c>
      <c r="O4" s="19" t="str">
        <f>IF(O3="","",'Discounted Cash Flow'!R15)</f>
        <v/>
      </c>
    </row>
    <row r="5" spans="1:15">
      <c r="A5" s="242"/>
      <c r="B5" s="73" t="s">
        <v>236</v>
      </c>
      <c r="C5" s="79">
        <f>Assumptions!$C$121</f>
        <v>6.8228999999999998E-2</v>
      </c>
      <c r="E5" s="16"/>
      <c r="F5" s="18"/>
      <c r="G5" s="18"/>
      <c r="H5" s="18"/>
      <c r="I5" s="18"/>
      <c r="J5" s="18"/>
      <c r="K5" s="18"/>
      <c r="L5" s="18"/>
      <c r="M5" s="18"/>
      <c r="N5" s="18"/>
      <c r="O5" s="18"/>
    </row>
    <row r="6" spans="1:15">
      <c r="A6" s="242"/>
      <c r="B6" s="73" t="s">
        <v>205</v>
      </c>
      <c r="C6" s="79">
        <f>Assumptions!$C$133</f>
        <v>0.01</v>
      </c>
      <c r="E6" s="16" t="s">
        <v>131</v>
      </c>
      <c r="F6" s="18">
        <f>IF(F3="","",'Income Statement'!H$25)</f>
        <v>524.11159102382965</v>
      </c>
      <c r="G6" s="18">
        <f>IF(G3="","",'Income Statement'!I$25)</f>
        <v>509.36479389323392</v>
      </c>
      <c r="H6" s="18">
        <f>IF(H3="","",'Income Statement'!J$25)</f>
        <v>511.83324252365099</v>
      </c>
      <c r="I6" s="18">
        <f>IF(I3="","",'Income Statement'!K$25)</f>
        <v>525.46603331631525</v>
      </c>
      <c r="J6" s="18">
        <f>IF(J3="","",'Income Statement'!L$25)</f>
        <v>533.84674303306292</v>
      </c>
      <c r="K6" s="18" t="str">
        <f>IF(K3="","",'Income Statement'!M$25)</f>
        <v/>
      </c>
      <c r="L6" s="18" t="str">
        <f>IF(L3="","",'Income Statement'!N$25)</f>
        <v/>
      </c>
      <c r="M6" s="18" t="str">
        <f>IF(M3="","",'Income Statement'!O$25)</f>
        <v/>
      </c>
      <c r="N6" s="18" t="str">
        <f>IF(N3="","",'Income Statement'!P$25)</f>
        <v/>
      </c>
      <c r="O6" s="18" t="str">
        <f>IF(O3="","",'Income Statement'!Q$25)</f>
        <v/>
      </c>
    </row>
    <row r="7" spans="1:15">
      <c r="A7" s="242"/>
      <c r="B7" s="85" t="str">
        <f>"Terminal value at Year "&amp;COUNTA(F3:O3)</f>
        <v>Terminal value at Year 5</v>
      </c>
      <c r="C7" s="134">
        <f>(C4*(1+C5))/(C5-C6)</f>
        <v>37806.973042613747</v>
      </c>
      <c r="E7" s="16"/>
      <c r="F7" s="18"/>
      <c r="G7" s="18"/>
      <c r="H7" s="18"/>
      <c r="I7" s="18"/>
      <c r="J7" s="18"/>
      <c r="K7" s="18"/>
      <c r="L7" s="18"/>
      <c r="M7" s="18"/>
      <c r="N7" s="18"/>
      <c r="O7" s="18"/>
    </row>
    <row r="8" spans="1:15">
      <c r="A8" s="242"/>
      <c r="C8" s="131"/>
      <c r="E8" s="187" t="s">
        <v>237</v>
      </c>
      <c r="F8" s="44">
        <f t="shared" ref="F8:O8" si="0">IF(F3="","",F4-F6)</f>
        <v>1460.4566718565002</v>
      </c>
      <c r="G8" s="44">
        <f t="shared" si="0"/>
        <v>1265.7413233204161</v>
      </c>
      <c r="H8" s="44">
        <f t="shared" si="0"/>
        <v>1619.6421000363764</v>
      </c>
      <c r="I8" s="44">
        <f t="shared" si="0"/>
        <v>2208.4972891157477</v>
      </c>
      <c r="J8" s="44">
        <f t="shared" si="0"/>
        <v>1527.0055960237833</v>
      </c>
      <c r="K8" s="44" t="str">
        <f t="shared" si="0"/>
        <v/>
      </c>
      <c r="L8" s="44" t="str">
        <f t="shared" si="0"/>
        <v/>
      </c>
      <c r="M8" s="44" t="str">
        <f t="shared" si="0"/>
        <v/>
      </c>
      <c r="N8" s="44" t="str">
        <f t="shared" si="0"/>
        <v/>
      </c>
      <c r="O8" s="44" t="str">
        <f t="shared" si="0"/>
        <v/>
      </c>
    </row>
    <row r="9" spans="1:15">
      <c r="A9" s="242"/>
      <c r="B9" s="14" t="s">
        <v>207</v>
      </c>
      <c r="C9" s="136">
        <f>C7/(1+C5)^COUNTA($F3:$O3)</f>
        <v>27180.039785326237</v>
      </c>
      <c r="E9" s="16"/>
      <c r="F9" s="18"/>
      <c r="G9" s="18"/>
      <c r="H9" s="18"/>
      <c r="I9" s="18"/>
      <c r="J9" s="18"/>
      <c r="K9" s="18"/>
      <c r="L9" s="18"/>
      <c r="M9" s="18"/>
      <c r="N9" s="18"/>
      <c r="O9" s="18"/>
    </row>
    <row r="10" spans="1:15">
      <c r="A10" s="242"/>
      <c r="B10" s="35" t="s">
        <v>238</v>
      </c>
      <c r="C10" s="185">
        <f>SUM(F12:O12)</f>
        <v>6598.930764330793</v>
      </c>
      <c r="E10" s="36" t="s">
        <v>216</v>
      </c>
      <c r="F10" s="72">
        <f>IF(F3="","",1/((1+$C5)^COUNTA($F3:F3)))</f>
        <v>0.93612886375486892</v>
      </c>
      <c r="G10" s="72">
        <f>IF(G3="","",1/((1+$C5)^COUNTA($F3:G3)))</f>
        <v>0.87633724955498205</v>
      </c>
      <c r="H10" s="72">
        <f>IF(H3="","",1/((1+$C5)^COUNTA($F3:H3)))</f>
        <v>0.82036459369197234</v>
      </c>
      <c r="I10" s="72">
        <f>IF(I3="","",1/((1+$C5)^COUNTA($F3:I3)))</f>
        <v>0.76796697495759081</v>
      </c>
      <c r="J10" s="72">
        <f>IF(J3="","",1/((1+$C5)^COUNTA($F3:J3)))</f>
        <v>0.71891605166831341</v>
      </c>
      <c r="K10" s="72" t="str">
        <f>IF(K3="","",1/((1+$C5)^COUNTA($F3:K3)))</f>
        <v/>
      </c>
      <c r="L10" s="72" t="str">
        <f>IF(L3="","",1/((1+$C5)^COUNTA($F3:L3)))</f>
        <v/>
      </c>
      <c r="M10" s="72" t="str">
        <f>IF(M3="","",1/((1+$C5)^COUNTA($F3:M3)))</f>
        <v/>
      </c>
      <c r="N10" s="72" t="str">
        <f>IF(N3="","",1/((1+$C5)^COUNTA($F3:N3)))</f>
        <v/>
      </c>
      <c r="O10" s="72" t="str">
        <f>IF(O3="","",1/((1+$C5)^COUNTA($F3:O3)))</f>
        <v/>
      </c>
    </row>
    <row r="11" spans="1:15">
      <c r="A11" s="242"/>
      <c r="B11" s="74" t="s">
        <v>214</v>
      </c>
      <c r="C11" s="75">
        <f>C9+C10</f>
        <v>33778.970549657031</v>
      </c>
      <c r="E11" s="16"/>
      <c r="F11" s="18"/>
      <c r="G11" s="18"/>
      <c r="H11" s="18"/>
      <c r="I11" s="18"/>
      <c r="J11" s="18"/>
      <c r="K11" s="18"/>
      <c r="L11" s="18"/>
      <c r="M11" s="18"/>
      <c r="N11" s="18"/>
      <c r="O11" s="18"/>
    </row>
    <row r="12" spans="1:15" ht="12" thickBot="1">
      <c r="A12" s="242"/>
      <c r="C12" s="131"/>
      <c r="E12" s="189" t="s">
        <v>235</v>
      </c>
      <c r="F12" s="188">
        <f t="shared" ref="F12:O12" si="1">IF(F3="","",F8*F10)</f>
        <v>1367.1756447882431</v>
      </c>
      <c r="G12" s="188">
        <f t="shared" si="1"/>
        <v>1109.2162699266967</v>
      </c>
      <c r="H12" s="188">
        <f t="shared" si="1"/>
        <v>1328.6970333227548</v>
      </c>
      <c r="I12" s="188">
        <f t="shared" si="1"/>
        <v>1696.0529823242605</v>
      </c>
      <c r="J12" s="188">
        <f t="shared" si="1"/>
        <v>1097.7888339688379</v>
      </c>
      <c r="K12" s="188" t="str">
        <f t="shared" si="1"/>
        <v/>
      </c>
      <c r="L12" s="188" t="str">
        <f t="shared" si="1"/>
        <v/>
      </c>
      <c r="M12" s="188" t="str">
        <f t="shared" si="1"/>
        <v/>
      </c>
      <c r="N12" s="188" t="str">
        <f t="shared" si="1"/>
        <v/>
      </c>
      <c r="O12" s="188" t="str">
        <f t="shared" si="1"/>
        <v/>
      </c>
    </row>
    <row r="13" spans="1:15" ht="12" thickTop="1">
      <c r="A13" s="242"/>
      <c r="B13" s="73" t="s">
        <v>211</v>
      </c>
      <c r="C13" s="137">
        <f>+'Balance Sheet'!$G$48</f>
        <v>9462</v>
      </c>
      <c r="F13" s="18"/>
      <c r="G13" s="18"/>
      <c r="H13" s="18"/>
      <c r="I13" s="18"/>
      <c r="J13" s="18"/>
      <c r="K13" s="18"/>
      <c r="L13" s="18"/>
      <c r="M13" s="18"/>
      <c r="N13" s="18"/>
      <c r="O13" s="18"/>
    </row>
    <row r="14" spans="1:15">
      <c r="A14" s="242"/>
      <c r="B14" s="73" t="s">
        <v>212</v>
      </c>
      <c r="C14" s="167">
        <f>+'Balance Sheet'!$G$37</f>
        <v>122</v>
      </c>
      <c r="F14" s="18"/>
      <c r="G14" s="18"/>
      <c r="H14" s="18"/>
      <c r="I14" s="18"/>
      <c r="J14" s="18"/>
      <c r="K14" s="18"/>
      <c r="L14" s="18"/>
      <c r="M14" s="18"/>
      <c r="N14" s="18"/>
      <c r="O14" s="18"/>
    </row>
    <row r="15" spans="1:15">
      <c r="A15" s="242"/>
      <c r="B15" s="74" t="s">
        <v>209</v>
      </c>
      <c r="C15" s="75">
        <f>C11-C13-C14</f>
        <v>24194.970549657031</v>
      </c>
      <c r="F15" s="18"/>
      <c r="G15" s="18"/>
      <c r="H15" s="18"/>
      <c r="I15" s="18"/>
      <c r="J15" s="18"/>
      <c r="K15" s="18"/>
      <c r="L15" s="18"/>
      <c r="M15" s="18"/>
      <c r="N15" s="18"/>
      <c r="O15" s="18"/>
    </row>
    <row r="16" spans="1:15">
      <c r="A16" s="242"/>
      <c r="C16" s="131"/>
      <c r="F16" s="18"/>
      <c r="G16" s="18"/>
      <c r="H16" s="18"/>
      <c r="I16" s="18"/>
      <c r="J16" s="18"/>
      <c r="K16" s="18"/>
      <c r="L16" s="18"/>
      <c r="M16" s="18"/>
      <c r="N16" s="18"/>
      <c r="O16" s="18"/>
    </row>
    <row r="17" spans="1:15">
      <c r="A17" s="242"/>
      <c r="B17" s="73" t="s">
        <v>66</v>
      </c>
      <c r="C17" s="167">
        <f>+Assumptions!$C$36</f>
        <v>285.8</v>
      </c>
      <c r="F17" s="18"/>
      <c r="G17" s="18"/>
      <c r="H17" s="18"/>
      <c r="I17" s="18"/>
      <c r="J17" s="18"/>
      <c r="K17" s="18"/>
      <c r="L17" s="18"/>
      <c r="M17" s="18"/>
      <c r="N17" s="18"/>
      <c r="O17" s="18"/>
    </row>
    <row r="18" spans="1:15" ht="12" thickBot="1">
      <c r="A18" s="242"/>
      <c r="B18" s="86" t="s">
        <v>217</v>
      </c>
      <c r="C18" s="169">
        <f>C15/C17</f>
        <v>84.656999823852445</v>
      </c>
      <c r="F18" s="18"/>
      <c r="G18" s="18"/>
      <c r="H18" s="18"/>
      <c r="I18" s="18"/>
      <c r="J18" s="18"/>
      <c r="K18" s="18"/>
      <c r="L18" s="18"/>
      <c r="M18" s="18"/>
      <c r="N18" s="18"/>
      <c r="O18" s="18"/>
    </row>
    <row r="19" spans="1:15" ht="12" thickTop="1"/>
    <row r="21" spans="1:15">
      <c r="A21" s="243" t="s">
        <v>14</v>
      </c>
      <c r="B21" s="146" t="str">
        <f>"IRR - "&amp;A21</f>
        <v>IRR - Bear</v>
      </c>
      <c r="C21" s="146"/>
      <c r="E21" s="22" t="str">
        <f>Assumptions!$B$132</f>
        <v>Year Ending 09/31/2024, In USD Millions</v>
      </c>
      <c r="F21" s="108" cm="1">
        <f t="array" ref="F21:J21">_xlfn.SEQUENCE(1,Assumptions!$C$20,(YEAR(Assumptions!$C$19)))</f>
        <v>2024</v>
      </c>
      <c r="G21" s="108">
        <v>2025</v>
      </c>
      <c r="H21" s="108">
        <v>2026</v>
      </c>
      <c r="I21" s="108">
        <v>2027</v>
      </c>
      <c r="J21" s="108">
        <v>2028</v>
      </c>
      <c r="K21" s="108"/>
      <c r="L21" s="108"/>
      <c r="M21" s="108"/>
      <c r="N21" s="108"/>
      <c r="O21" s="108"/>
    </row>
    <row r="22" spans="1:15">
      <c r="A22" s="243"/>
      <c r="B22" s="14" t="str">
        <f>"Free Cash Flow to Equity at Year "&amp;COUNTA(F21:O21)</f>
        <v>Free Cash Flow to Equity at Year 5</v>
      </c>
      <c r="C22" s="190" cm="1">
        <f t="array" ref="C22">LOOKUP(2,1/($F22:$O22&lt;&gt;""),$F22:$O22)</f>
        <v>2047.9268432861386</v>
      </c>
      <c r="E22" s="14" t="s">
        <v>215</v>
      </c>
      <c r="F22" s="19">
        <f>IF(F21="","",'Discounted Cash Flow'!I33)</f>
        <v>1451.3108716753304</v>
      </c>
      <c r="G22" s="19">
        <f>IF(G21="","",'Discounted Cash Flow'!J33)</f>
        <v>1812.1753056835776</v>
      </c>
      <c r="H22" s="19">
        <f>IF(H21="","",'Discounted Cash Flow'!K33)</f>
        <v>2151.8764849657691</v>
      </c>
      <c r="I22" s="19">
        <f>IF(I21="","",'Discounted Cash Flow'!L33)</f>
        <v>2737.7001256924591</v>
      </c>
      <c r="J22" s="19">
        <f>IF(J21="","",'Discounted Cash Flow'!M33)</f>
        <v>2047.9268432861386</v>
      </c>
      <c r="K22" s="19" t="str">
        <f>IF(K21="","",'Discounted Cash Flow'!N33)</f>
        <v/>
      </c>
      <c r="L22" s="19" t="str">
        <f>IF(L21="","",'Discounted Cash Flow'!O33)</f>
        <v/>
      </c>
      <c r="M22" s="19" t="str">
        <f>IF(M21="","",'Discounted Cash Flow'!P33)</f>
        <v/>
      </c>
      <c r="N22" s="19" t="str">
        <f>IF(N21="","",'Discounted Cash Flow'!Q33)</f>
        <v/>
      </c>
      <c r="O22" s="19" t="str">
        <f>IF(O21="","",'Discounted Cash Flow'!R33)</f>
        <v/>
      </c>
    </row>
    <row r="23" spans="1:15">
      <c r="A23" s="243"/>
      <c r="B23" s="73" t="s">
        <v>236</v>
      </c>
      <c r="C23" s="79">
        <f>Assumptions!$C$121</f>
        <v>6.8228999999999998E-2</v>
      </c>
      <c r="E23" s="16"/>
      <c r="F23" s="18"/>
      <c r="G23" s="18"/>
      <c r="H23" s="18"/>
      <c r="I23" s="18"/>
      <c r="J23" s="18"/>
      <c r="K23" s="18"/>
      <c r="L23" s="18"/>
      <c r="M23" s="18"/>
      <c r="N23" s="18"/>
      <c r="O23" s="18"/>
    </row>
    <row r="24" spans="1:15">
      <c r="A24" s="243"/>
      <c r="B24" s="73" t="s">
        <v>205</v>
      </c>
      <c r="C24" s="79">
        <f>Assumptions!$C$133</f>
        <v>0.01</v>
      </c>
      <c r="E24" s="16" t="s">
        <v>131</v>
      </c>
      <c r="F24" s="18">
        <f>IF(F21="","",'IS Bear'!H$25)</f>
        <v>520.87022499303112</v>
      </c>
      <c r="G24" s="18">
        <f>IF(G21="","",'IS Bear'!I$25)</f>
        <v>502.88206183163697</v>
      </c>
      <c r="H24" s="18">
        <f>IF(H21="","",'IS Bear'!J$25)</f>
        <v>502.10882029465245</v>
      </c>
      <c r="I24" s="18">
        <f>IF(I21="","",'IS Bear'!K$25)</f>
        <v>512.49927264670896</v>
      </c>
      <c r="J24" s="18">
        <f>IF(J21="","",'IS Bear'!L$25)</f>
        <v>517.63667148062598</v>
      </c>
      <c r="K24" s="18" t="str">
        <f>IF(K21="","",'Income Statement'!M$25)</f>
        <v/>
      </c>
      <c r="L24" s="18" t="str">
        <f>IF(L21="","",'Income Statement'!N$25)</f>
        <v/>
      </c>
      <c r="M24" s="18" t="str">
        <f>IF(M21="","",'Income Statement'!O$25)</f>
        <v/>
      </c>
      <c r="N24" s="18" t="str">
        <f>IF(N21="","",'Income Statement'!P$25)</f>
        <v/>
      </c>
      <c r="O24" s="18" t="str">
        <f>IF(O21="","",'Income Statement'!Q$25)</f>
        <v/>
      </c>
    </row>
    <row r="25" spans="1:15">
      <c r="A25" s="243"/>
      <c r="B25" s="85" t="str">
        <f>"Terminal value at Year "&amp;COUNTA(F21:O21)</f>
        <v>Terminal value at Year 5</v>
      </c>
      <c r="C25" s="134">
        <f>(C22*(1+C23))/(C23-C24)</f>
        <v>37569.850828224917</v>
      </c>
      <c r="E25" s="16"/>
      <c r="F25" s="18"/>
      <c r="G25" s="18"/>
      <c r="H25" s="18"/>
      <c r="I25" s="18"/>
      <c r="J25" s="18"/>
      <c r="K25" s="18"/>
      <c r="L25" s="18"/>
      <c r="M25" s="18"/>
      <c r="N25" s="18"/>
      <c r="O25" s="18"/>
    </row>
    <row r="26" spans="1:15">
      <c r="A26" s="243"/>
      <c r="C26" s="131"/>
      <c r="E26" s="187" t="s">
        <v>237</v>
      </c>
      <c r="F26" s="44">
        <f>IF(F21="","",F22-F24)</f>
        <v>930.4406466822993</v>
      </c>
      <c r="G26" s="44">
        <f t="shared" ref="G26:O26" si="2">IF(G21="","",G22-G24)</f>
        <v>1309.2932438519406</v>
      </c>
      <c r="H26" s="44">
        <f t="shared" si="2"/>
        <v>1649.7676646711166</v>
      </c>
      <c r="I26" s="44">
        <f t="shared" si="2"/>
        <v>2225.2008530457501</v>
      </c>
      <c r="J26" s="44">
        <f t="shared" si="2"/>
        <v>1530.2901718055127</v>
      </c>
      <c r="K26" s="44" t="str">
        <f t="shared" si="2"/>
        <v/>
      </c>
      <c r="L26" s="44" t="str">
        <f t="shared" si="2"/>
        <v/>
      </c>
      <c r="M26" s="44" t="str">
        <f t="shared" si="2"/>
        <v/>
      </c>
      <c r="N26" s="44" t="str">
        <f t="shared" si="2"/>
        <v/>
      </c>
      <c r="O26" s="44" t="str">
        <f t="shared" si="2"/>
        <v/>
      </c>
    </row>
    <row r="27" spans="1:15">
      <c r="A27" s="243"/>
      <c r="B27" s="14" t="s">
        <v>207</v>
      </c>
      <c r="C27" s="136">
        <f>C25/(1+C23)^COUNTA($F21:$O21)</f>
        <v>27009.568819194974</v>
      </c>
      <c r="E27" s="16"/>
      <c r="F27" s="18"/>
      <c r="G27" s="18"/>
      <c r="H27" s="18"/>
      <c r="I27" s="18"/>
      <c r="J27" s="18"/>
      <c r="K27" s="18"/>
      <c r="L27" s="18"/>
      <c r="M27" s="18"/>
      <c r="N27" s="18"/>
      <c r="O27" s="18"/>
    </row>
    <row r="28" spans="1:15">
      <c r="A28" s="243"/>
      <c r="B28" s="35" t="s">
        <v>238</v>
      </c>
      <c r="C28" s="185">
        <f>SUM(F30:O30)</f>
        <v>6180.8367014700907</v>
      </c>
      <c r="E28" s="36" t="s">
        <v>216</v>
      </c>
      <c r="F28" s="72">
        <f>IF(F21="","",1/((1+$C23)^COUNTA($F21:F21)))</f>
        <v>0.93612886375486892</v>
      </c>
      <c r="G28" s="72">
        <f>IF(G21="","",1/((1+$C23)^COUNTA($F21:G21)))</f>
        <v>0.87633724955498205</v>
      </c>
      <c r="H28" s="72">
        <f>IF(H21="","",1/((1+$C23)^COUNTA($F21:H21)))</f>
        <v>0.82036459369197234</v>
      </c>
      <c r="I28" s="72">
        <f>IF(I21="","",1/((1+$C23)^COUNTA($F21:I21)))</f>
        <v>0.76796697495759081</v>
      </c>
      <c r="J28" s="72">
        <f>IF(J21="","",1/((1+$C23)^COUNTA($F21:J21)))</f>
        <v>0.71891605166831341</v>
      </c>
      <c r="K28" s="72" t="str">
        <f>IF(K21="","",1/((1+$C23)^COUNTA($F21:K21)))</f>
        <v/>
      </c>
      <c r="L28" s="72" t="str">
        <f>IF(L21="","",1/((1+$C23)^COUNTA($F21:L21)))</f>
        <v/>
      </c>
      <c r="M28" s="72" t="str">
        <f>IF(M21="","",1/((1+$C23)^COUNTA($F21:M21)))</f>
        <v/>
      </c>
      <c r="N28" s="72" t="str">
        <f>IF(N21="","",1/((1+$C23)^COUNTA($F21:N21)))</f>
        <v/>
      </c>
      <c r="O28" s="72" t="str">
        <f>IF(O21="","",1/((1+$C23)^COUNTA($F21:O21)))</f>
        <v/>
      </c>
    </row>
    <row r="29" spans="1:15">
      <c r="A29" s="243"/>
      <c r="B29" s="74" t="s">
        <v>214</v>
      </c>
      <c r="C29" s="75">
        <f>C27+C28</f>
        <v>33190.405520665066</v>
      </c>
      <c r="E29" s="16"/>
      <c r="F29" s="18"/>
      <c r="G29" s="18"/>
      <c r="H29" s="18"/>
      <c r="I29" s="18"/>
      <c r="J29" s="18"/>
      <c r="K29" s="18"/>
      <c r="L29" s="18"/>
      <c r="M29" s="18"/>
      <c r="N29" s="18"/>
      <c r="O29" s="18"/>
    </row>
    <row r="30" spans="1:15" ht="12" thickBot="1">
      <c r="A30" s="243"/>
      <c r="C30" s="131"/>
      <c r="E30" s="189" t="s">
        <v>235</v>
      </c>
      <c r="F30" s="188">
        <f>IF(F21="","",F26*F28)</f>
        <v>871.01234537004632</v>
      </c>
      <c r="G30" s="188">
        <f t="shared" ref="G30:O30" si="3">IF(G21="","",G26*G28)</f>
        <v>1147.3824401781301</v>
      </c>
      <c r="H30" s="188">
        <f t="shared" si="3"/>
        <v>1353.4109799140747</v>
      </c>
      <c r="I30" s="188">
        <f t="shared" si="3"/>
        <v>1708.8807677865952</v>
      </c>
      <c r="J30" s="188">
        <f t="shared" si="3"/>
        <v>1100.1501682212443</v>
      </c>
      <c r="K30" s="188" t="str">
        <f t="shared" si="3"/>
        <v/>
      </c>
      <c r="L30" s="188" t="str">
        <f t="shared" si="3"/>
        <v/>
      </c>
      <c r="M30" s="188" t="str">
        <f t="shared" si="3"/>
        <v/>
      </c>
      <c r="N30" s="188" t="str">
        <f t="shared" si="3"/>
        <v/>
      </c>
      <c r="O30" s="188" t="str">
        <f t="shared" si="3"/>
        <v/>
      </c>
    </row>
    <row r="31" spans="1:15" ht="12" thickTop="1">
      <c r="A31" s="243"/>
      <c r="B31" s="73" t="s">
        <v>211</v>
      </c>
      <c r="C31" s="137">
        <f>+'Balance Sheet'!$G$48</f>
        <v>9462</v>
      </c>
      <c r="F31" s="18"/>
      <c r="G31" s="18"/>
      <c r="H31" s="18"/>
      <c r="I31" s="18"/>
      <c r="J31" s="18"/>
      <c r="K31" s="18"/>
      <c r="L31" s="18"/>
      <c r="M31" s="18"/>
      <c r="N31" s="18"/>
      <c r="O31" s="18"/>
    </row>
    <row r="32" spans="1:15">
      <c r="A32" s="243"/>
      <c r="B32" s="73" t="s">
        <v>212</v>
      </c>
      <c r="C32" s="167">
        <f>+'Balance Sheet'!$G$37</f>
        <v>122</v>
      </c>
      <c r="F32" s="18"/>
      <c r="G32" s="18"/>
      <c r="H32" s="18"/>
      <c r="I32" s="18"/>
      <c r="J32" s="18"/>
      <c r="K32" s="18"/>
      <c r="L32" s="18"/>
      <c r="M32" s="18"/>
      <c r="N32" s="18"/>
      <c r="O32" s="18"/>
    </row>
    <row r="33" spans="1:15">
      <c r="A33" s="243"/>
      <c r="B33" s="74" t="s">
        <v>209</v>
      </c>
      <c r="C33" s="75">
        <f>C29-C31-C32</f>
        <v>23606.405520665066</v>
      </c>
      <c r="F33" s="18"/>
      <c r="G33" s="18"/>
      <c r="H33" s="18"/>
      <c r="I33" s="18"/>
      <c r="J33" s="18"/>
      <c r="K33" s="18"/>
      <c r="L33" s="18"/>
      <c r="M33" s="18"/>
      <c r="N33" s="18"/>
      <c r="O33" s="18"/>
    </row>
    <row r="34" spans="1:15">
      <c r="A34" s="243"/>
      <c r="C34" s="131"/>
      <c r="F34" s="18"/>
      <c r="G34" s="18"/>
      <c r="H34" s="18"/>
      <c r="I34" s="18"/>
      <c r="J34" s="18"/>
      <c r="K34" s="18"/>
      <c r="L34" s="18"/>
      <c r="M34" s="18"/>
      <c r="N34" s="18"/>
      <c r="O34" s="18"/>
    </row>
    <row r="35" spans="1:15">
      <c r="A35" s="243"/>
      <c r="B35" s="73" t="s">
        <v>66</v>
      </c>
      <c r="C35" s="167">
        <f>+Assumptions!$C$36</f>
        <v>285.8</v>
      </c>
      <c r="F35" s="18"/>
      <c r="G35" s="18"/>
      <c r="H35" s="18"/>
      <c r="I35" s="18"/>
      <c r="J35" s="18"/>
      <c r="K35" s="18"/>
      <c r="L35" s="18"/>
      <c r="M35" s="18"/>
      <c r="N35" s="18"/>
      <c r="O35" s="18"/>
    </row>
    <row r="36" spans="1:15" ht="12" thickBot="1">
      <c r="A36" s="243"/>
      <c r="B36" s="86" t="s">
        <v>217</v>
      </c>
      <c r="C36" s="169">
        <f>C33/C35</f>
        <v>82.59764003031863</v>
      </c>
      <c r="F36" s="18"/>
      <c r="G36" s="18"/>
      <c r="H36" s="18"/>
      <c r="I36" s="18"/>
      <c r="J36" s="18"/>
      <c r="K36" s="18"/>
      <c r="L36" s="18"/>
      <c r="M36" s="18"/>
      <c r="N36" s="18"/>
      <c r="O36" s="18"/>
    </row>
    <row r="37" spans="1:15" ht="12" thickTop="1"/>
    <row r="39" spans="1:15">
      <c r="A39" s="244" t="s">
        <v>16</v>
      </c>
      <c r="B39" s="146" t="str">
        <f>"IRR - "&amp;A39</f>
        <v>IRR - Bull</v>
      </c>
      <c r="C39" s="146"/>
      <c r="E39" s="22" t="str">
        <f>Assumptions!$B$132</f>
        <v>Year Ending 09/31/2024, In USD Millions</v>
      </c>
      <c r="F39" s="108" cm="1">
        <f t="array" ref="F39:J39">_xlfn.SEQUENCE(1,Assumptions!$C$20,(YEAR(Assumptions!$C$19)))</f>
        <v>2024</v>
      </c>
      <c r="G39" s="108">
        <v>2025</v>
      </c>
      <c r="H39" s="108">
        <v>2026</v>
      </c>
      <c r="I39" s="108">
        <v>2027</v>
      </c>
      <c r="J39" s="108">
        <v>2028</v>
      </c>
      <c r="K39" s="108"/>
      <c r="L39" s="108"/>
      <c r="M39" s="108"/>
      <c r="N39" s="108"/>
      <c r="O39" s="108"/>
    </row>
    <row r="40" spans="1:15">
      <c r="A40" s="244"/>
      <c r="B40" s="14" t="str">
        <f>"Free Cash Flow to Equity at Year "&amp;COUNTA(F39:O39)</f>
        <v>Free Cash Flow to Equity at Year 5</v>
      </c>
      <c r="C40" s="190" cm="1">
        <f t="array" ref="C40">LOOKUP(2,1/($F40:$O40&lt;&gt;""),$F40:$O40)</f>
        <v>2068.8657275608753</v>
      </c>
      <c r="E40" s="14" t="s">
        <v>215</v>
      </c>
      <c r="F40" s="19">
        <f>IF(F39="","",'Discounted Cash Flow'!I51)</f>
        <v>1343.825654085334</v>
      </c>
      <c r="G40" s="19">
        <f>IF(G39="","",'Discounted Cash Flow'!J51)</f>
        <v>1735.8872243919211</v>
      </c>
      <c r="H40" s="19">
        <f>IF(H39="","",'Discounted Cash Flow'!K51)</f>
        <v>2107.3772371331397</v>
      </c>
      <c r="I40" s="19">
        <f>IF(I39="","",'Discounted Cash Flow'!L51)</f>
        <v>2725.6026015636517</v>
      </c>
      <c r="J40" s="19">
        <f>IF(J39="","",'Discounted Cash Flow'!M51)</f>
        <v>2068.8657275608753</v>
      </c>
      <c r="K40" s="19" t="str">
        <f>IF(K39="","",'Discounted Cash Flow'!N51)</f>
        <v/>
      </c>
      <c r="L40" s="19" t="str">
        <f>IF(L39="","",'Discounted Cash Flow'!O51)</f>
        <v/>
      </c>
      <c r="M40" s="19" t="str">
        <f>IF(M39="","",'Discounted Cash Flow'!P51)</f>
        <v/>
      </c>
      <c r="N40" s="19" t="str">
        <f>IF(N39="","",'Discounted Cash Flow'!Q51)</f>
        <v/>
      </c>
      <c r="O40" s="19" t="str">
        <f>IF(O39="","",'Discounted Cash Flow'!R51)</f>
        <v/>
      </c>
    </row>
    <row r="41" spans="1:15">
      <c r="A41" s="244"/>
      <c r="B41" s="73" t="s">
        <v>236</v>
      </c>
      <c r="C41" s="79">
        <f>Assumptions!$C$121</f>
        <v>6.8228999999999998E-2</v>
      </c>
      <c r="E41" s="16"/>
      <c r="F41" s="18"/>
      <c r="G41" s="18"/>
      <c r="H41" s="18"/>
      <c r="I41" s="18"/>
      <c r="J41" s="18"/>
      <c r="K41" s="18"/>
      <c r="L41" s="18"/>
      <c r="M41" s="18"/>
      <c r="N41" s="18"/>
      <c r="O41" s="18"/>
    </row>
    <row r="42" spans="1:15">
      <c r="A42" s="244"/>
      <c r="B42" s="73" t="s">
        <v>205</v>
      </c>
      <c r="C42" s="79">
        <f>Assumptions!$C$133</f>
        <v>0.01</v>
      </c>
      <c r="E42" s="16" t="s">
        <v>131</v>
      </c>
      <c r="F42" s="18">
        <f>IF(F39="","",'IS Bull'!H$25)</f>
        <v>527.35295705462818</v>
      </c>
      <c r="G42" s="18">
        <f>IF(G39="","",'IS Bull'!I$25)</f>
        <v>515.97718059606291</v>
      </c>
      <c r="H42" s="18">
        <f>IF(H39="","",'IS Bull'!J$25)</f>
        <v>521.95051831558226</v>
      </c>
      <c r="I42" s="18">
        <f>IF(I39="","",'IS Bull'!K$25)</f>
        <v>539.2264100449022</v>
      </c>
      <c r="J42" s="18">
        <f>IF(J39="","",'IS Bull'!L$25)</f>
        <v>551.3929095530342</v>
      </c>
      <c r="K42" s="18" t="str">
        <f>IF(K39="","",'IS Bull'!M$25)</f>
        <v/>
      </c>
      <c r="L42" s="18" t="str">
        <f>IF(L39="","",'IS Bull'!N$25)</f>
        <v/>
      </c>
      <c r="M42" s="18" t="str">
        <f>IF(M39="","",'IS Bull'!O$25)</f>
        <v/>
      </c>
      <c r="N42" s="18" t="str">
        <f>IF(N39="","",'IS Bull'!P$25)</f>
        <v/>
      </c>
      <c r="O42" s="18" t="str">
        <f>IF(O39="","",'IS Bull'!Q$25)</f>
        <v/>
      </c>
    </row>
    <row r="43" spans="1:15">
      <c r="A43" s="244"/>
      <c r="B43" s="85" t="str">
        <f>"Terminal value at Year "&amp;COUNTA(F39:O39)</f>
        <v>Terminal value at Year 5</v>
      </c>
      <c r="C43" s="134">
        <f>(C40*(1+C41))/(C41-C42)</f>
        <v>37953.981131165339</v>
      </c>
      <c r="E43" s="16"/>
      <c r="F43" s="18"/>
      <c r="G43" s="18"/>
      <c r="H43" s="18"/>
      <c r="I43" s="18"/>
      <c r="J43" s="18"/>
      <c r="K43" s="18"/>
      <c r="L43" s="18"/>
      <c r="M43" s="18"/>
      <c r="N43" s="18"/>
      <c r="O43" s="18"/>
    </row>
    <row r="44" spans="1:15">
      <c r="A44" s="244"/>
      <c r="C44" s="131"/>
      <c r="E44" s="187" t="s">
        <v>237</v>
      </c>
      <c r="F44" s="44">
        <f>IF(F39="","",F40-F42)</f>
        <v>816.47269703070583</v>
      </c>
      <c r="G44" s="44">
        <f t="shared" ref="G44:O44" si="4">IF(G39="","",G40-G42)</f>
        <v>1219.9100437958582</v>
      </c>
      <c r="H44" s="44">
        <f t="shared" si="4"/>
        <v>1585.4267188175575</v>
      </c>
      <c r="I44" s="44">
        <f t="shared" si="4"/>
        <v>2186.3761915187497</v>
      </c>
      <c r="J44" s="44">
        <f t="shared" si="4"/>
        <v>1517.4728180078409</v>
      </c>
      <c r="K44" s="44" t="str">
        <f t="shared" si="4"/>
        <v/>
      </c>
      <c r="L44" s="44" t="str">
        <f t="shared" si="4"/>
        <v/>
      </c>
      <c r="M44" s="44" t="str">
        <f t="shared" si="4"/>
        <v/>
      </c>
      <c r="N44" s="44" t="str">
        <f t="shared" si="4"/>
        <v/>
      </c>
      <c r="O44" s="44" t="str">
        <f t="shared" si="4"/>
        <v/>
      </c>
    </row>
    <row r="45" spans="1:15">
      <c r="A45" s="244"/>
      <c r="B45" s="14" t="s">
        <v>207</v>
      </c>
      <c r="C45" s="136">
        <f>C43/(1+C41)^COUNTA($F39:$O39)</f>
        <v>27285.726259911055</v>
      </c>
      <c r="E45" s="16"/>
      <c r="F45" s="18"/>
      <c r="G45" s="18"/>
      <c r="H45" s="18"/>
      <c r="I45" s="18"/>
      <c r="J45" s="18"/>
      <c r="K45" s="18"/>
      <c r="L45" s="18"/>
      <c r="M45" s="18"/>
      <c r="N45" s="18"/>
      <c r="O45" s="18"/>
    </row>
    <row r="46" spans="1:15">
      <c r="A46" s="244"/>
      <c r="B46" s="35" t="s">
        <v>238</v>
      </c>
      <c r="C46" s="185">
        <f>SUM(F48:O48)</f>
        <v>5904.0044934100888</v>
      </c>
      <c r="E46" s="36" t="s">
        <v>216</v>
      </c>
      <c r="F46" s="72">
        <f>IF(F39="","",1/((1+$C41)^COUNTA($F39:F39)))</f>
        <v>0.93612886375486892</v>
      </c>
      <c r="G46" s="72">
        <f>IF(G39="","",1/((1+$C41)^COUNTA($F39:G39)))</f>
        <v>0.87633724955498205</v>
      </c>
      <c r="H46" s="72">
        <f>IF(H39="","",1/((1+$C41)^COUNTA($F39:H39)))</f>
        <v>0.82036459369197234</v>
      </c>
      <c r="I46" s="72">
        <f>IF(I39="","",1/((1+$C41)^COUNTA($F39:I39)))</f>
        <v>0.76796697495759081</v>
      </c>
      <c r="J46" s="72">
        <f>IF(J39="","",1/((1+$C41)^COUNTA($F39:J39)))</f>
        <v>0.71891605166831341</v>
      </c>
      <c r="K46" s="72" t="str">
        <f>IF(K39="","",1/((1+$C41)^COUNTA($F39:K39)))</f>
        <v/>
      </c>
      <c r="L46" s="72" t="str">
        <f>IF(L39="","",1/((1+$C41)^COUNTA($F39:L39)))</f>
        <v/>
      </c>
      <c r="M46" s="72" t="str">
        <f>IF(M39="","",1/((1+$C41)^COUNTA($F39:M39)))</f>
        <v/>
      </c>
      <c r="N46" s="72" t="str">
        <f>IF(N39="","",1/((1+$C41)^COUNTA($F39:N39)))</f>
        <v/>
      </c>
      <c r="O46" s="72" t="str">
        <f>IF(O39="","",1/((1+$C41)^COUNTA($F39:O39)))</f>
        <v/>
      </c>
    </row>
    <row r="47" spans="1:15">
      <c r="A47" s="244"/>
      <c r="B47" s="74" t="s">
        <v>214</v>
      </c>
      <c r="C47" s="75">
        <f>C45+C46</f>
        <v>33189.730753321142</v>
      </c>
      <c r="E47" s="16"/>
      <c r="F47" s="18"/>
      <c r="G47" s="18"/>
      <c r="H47" s="18"/>
      <c r="I47" s="18"/>
      <c r="J47" s="18"/>
      <c r="K47" s="18"/>
      <c r="L47" s="18"/>
      <c r="M47" s="18"/>
      <c r="N47" s="18"/>
      <c r="O47" s="18"/>
    </row>
    <row r="48" spans="1:15" ht="12" thickBot="1">
      <c r="A48" s="244"/>
      <c r="C48" s="131"/>
      <c r="E48" s="189" t="s">
        <v>235</v>
      </c>
      <c r="F48" s="188">
        <f>IF(F39="","",F44*F46)</f>
        <v>764.323658158228</v>
      </c>
      <c r="G48" s="188">
        <f t="shared" ref="G48:O48" si="5">IF(G39="","",G44*G46)</f>
        <v>1069.0526124845601</v>
      </c>
      <c r="H48" s="188">
        <f t="shared" si="5"/>
        <v>1300.6279460111623</v>
      </c>
      <c r="I48" s="188">
        <f t="shared" si="5"/>
        <v>1679.0647099199525</v>
      </c>
      <c r="J48" s="188">
        <f t="shared" si="5"/>
        <v>1090.9355668361861</v>
      </c>
      <c r="K48" s="188" t="str">
        <f t="shared" si="5"/>
        <v/>
      </c>
      <c r="L48" s="188" t="str">
        <f t="shared" si="5"/>
        <v/>
      </c>
      <c r="M48" s="188" t="str">
        <f t="shared" si="5"/>
        <v/>
      </c>
      <c r="N48" s="188" t="str">
        <f t="shared" si="5"/>
        <v/>
      </c>
      <c r="O48" s="188" t="str">
        <f t="shared" si="5"/>
        <v/>
      </c>
    </row>
    <row r="49" spans="1:15" ht="12" thickTop="1">
      <c r="A49" s="244"/>
      <c r="B49" s="73" t="s">
        <v>211</v>
      </c>
      <c r="C49" s="137">
        <f>+'Balance Sheet'!$G$48</f>
        <v>9462</v>
      </c>
      <c r="F49" s="18"/>
      <c r="G49" s="18"/>
      <c r="H49" s="18"/>
      <c r="I49" s="18"/>
      <c r="J49" s="18"/>
      <c r="K49" s="18"/>
      <c r="L49" s="18"/>
      <c r="M49" s="18"/>
      <c r="N49" s="18"/>
      <c r="O49" s="18"/>
    </row>
    <row r="50" spans="1:15">
      <c r="A50" s="244"/>
      <c r="B50" s="73" t="s">
        <v>212</v>
      </c>
      <c r="C50" s="167">
        <f>+'Balance Sheet'!$G$37</f>
        <v>122</v>
      </c>
      <c r="F50" s="18"/>
      <c r="G50" s="18"/>
      <c r="H50" s="18"/>
      <c r="I50" s="18"/>
      <c r="J50" s="18"/>
      <c r="K50" s="18"/>
      <c r="L50" s="18"/>
      <c r="M50" s="18"/>
      <c r="N50" s="18"/>
      <c r="O50" s="18"/>
    </row>
    <row r="51" spans="1:15">
      <c r="A51" s="244"/>
      <c r="B51" s="74" t="s">
        <v>209</v>
      </c>
      <c r="C51" s="75">
        <f>C47-C49-C50</f>
        <v>23605.730753321142</v>
      </c>
      <c r="F51" s="18"/>
      <c r="G51" s="18"/>
      <c r="H51" s="18"/>
      <c r="I51" s="18"/>
      <c r="J51" s="18"/>
      <c r="K51" s="18"/>
      <c r="L51" s="18"/>
      <c r="M51" s="18"/>
      <c r="N51" s="18"/>
      <c r="O51" s="18"/>
    </row>
    <row r="52" spans="1:15">
      <c r="A52" s="244"/>
      <c r="C52" s="131"/>
      <c r="F52" s="18"/>
      <c r="G52" s="18"/>
      <c r="H52" s="18"/>
      <c r="I52" s="18"/>
      <c r="J52" s="18"/>
      <c r="K52" s="18"/>
      <c r="L52" s="18"/>
      <c r="M52" s="18"/>
      <c r="N52" s="18"/>
      <c r="O52" s="18"/>
    </row>
    <row r="53" spans="1:15">
      <c r="A53" s="244"/>
      <c r="B53" s="73" t="s">
        <v>66</v>
      </c>
      <c r="C53" s="167">
        <f>+Assumptions!$C$36</f>
        <v>285.8</v>
      </c>
      <c r="F53" s="18"/>
      <c r="G53" s="18"/>
      <c r="H53" s="18"/>
      <c r="I53" s="18"/>
      <c r="J53" s="18"/>
      <c r="K53" s="18"/>
      <c r="L53" s="18"/>
      <c r="M53" s="18"/>
      <c r="N53" s="18"/>
      <c r="O53" s="18"/>
    </row>
    <row r="54" spans="1:15" ht="12" thickBot="1">
      <c r="A54" s="244"/>
      <c r="B54" s="86" t="s">
        <v>217</v>
      </c>
      <c r="C54" s="169">
        <f>C51/C53</f>
        <v>82.595279052908126</v>
      </c>
      <c r="F54" s="18"/>
      <c r="G54" s="18"/>
      <c r="H54" s="18"/>
      <c r="I54" s="18"/>
      <c r="J54" s="18"/>
      <c r="K54" s="18"/>
      <c r="L54" s="18"/>
      <c r="M54" s="18"/>
      <c r="N54" s="18"/>
      <c r="O54" s="18"/>
    </row>
    <row r="55" spans="1:15" ht="12" thickTop="1"/>
    <row r="57" spans="1:15">
      <c r="B57" s="89" t="s">
        <v>239</v>
      </c>
      <c r="C57" s="42"/>
    </row>
    <row r="58" spans="1:15">
      <c r="B58" s="109" t="s">
        <v>221</v>
      </c>
      <c r="C58" s="109"/>
    </row>
    <row r="59" spans="1:15">
      <c r="A59" s="145" t="s">
        <v>13</v>
      </c>
      <c r="B59" s="1" t="str">
        <f>B3</f>
        <v>IRR - Base</v>
      </c>
      <c r="C59" s="32">
        <f>C18</f>
        <v>84.656999823852445</v>
      </c>
    </row>
    <row r="60" spans="1:15">
      <c r="A60" s="145" t="s">
        <v>14</v>
      </c>
      <c r="B60" s="1" t="str">
        <f>B21</f>
        <v>IRR - Bear</v>
      </c>
      <c r="C60" s="32">
        <f>C36</f>
        <v>82.59764003031863</v>
      </c>
    </row>
    <row r="61" spans="1:15">
      <c r="A61" s="145" t="s">
        <v>16</v>
      </c>
      <c r="B61" s="1" t="str">
        <f>B39</f>
        <v>IRR - Bull</v>
      </c>
      <c r="C61" s="32">
        <f>C54</f>
        <v>82.595279052908126</v>
      </c>
    </row>
  </sheetData>
  <mergeCells count="3">
    <mergeCell ref="A3:A18"/>
    <mergeCell ref="A21:A36"/>
    <mergeCell ref="A39:A5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9E49F-CAB0-4695-9EB7-5E156BC6956B}">
  <sheetPr>
    <tabColor rgb="FF92D050"/>
  </sheetPr>
  <dimension ref="A2:H55"/>
  <sheetViews>
    <sheetView zoomScale="115" zoomScaleNormal="115" workbookViewId="0">
      <pane xSplit="1" ySplit="2" topLeftCell="B3" activePane="bottomRight" state="frozen"/>
      <selection pane="topRight" activeCell="B1" sqref="B1"/>
      <selection pane="bottomLeft" activeCell="A3" sqref="A3"/>
      <selection pane="bottomRight" activeCell="D5" sqref="D5"/>
    </sheetView>
  </sheetViews>
  <sheetFormatPr baseColWidth="10" defaultColWidth="0" defaultRowHeight="11"/>
  <cols>
    <col min="1" max="1" width="4" style="1" bestFit="1" customWidth="1"/>
    <col min="2" max="2" width="25.83203125" style="1" bestFit="1" customWidth="1"/>
    <col min="3" max="8" width="8.6640625" style="1" customWidth="1"/>
    <col min="9" max="16384" width="8.6640625" style="1" hidden="1"/>
  </cols>
  <sheetData>
    <row r="2" spans="1:8">
      <c r="B2" s="42" t="s">
        <v>240</v>
      </c>
      <c r="C2" s="41"/>
      <c r="D2" s="41"/>
      <c r="E2" s="41"/>
      <c r="F2" s="41"/>
      <c r="G2" s="41"/>
      <c r="H2" s="41"/>
    </row>
    <row r="3" spans="1:8" ht="10.5" customHeight="1">
      <c r="A3" s="242" t="s">
        <v>13</v>
      </c>
      <c r="B3" s="22" t="str">
        <f>"DDM - "&amp;A3&amp;" - "&amp;Assumptions!$C$54</f>
        <v>DDM - Base - CAGR</v>
      </c>
      <c r="C3" s="22" cm="1">
        <f t="array" ref="C3:H3">_xlfn.SEQUENCE(1,6,(YEAR(Assumptions!$C$19)-1))</f>
        <v>2023</v>
      </c>
      <c r="D3" s="108">
        <v>2024</v>
      </c>
      <c r="E3" s="108">
        <v>2025</v>
      </c>
      <c r="F3" s="108">
        <v>2026</v>
      </c>
      <c r="G3" s="108">
        <v>2027</v>
      </c>
      <c r="H3" s="108">
        <v>2028</v>
      </c>
    </row>
    <row r="4" spans="1:8">
      <c r="A4" s="242"/>
      <c r="B4" s="14"/>
      <c r="C4" s="157">
        <v>0</v>
      </c>
      <c r="D4" s="157">
        <v>1</v>
      </c>
      <c r="E4" s="157">
        <v>2</v>
      </c>
      <c r="F4" s="157">
        <v>3</v>
      </c>
      <c r="G4" s="157">
        <v>4</v>
      </c>
      <c r="H4" s="157">
        <v>5</v>
      </c>
    </row>
    <row r="5" spans="1:8">
      <c r="A5" s="242"/>
      <c r="B5" s="35" t="s">
        <v>241</v>
      </c>
      <c r="C5" s="172">
        <f>Assumptions!$C$56</f>
        <v>1.93</v>
      </c>
      <c r="D5" s="172">
        <f>C5*(1+$C9)</f>
        <v>2.0178230281489395</v>
      </c>
      <c r="E5" s="172">
        <f t="shared" ref="E5:H5" si="0">D5*(1+$C9)</f>
        <v>2.109642369392827</v>
      </c>
      <c r="F5" s="172">
        <f t="shared" si="0"/>
        <v>2.2056398726007971</v>
      </c>
      <c r="G5" s="172">
        <f t="shared" si="0"/>
        <v>2.3060056615219597</v>
      </c>
      <c r="H5" s="172">
        <f t="shared" si="0"/>
        <v>2.4109385113268598</v>
      </c>
    </row>
    <row r="6" spans="1:8">
      <c r="A6" s="242"/>
      <c r="B6" s="35" t="s">
        <v>236</v>
      </c>
      <c r="C6" s="171">
        <f>Assumptions!$C$57</f>
        <v>6.8228999999999998E-2</v>
      </c>
      <c r="D6" s="171"/>
      <c r="E6" s="171"/>
      <c r="F6" s="171"/>
      <c r="G6" s="171"/>
      <c r="H6" s="171"/>
    </row>
    <row r="7" spans="1:8">
      <c r="A7" s="242"/>
      <c r="B7" s="43" t="s">
        <v>242</v>
      </c>
      <c r="C7" s="175">
        <f>C5/(1+$C6)^C4</f>
        <v>1.93</v>
      </c>
      <c r="D7" s="175">
        <f t="shared" ref="D7:H7" si="1">D5/(1+$C6)^D4</f>
        <v>1.8889423785994757</v>
      </c>
      <c r="E7" s="175">
        <f t="shared" si="1"/>
        <v>1.8487581915383655</v>
      </c>
      <c r="F7" s="175">
        <f t="shared" si="1"/>
        <v>1.8094288579169666</v>
      </c>
      <c r="G7" s="175">
        <f t="shared" si="1"/>
        <v>1.7709361921140976</v>
      </c>
      <c r="H7" s="175">
        <f t="shared" si="1"/>
        <v>1.7332623953781874</v>
      </c>
    </row>
    <row r="8" spans="1:8">
      <c r="A8" s="242"/>
    </row>
    <row r="9" spans="1:8">
      <c r="A9" s="242"/>
      <c r="B9" s="14" t="s">
        <v>243</v>
      </c>
      <c r="C9" s="176">
        <f>IF(Assumptions!$C$54="CAGR",Assumptions!$C$46,Assumptions!$C$50)</f>
        <v>4.550415966266308E-2</v>
      </c>
    </row>
    <row r="10" spans="1:8">
      <c r="A10" s="242"/>
      <c r="B10" s="14" t="s">
        <v>244</v>
      </c>
      <c r="C10" s="164">
        <f>Assumptions!$C$133</f>
        <v>0.01</v>
      </c>
      <c r="E10" s="64"/>
    </row>
    <row r="11" spans="1:8">
      <c r="A11" s="242"/>
    </row>
    <row r="12" spans="1:8">
      <c r="A12" s="242"/>
      <c r="B12" s="35" t="s">
        <v>245</v>
      </c>
      <c r="C12" s="70">
        <f>SUM(D7:H7)</f>
        <v>9.0513280155470923</v>
      </c>
    </row>
    <row r="13" spans="1:8">
      <c r="A13" s="242"/>
      <c r="B13" s="35" t="s">
        <v>246</v>
      </c>
      <c r="C13" s="70">
        <f>H5*(1+$C10)</f>
        <v>2.4350478964401283</v>
      </c>
    </row>
    <row r="14" spans="1:8">
      <c r="A14" s="242"/>
      <c r="B14" s="35" t="s">
        <v>247</v>
      </c>
      <c r="C14" s="70">
        <f>C13/(C6-C10)</f>
        <v>41.818473551668902</v>
      </c>
    </row>
    <row r="15" spans="1:8">
      <c r="A15" s="242"/>
      <c r="B15" s="35" t="s">
        <v>248</v>
      </c>
      <c r="C15" s="70">
        <f>C14/(1+C6)^H4</f>
        <v>30.0639718925616</v>
      </c>
    </row>
    <row r="16" spans="1:8" ht="12" thickBot="1">
      <c r="A16" s="242"/>
      <c r="B16" s="86" t="s">
        <v>217</v>
      </c>
      <c r="C16" s="168">
        <f>SUM(C12,C15)</f>
        <v>39.115299908108696</v>
      </c>
    </row>
    <row r="17" spans="1:8" ht="12" thickTop="1"/>
    <row r="19" spans="1:8" ht="10.5" customHeight="1">
      <c r="A19" s="243" t="s">
        <v>14</v>
      </c>
      <c r="B19" s="22" t="str">
        <f>"DDM - "&amp;A19&amp;" - "&amp;Assumptions!$C$54</f>
        <v>DDM - Bear - CAGR</v>
      </c>
      <c r="C19" s="22" cm="1">
        <f t="array" ref="C19:H19">_xlfn.SEQUENCE(1,6,(YEAR(Assumptions!$C$19)-1))</f>
        <v>2023</v>
      </c>
      <c r="D19" s="108">
        <v>2024</v>
      </c>
      <c r="E19" s="108">
        <v>2025</v>
      </c>
      <c r="F19" s="108">
        <v>2026</v>
      </c>
      <c r="G19" s="108">
        <v>2027</v>
      </c>
      <c r="H19" s="108">
        <v>2028</v>
      </c>
    </row>
    <row r="20" spans="1:8">
      <c r="A20" s="243"/>
      <c r="B20" s="14"/>
      <c r="C20" s="157">
        <v>0</v>
      </c>
      <c r="D20" s="157">
        <v>1</v>
      </c>
      <c r="E20" s="157">
        <v>2</v>
      </c>
      <c r="F20" s="157">
        <v>3</v>
      </c>
      <c r="G20" s="157">
        <v>4</v>
      </c>
      <c r="H20" s="157">
        <v>5</v>
      </c>
    </row>
    <row r="21" spans="1:8">
      <c r="A21" s="243"/>
      <c r="B21" s="35" t="s">
        <v>241</v>
      </c>
      <c r="C21" s="172">
        <f>Assumptions!$C$56</f>
        <v>1.93</v>
      </c>
      <c r="D21" s="172">
        <f>C21*(1+$C25)</f>
        <v>1.9985230281489397</v>
      </c>
      <c r="E21" s="172">
        <f>D21*(1+$C25)</f>
        <v>2.0694789088298484</v>
      </c>
      <c r="F21" s="172">
        <f>E21*(1+$C25)</f>
        <v>2.1429540184274569</v>
      </c>
      <c r="G21" s="172">
        <f>F21*(1+$C25)</f>
        <v>2.2190378000474507</v>
      </c>
      <c r="H21" s="172">
        <f>G21*(1+$C25)</f>
        <v>2.2978228723978198</v>
      </c>
    </row>
    <row r="22" spans="1:8">
      <c r="A22" s="243"/>
      <c r="B22" s="35" t="s">
        <v>236</v>
      </c>
      <c r="C22" s="171">
        <f>Assumptions!$C$57</f>
        <v>6.8228999999999998E-2</v>
      </c>
      <c r="D22" s="171">
        <f>C22</f>
        <v>6.8228999999999998E-2</v>
      </c>
      <c r="E22" s="171">
        <f t="shared" ref="E22:H22" si="2">D22</f>
        <v>6.8228999999999998E-2</v>
      </c>
      <c r="F22" s="171">
        <f t="shared" si="2"/>
        <v>6.8228999999999998E-2</v>
      </c>
      <c r="G22" s="171">
        <f t="shared" si="2"/>
        <v>6.8228999999999998E-2</v>
      </c>
      <c r="H22" s="171">
        <f t="shared" si="2"/>
        <v>6.8228999999999998E-2</v>
      </c>
    </row>
    <row r="23" spans="1:8">
      <c r="A23" s="243"/>
      <c r="B23" s="43" t="s">
        <v>242</v>
      </c>
      <c r="C23" s="175">
        <f>C21/(1+C22)^C20</f>
        <v>1.93</v>
      </c>
      <c r="D23" s="175">
        <f t="shared" ref="D23" si="3">D21/(1+D22)^D20</f>
        <v>1.8708750915290069</v>
      </c>
      <c r="E23" s="175">
        <f t="shared" ref="E23" si="4">E21/(1+E22)^E20</f>
        <v>1.8135614549759949</v>
      </c>
      <c r="F23" s="175">
        <f t="shared" ref="F23" si="5">F21/(1+F22)^F20</f>
        <v>1.7580036026278201</v>
      </c>
      <c r="G23" s="175">
        <f t="shared" ref="G23" si="6">G21/(1+G22)^G20</f>
        <v>1.704147746618988</v>
      </c>
      <c r="H23" s="175">
        <f t="shared" ref="H23" si="7">H21/(1+H22)^H20</f>
        <v>1.6519417468573834</v>
      </c>
    </row>
    <row r="24" spans="1:8">
      <c r="A24" s="243"/>
    </row>
    <row r="25" spans="1:8">
      <c r="A25" s="243"/>
      <c r="B25" s="14" t="s">
        <v>243</v>
      </c>
      <c r="C25" s="176">
        <f>IF(Assumptions!$C$54="CAGR",Assumptions!$C$47,Assumptions!$C$51)</f>
        <v>3.5504159662663078E-2</v>
      </c>
    </row>
    <row r="26" spans="1:8">
      <c r="A26" s="243"/>
      <c r="B26" s="14" t="s">
        <v>244</v>
      </c>
      <c r="C26" s="164">
        <f>Assumptions!$C$133</f>
        <v>0.01</v>
      </c>
    </row>
    <row r="27" spans="1:8">
      <c r="A27" s="243"/>
    </row>
    <row r="28" spans="1:8">
      <c r="A28" s="243"/>
      <c r="B28" s="35" t="s">
        <v>245</v>
      </c>
      <c r="C28" s="70">
        <f>SUM(D23:H23)</f>
        <v>8.7985296426091928</v>
      </c>
    </row>
    <row r="29" spans="1:8">
      <c r="A29" s="243"/>
      <c r="B29" s="35" t="s">
        <v>246</v>
      </c>
      <c r="C29" s="70">
        <f>H21*(1+$C26)</f>
        <v>2.3208011011217979</v>
      </c>
    </row>
    <row r="30" spans="1:8">
      <c r="A30" s="243"/>
      <c r="B30" s="35" t="s">
        <v>247</v>
      </c>
      <c r="C30" s="70">
        <f>C29/(C22-C26)</f>
        <v>39.856447837362794</v>
      </c>
    </row>
    <row r="31" spans="1:8">
      <c r="A31" s="243"/>
      <c r="B31" s="35" t="s">
        <v>248</v>
      </c>
      <c r="C31" s="70">
        <f>C30/(1+C22)^H20</f>
        <v>28.653440112760951</v>
      </c>
    </row>
    <row r="32" spans="1:8" ht="12" thickBot="1">
      <c r="A32" s="243"/>
      <c r="B32" s="86" t="s">
        <v>217</v>
      </c>
      <c r="C32" s="168">
        <f>SUM(C28,C31)</f>
        <v>37.451969755370143</v>
      </c>
    </row>
    <row r="33" spans="1:8" ht="12" thickTop="1"/>
    <row r="35" spans="1:8" ht="10.5" customHeight="1">
      <c r="A35" s="244" t="s">
        <v>16</v>
      </c>
      <c r="B35" s="22" t="str">
        <f>"DDM - "&amp;A35&amp;" - "&amp;Assumptions!$C$54</f>
        <v>DDM - Bull - CAGR</v>
      </c>
      <c r="C35" s="22" cm="1">
        <f t="array" ref="C35:H35">_xlfn.SEQUENCE(1,6,(YEAR(Assumptions!$C$19)-1))</f>
        <v>2023</v>
      </c>
      <c r="D35" s="108">
        <v>2024</v>
      </c>
      <c r="E35" s="108">
        <v>2025</v>
      </c>
      <c r="F35" s="108">
        <v>2026</v>
      </c>
      <c r="G35" s="108">
        <v>2027</v>
      </c>
      <c r="H35" s="108">
        <v>2028</v>
      </c>
    </row>
    <row r="36" spans="1:8">
      <c r="A36" s="244"/>
      <c r="B36" s="14"/>
      <c r="C36" s="157">
        <v>0</v>
      </c>
      <c r="D36" s="157">
        <v>1</v>
      </c>
      <c r="E36" s="157">
        <v>2</v>
      </c>
      <c r="F36" s="157">
        <v>3</v>
      </c>
      <c r="G36" s="157">
        <v>4</v>
      </c>
      <c r="H36" s="157">
        <v>5</v>
      </c>
    </row>
    <row r="37" spans="1:8">
      <c r="A37" s="244"/>
      <c r="B37" s="35" t="s">
        <v>241</v>
      </c>
      <c r="C37" s="172">
        <f>Assumptions!$C$56</f>
        <v>1.93</v>
      </c>
      <c r="D37" s="172">
        <f>C37*(1+$C41)</f>
        <v>2.0371230281489399</v>
      </c>
      <c r="E37" s="172">
        <f t="shared" ref="E37:H37" si="8">D37*(1+$C41)</f>
        <v>2.1501918299558063</v>
      </c>
      <c r="F37" s="172">
        <f t="shared" si="8"/>
        <v>2.2695364205910269</v>
      </c>
      <c r="G37" s="172">
        <f t="shared" si="8"/>
        <v>2.3955051324397401</v>
      </c>
      <c r="H37" s="172">
        <f t="shared" si="8"/>
        <v>2.5284656317834044</v>
      </c>
    </row>
    <row r="38" spans="1:8">
      <c r="A38" s="244"/>
      <c r="B38" s="35" t="s">
        <v>236</v>
      </c>
      <c r="C38" s="171">
        <f>Assumptions!$C$57</f>
        <v>6.8228999999999998E-2</v>
      </c>
      <c r="D38" s="171">
        <f>C38</f>
        <v>6.8228999999999998E-2</v>
      </c>
      <c r="E38" s="171">
        <f t="shared" ref="E38:H38" si="9">D38</f>
        <v>6.8228999999999998E-2</v>
      </c>
      <c r="F38" s="171">
        <f t="shared" si="9"/>
        <v>6.8228999999999998E-2</v>
      </c>
      <c r="G38" s="171">
        <f t="shared" si="9"/>
        <v>6.8228999999999998E-2</v>
      </c>
      <c r="H38" s="171">
        <f t="shared" si="9"/>
        <v>6.8228999999999998E-2</v>
      </c>
    </row>
    <row r="39" spans="1:8">
      <c r="A39" s="244"/>
      <c r="B39" s="43" t="s">
        <v>242</v>
      </c>
      <c r="C39" s="175">
        <f>C37/(1+C38)^C36</f>
        <v>1.93</v>
      </c>
      <c r="D39" s="175">
        <f t="shared" ref="D39" si="10">D37/(1+D38)^D36</f>
        <v>1.9070096656699449</v>
      </c>
      <c r="E39" s="175">
        <f t="shared" ref="E39" si="11">E37/(1+E38)^E36</f>
        <v>1.8842931942790648</v>
      </c>
      <c r="F39" s="175">
        <f t="shared" ref="F39" si="12">F37/(1+F38)^F36</f>
        <v>1.861847323547291</v>
      </c>
      <c r="G39" s="175">
        <f t="shared" ref="G39" si="13">G37/(1+G38)^G36</f>
        <v>1.83966883005513</v>
      </c>
      <c r="H39" s="175">
        <f t="shared" ref="H39" si="14">H37/(1+H38)^H36</f>
        <v>1.8177545287807528</v>
      </c>
    </row>
    <row r="40" spans="1:8">
      <c r="A40" s="244"/>
    </row>
    <row r="41" spans="1:8">
      <c r="A41" s="244"/>
      <c r="B41" s="14" t="s">
        <v>243</v>
      </c>
      <c r="C41" s="176">
        <f>IF(Assumptions!$C$54="CAGR",Assumptions!$C$48,Assumptions!$C$52)</f>
        <v>5.5504159662663081E-2</v>
      </c>
    </row>
    <row r="42" spans="1:8">
      <c r="A42" s="244"/>
      <c r="B42" s="14" t="s">
        <v>244</v>
      </c>
      <c r="C42" s="164">
        <f>Assumptions!$C$133</f>
        <v>0.01</v>
      </c>
    </row>
    <row r="43" spans="1:8">
      <c r="A43" s="244"/>
    </row>
    <row r="44" spans="1:8">
      <c r="A44" s="244"/>
      <c r="B44" s="35" t="s">
        <v>245</v>
      </c>
      <c r="C44" s="70">
        <f>SUM(D39:H39)</f>
        <v>9.3105735423321843</v>
      </c>
    </row>
    <row r="45" spans="1:8">
      <c r="A45" s="244"/>
      <c r="B45" s="35" t="s">
        <v>246</v>
      </c>
      <c r="C45" s="70">
        <f>H37*(1+$C42)</f>
        <v>2.5537502881012384</v>
      </c>
    </row>
    <row r="46" spans="1:8">
      <c r="A46" s="244"/>
      <c r="B46" s="35" t="s">
        <v>247</v>
      </c>
      <c r="C46" s="70">
        <f>C45/(C38-C42)</f>
        <v>43.857017776386996</v>
      </c>
    </row>
    <row r="47" spans="1:8">
      <c r="A47" s="244"/>
      <c r="B47" s="35" t="s">
        <v>248</v>
      </c>
      <c r="C47" s="70">
        <f>C46/(1+C38)^H36</f>
        <v>31.529514057747175</v>
      </c>
    </row>
    <row r="48" spans="1:8" ht="12" thickBot="1">
      <c r="A48" s="244"/>
      <c r="B48" s="86" t="s">
        <v>217</v>
      </c>
      <c r="C48" s="168">
        <f>SUM(C44,C47)</f>
        <v>40.840087600079357</v>
      </c>
    </row>
    <row r="49" spans="1:3" ht="12" thickTop="1"/>
    <row r="51" spans="1:3">
      <c r="B51" s="42" t="s">
        <v>249</v>
      </c>
      <c r="C51" s="42"/>
    </row>
    <row r="52" spans="1:3">
      <c r="B52" s="109" t="s">
        <v>221</v>
      </c>
      <c r="C52" s="109"/>
    </row>
    <row r="53" spans="1:3">
      <c r="A53" s="145" t="s">
        <v>13</v>
      </c>
      <c r="B53" s="177" t="str">
        <f>B3</f>
        <v>DDM - Base - CAGR</v>
      </c>
      <c r="C53" s="70">
        <f>C16</f>
        <v>39.115299908108696</v>
      </c>
    </row>
    <row r="54" spans="1:3">
      <c r="A54" s="145" t="s">
        <v>14</v>
      </c>
      <c r="B54" s="177" t="str">
        <f>B19</f>
        <v>DDM - Bear - CAGR</v>
      </c>
      <c r="C54" s="70">
        <f>C32</f>
        <v>37.451969755370143</v>
      </c>
    </row>
    <row r="55" spans="1:3">
      <c r="A55" s="145" t="s">
        <v>16</v>
      </c>
      <c r="B55" s="177" t="str">
        <f>B35</f>
        <v>DDM - Bull - CAGR</v>
      </c>
      <c r="C55" s="70">
        <f>C48</f>
        <v>40.840087600079357</v>
      </c>
    </row>
  </sheetData>
  <mergeCells count="3">
    <mergeCell ref="A19:A32"/>
    <mergeCell ref="A35:A48"/>
    <mergeCell ref="A3:A1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B2782-D757-4BCA-90AF-9BC053A84828}">
  <sheetPr>
    <tabColor theme="4"/>
  </sheetPr>
  <dimension ref="A2:XFD59"/>
  <sheetViews>
    <sheetView zoomScaleNormal="100" workbookViewId="0">
      <pane xSplit="1" ySplit="3" topLeftCell="B28" activePane="bottomRight" state="frozen"/>
      <selection pane="topRight" activeCell="B1" sqref="B1"/>
      <selection pane="bottomLeft" activeCell="A4" sqref="A4"/>
      <selection pane="bottomRight" activeCell="F44" sqref="F44"/>
    </sheetView>
  </sheetViews>
  <sheetFormatPr baseColWidth="10" defaultColWidth="0" defaultRowHeight="11" outlineLevelCol="1"/>
  <cols>
    <col min="1" max="1" width="2.1640625" style="1" customWidth="1"/>
    <col min="2" max="2" width="26.1640625" style="1" bestFit="1" customWidth="1"/>
    <col min="3" max="7" width="8.6640625" style="1" customWidth="1" outlineLevel="1"/>
    <col min="8" max="17" width="8.6640625" style="1" customWidth="1"/>
    <col min="18" max="16384" width="8.6640625" style="1" hidden="1"/>
  </cols>
  <sheetData>
    <row r="2" spans="2:17">
      <c r="B2" s="42" t="s">
        <v>250</v>
      </c>
      <c r="C2" s="42"/>
      <c r="D2" s="42"/>
      <c r="E2" s="42"/>
      <c r="F2" s="42"/>
      <c r="G2" s="42"/>
      <c r="H2" s="42"/>
      <c r="I2" s="42"/>
      <c r="J2" s="42"/>
      <c r="K2" s="42"/>
      <c r="L2" s="42"/>
      <c r="M2" s="42"/>
      <c r="N2" s="42"/>
      <c r="O2" s="42"/>
      <c r="P2" s="42"/>
      <c r="Q2" s="42"/>
    </row>
    <row r="3" spans="2:17">
      <c r="B3" s="22" t="str">
        <f>Assumptions!$B$132</f>
        <v>Year Ending 09/31/2024, In USD Millions</v>
      </c>
      <c r="C3" s="22" cm="1">
        <f t="array" ref="C3:L3">_xlfn.SEQUENCE(1,5+Assumptions!$C$20,(YEAR('Valuation Summary'!$C$4)-5))</f>
        <v>2019</v>
      </c>
      <c r="D3" s="22">
        <v>2020</v>
      </c>
      <c r="E3" s="22">
        <v>2021</v>
      </c>
      <c r="F3" s="22">
        <v>2022</v>
      </c>
      <c r="G3" s="22">
        <v>2023</v>
      </c>
      <c r="H3" s="23">
        <v>2024</v>
      </c>
      <c r="I3" s="23">
        <v>2025</v>
      </c>
      <c r="J3" s="23">
        <v>2026</v>
      </c>
      <c r="K3" s="23">
        <v>2027</v>
      </c>
      <c r="L3" s="23">
        <v>2028</v>
      </c>
      <c r="M3" s="23"/>
      <c r="N3" s="23"/>
      <c r="O3" s="23"/>
      <c r="P3" s="23"/>
      <c r="Q3" s="23"/>
    </row>
    <row r="4" spans="2:17">
      <c r="B4" s="14" t="str">
        <f>Assumptions!B136</f>
        <v>Revenue</v>
      </c>
      <c r="C4" s="202">
        <f>Assumptions!D136</f>
        <v>42405</v>
      </c>
      <c r="D4" s="202">
        <f>Assumptions!E136</f>
        <v>43185</v>
      </c>
      <c r="E4" s="202">
        <f>Assumptions!F136</f>
        <v>47049</v>
      </c>
      <c r="F4" s="202">
        <f>Assumptions!G136</f>
        <v>53282</v>
      </c>
      <c r="G4" s="202">
        <f>Assumptions!H136</f>
        <v>52881</v>
      </c>
      <c r="H4" s="19">
        <f>IF(H3="",0,G4*(1+H6))</f>
        <v>53409.81</v>
      </c>
      <c r="I4" s="19">
        <f t="shared" ref="I4:Q4" si="0">IF(I3="",0,H4*(1+I6))</f>
        <v>53943.908100000001</v>
      </c>
      <c r="J4" s="19">
        <f t="shared" si="0"/>
        <v>54483.347181000005</v>
      </c>
      <c r="K4" s="19">
        <f t="shared" si="0"/>
        <v>55028.180652810006</v>
      </c>
      <c r="L4" s="19">
        <f t="shared" si="0"/>
        <v>55578.462459338109</v>
      </c>
      <c r="M4" s="19">
        <f t="shared" si="0"/>
        <v>0</v>
      </c>
      <c r="N4" s="19">
        <f t="shared" si="0"/>
        <v>0</v>
      </c>
      <c r="O4" s="19">
        <f t="shared" si="0"/>
        <v>0</v>
      </c>
      <c r="P4" s="19">
        <f t="shared" si="0"/>
        <v>0</v>
      </c>
      <c r="Q4" s="19">
        <f t="shared" si="0"/>
        <v>0</v>
      </c>
    </row>
    <row r="5" spans="2:17">
      <c r="B5" s="27" t="str">
        <f>"% of "&amp;$B$4</f>
        <v>% of Revenue</v>
      </c>
      <c r="C5" s="212">
        <f>IFERROR(C4/C$4,0)</f>
        <v>1</v>
      </c>
      <c r="D5" s="212">
        <f t="shared" ref="D5" si="1">D4/D$4</f>
        <v>1</v>
      </c>
      <c r="E5" s="212">
        <f t="shared" ref="E5" si="2">E4/E$4</f>
        <v>1</v>
      </c>
      <c r="F5" s="212">
        <f t="shared" ref="F5" si="3">F4/F$4</f>
        <v>1</v>
      </c>
      <c r="G5" s="212">
        <f t="shared" ref="G5" si="4">G4/G$4</f>
        <v>1</v>
      </c>
      <c r="H5" s="28">
        <f>IFERROR(H4/H$4,0)</f>
        <v>1</v>
      </c>
      <c r="I5" s="28">
        <f t="shared" ref="I5:Q5" si="5">IFERROR(I4/I$4,0)</f>
        <v>1</v>
      </c>
      <c r="J5" s="28">
        <f t="shared" si="5"/>
        <v>1</v>
      </c>
      <c r="K5" s="28">
        <f t="shared" si="5"/>
        <v>1</v>
      </c>
      <c r="L5" s="28">
        <f t="shared" si="5"/>
        <v>1</v>
      </c>
      <c r="M5" s="28">
        <f t="shared" si="5"/>
        <v>0</v>
      </c>
      <c r="N5" s="28">
        <f t="shared" si="5"/>
        <v>0</v>
      </c>
      <c r="O5" s="28">
        <f t="shared" si="5"/>
        <v>0</v>
      </c>
      <c r="P5" s="28">
        <f t="shared" si="5"/>
        <v>0</v>
      </c>
      <c r="Q5" s="28">
        <f t="shared" si="5"/>
        <v>0</v>
      </c>
    </row>
    <row r="6" spans="2:17">
      <c r="B6" s="27" t="s">
        <v>251</v>
      </c>
      <c r="C6" s="212"/>
      <c r="D6" s="212">
        <f>D4/C4-1</f>
        <v>1.8394057304563116E-2</v>
      </c>
      <c r="E6" s="212">
        <f t="shared" ref="E6:G6" si="6">E4/D4-1</f>
        <v>8.9475512330670304E-2</v>
      </c>
      <c r="F6" s="212">
        <f t="shared" si="6"/>
        <v>0.13247890497141279</v>
      </c>
      <c r="G6" s="212">
        <f t="shared" si="6"/>
        <v>-7.5259937690026479E-3</v>
      </c>
      <c r="H6" s="28">
        <f>Assumptions!I$137</f>
        <v>0.01</v>
      </c>
      <c r="I6" s="28">
        <f>Assumptions!J$137</f>
        <v>0.01</v>
      </c>
      <c r="J6" s="28">
        <f>Assumptions!K$137</f>
        <v>0.01</v>
      </c>
      <c r="K6" s="28">
        <f>Assumptions!L$137</f>
        <v>0.01</v>
      </c>
      <c r="L6" s="28">
        <f>Assumptions!M$137</f>
        <v>0.01</v>
      </c>
      <c r="M6" s="28">
        <f>Assumptions!N$137</f>
        <v>0</v>
      </c>
      <c r="N6" s="28">
        <f>Assumptions!O$137</f>
        <v>0</v>
      </c>
      <c r="O6" s="28">
        <f>Assumptions!P$137</f>
        <v>0</v>
      </c>
      <c r="P6" s="28">
        <f>Assumptions!Q$137</f>
        <v>0</v>
      </c>
      <c r="Q6" s="28">
        <f>Assumptions!R$137</f>
        <v>0</v>
      </c>
    </row>
    <row r="7" spans="2:17">
      <c r="B7" s="39"/>
      <c r="C7" s="206"/>
      <c r="D7" s="206"/>
      <c r="E7" s="206"/>
      <c r="F7" s="206"/>
      <c r="G7" s="206"/>
    </row>
    <row r="8" spans="2:17">
      <c r="B8" s="39" t="str">
        <f>Assumptions!B142</f>
        <v>Cost of Revenue ~ Cost of Goods Sold</v>
      </c>
      <c r="C8" s="201">
        <f>Assumptions!D142</f>
        <v>37383</v>
      </c>
      <c r="D8" s="201">
        <f>Assumptions!E142</f>
        <v>37801</v>
      </c>
      <c r="E8" s="201">
        <f>Assumptions!F142</f>
        <v>40523</v>
      </c>
      <c r="F8" s="201">
        <f>Assumptions!G142</f>
        <v>46614</v>
      </c>
      <c r="G8" s="201">
        <f>Assumptions!H142</f>
        <v>50250</v>
      </c>
      <c r="H8" s="18">
        <f>H$4*H9</f>
        <v>47463.081893126808</v>
      </c>
      <c r="I8" s="18">
        <f t="shared" ref="I8:Q8" si="7">I$4*I9</f>
        <v>47937.712712058077</v>
      </c>
      <c r="J8" s="18">
        <f t="shared" si="7"/>
        <v>48417.089839178661</v>
      </c>
      <c r="K8" s="18">
        <f t="shared" si="7"/>
        <v>48901.260737570447</v>
      </c>
      <c r="L8" s="18">
        <f t="shared" si="7"/>
        <v>49390.273344946152</v>
      </c>
      <c r="M8" s="18">
        <f t="shared" si="7"/>
        <v>0</v>
      </c>
      <c r="N8" s="18">
        <f t="shared" si="7"/>
        <v>0</v>
      </c>
      <c r="O8" s="18">
        <f t="shared" si="7"/>
        <v>0</v>
      </c>
      <c r="P8" s="18">
        <f t="shared" si="7"/>
        <v>0</v>
      </c>
      <c r="Q8" s="18">
        <f t="shared" si="7"/>
        <v>0</v>
      </c>
    </row>
    <row r="9" spans="2:17">
      <c r="B9" s="40" t="str">
        <f>"% of "&amp;$B$4</f>
        <v>% of Revenue</v>
      </c>
      <c r="C9" s="212">
        <f>IFERROR(C8/C$4,0)</f>
        <v>0.8815705695083127</v>
      </c>
      <c r="D9" s="212">
        <f t="shared" ref="D9" si="8">D8/D$4</f>
        <v>0.87532708116244062</v>
      </c>
      <c r="E9" s="212">
        <f t="shared" ref="E9" si="9">E8/E$4</f>
        <v>0.86129354502752453</v>
      </c>
      <c r="F9" s="212">
        <f t="shared" ref="F9" si="10">F8/F$4</f>
        <v>0.87485454750197067</v>
      </c>
      <c r="G9" s="212">
        <f t="shared" ref="G9" si="11">G8/G$4</f>
        <v>0.95024678050717648</v>
      </c>
      <c r="H9" s="217">
        <f>Assumptions!I$143</f>
        <v>0.88865850474148489</v>
      </c>
      <c r="I9" s="217">
        <f>Assumptions!J$143</f>
        <v>0.88865850474148489</v>
      </c>
      <c r="J9" s="217">
        <f>Assumptions!K$143</f>
        <v>0.88865850474148489</v>
      </c>
      <c r="K9" s="217">
        <f>Assumptions!L$143</f>
        <v>0.88865850474148489</v>
      </c>
      <c r="L9" s="217">
        <f>Assumptions!M$143</f>
        <v>0.88865850474148489</v>
      </c>
      <c r="M9" s="217">
        <f>Assumptions!N$143</f>
        <v>0</v>
      </c>
      <c r="N9" s="217">
        <f>Assumptions!O$143</f>
        <v>0</v>
      </c>
      <c r="O9" s="217">
        <f>Assumptions!P$143</f>
        <v>0</v>
      </c>
      <c r="P9" s="217">
        <f>Assumptions!Q$143</f>
        <v>0</v>
      </c>
      <c r="Q9" s="217">
        <f>Assumptions!R$143</f>
        <v>0</v>
      </c>
    </row>
    <row r="10" spans="2:17">
      <c r="B10" s="40" t="s">
        <v>251</v>
      </c>
      <c r="C10" s="212"/>
      <c r="D10" s="212">
        <f>D8/C8-1</f>
        <v>1.118155311237734E-2</v>
      </c>
      <c r="E10" s="212">
        <f t="shared" ref="E10:G10" si="12">E8/D8-1</f>
        <v>7.2008677019126388E-2</v>
      </c>
      <c r="F10" s="212">
        <f t="shared" si="12"/>
        <v>0.15030970066382054</v>
      </c>
      <c r="G10" s="212">
        <f t="shared" si="12"/>
        <v>7.8002316900501967E-2</v>
      </c>
      <c r="H10" s="236">
        <f>IF(H$3="",0,H8/G8-1)</f>
        <v>-5.546105685319791E-2</v>
      </c>
      <c r="I10" s="236">
        <f t="shared" ref="I10:Q10" si="13">IF(I$3="",0,I8/H8-1)</f>
        <v>1.0000000000000009E-2</v>
      </c>
      <c r="J10" s="236">
        <f t="shared" si="13"/>
        <v>1.0000000000000009E-2</v>
      </c>
      <c r="K10" s="236">
        <f t="shared" si="13"/>
        <v>1.0000000000000009E-2</v>
      </c>
      <c r="L10" s="236">
        <f t="shared" si="13"/>
        <v>1.0000000000000009E-2</v>
      </c>
      <c r="M10" s="236">
        <f t="shared" si="13"/>
        <v>0</v>
      </c>
      <c r="N10" s="236">
        <f t="shared" si="13"/>
        <v>0</v>
      </c>
      <c r="O10" s="236">
        <f t="shared" si="13"/>
        <v>0</v>
      </c>
      <c r="P10" s="236">
        <f t="shared" si="13"/>
        <v>0</v>
      </c>
      <c r="Q10" s="236">
        <f t="shared" si="13"/>
        <v>0</v>
      </c>
    </row>
    <row r="11" spans="2:17">
      <c r="B11" s="39"/>
      <c r="C11" s="206"/>
      <c r="D11" s="206"/>
      <c r="E11" s="206"/>
      <c r="F11" s="206"/>
      <c r="G11" s="206"/>
    </row>
    <row r="12" spans="2:17">
      <c r="B12" s="37" t="s">
        <v>252</v>
      </c>
      <c r="C12" s="213">
        <f t="shared" ref="C12:Q12" si="14">C4-C8</f>
        <v>5022</v>
      </c>
      <c r="D12" s="213">
        <f t="shared" si="14"/>
        <v>5384</v>
      </c>
      <c r="E12" s="213">
        <f t="shared" si="14"/>
        <v>6526</v>
      </c>
      <c r="F12" s="213">
        <f t="shared" si="14"/>
        <v>6668</v>
      </c>
      <c r="G12" s="213">
        <f t="shared" si="14"/>
        <v>2631</v>
      </c>
      <c r="H12" s="25">
        <f t="shared" si="14"/>
        <v>5946.72810687319</v>
      </c>
      <c r="I12" s="25">
        <f t="shared" si="14"/>
        <v>6006.1953879419234</v>
      </c>
      <c r="J12" s="25">
        <f t="shared" si="14"/>
        <v>6066.2573418213433</v>
      </c>
      <c r="K12" s="25">
        <f t="shared" si="14"/>
        <v>6126.9199152395595</v>
      </c>
      <c r="L12" s="25">
        <f t="shared" si="14"/>
        <v>6188.1891143919565</v>
      </c>
      <c r="M12" s="25">
        <f t="shared" si="14"/>
        <v>0</v>
      </c>
      <c r="N12" s="25">
        <f t="shared" si="14"/>
        <v>0</v>
      </c>
      <c r="O12" s="25">
        <f t="shared" si="14"/>
        <v>0</v>
      </c>
      <c r="P12" s="25">
        <f t="shared" si="14"/>
        <v>0</v>
      </c>
      <c r="Q12" s="25">
        <f t="shared" si="14"/>
        <v>0</v>
      </c>
    </row>
    <row r="13" spans="2:17">
      <c r="B13" s="36" t="str">
        <f>"% of "&amp;$B$4</f>
        <v>% of Revenue</v>
      </c>
      <c r="C13" s="214">
        <f>IFERROR(C12/C$4,0)</f>
        <v>0.1184294304916873</v>
      </c>
      <c r="D13" s="214">
        <f t="shared" ref="D13" si="15">D12/D$4</f>
        <v>0.12467291883755934</v>
      </c>
      <c r="E13" s="214">
        <f t="shared" ref="E13" si="16">E12/E$4</f>
        <v>0.1387064549724755</v>
      </c>
      <c r="F13" s="214">
        <f t="shared" ref="F13" si="17">F12/F$4</f>
        <v>0.12514545249802936</v>
      </c>
      <c r="G13" s="214">
        <f t="shared" ref="G13" si="18">G12/G$4</f>
        <v>4.9753219492823512E-2</v>
      </c>
      <c r="H13" s="28">
        <f>IFERROR(H12/H$4,0)</f>
        <v>0.11134149525851506</v>
      </c>
      <c r="I13" s="28">
        <f t="shared" ref="I13" si="19">IFERROR(I12/I$4,0)</f>
        <v>0.11134149525851508</v>
      </c>
      <c r="J13" s="28">
        <f t="shared" ref="J13" si="20">IFERROR(J12/J$4,0)</f>
        <v>0.11134149525851508</v>
      </c>
      <c r="K13" s="28">
        <f t="shared" ref="K13" si="21">IFERROR(K12/K$4,0)</f>
        <v>0.11134149525851514</v>
      </c>
      <c r="L13" s="28">
        <f t="shared" ref="L13" si="22">IFERROR(L12/L$4,0)</f>
        <v>0.11134149525851515</v>
      </c>
      <c r="M13" s="28">
        <f t="shared" ref="M13" si="23">IFERROR(M12/M$4,0)</f>
        <v>0</v>
      </c>
      <c r="N13" s="28">
        <f t="shared" ref="N13" si="24">IFERROR(N12/N$4,0)</f>
        <v>0</v>
      </c>
      <c r="O13" s="28">
        <f t="shared" ref="O13" si="25">IFERROR(O12/O$4,0)</f>
        <v>0</v>
      </c>
      <c r="P13" s="28">
        <f t="shared" ref="P13" si="26">IFERROR(P12/P$4,0)</f>
        <v>0</v>
      </c>
      <c r="Q13" s="28">
        <f t="shared" ref="Q13" si="27">IFERROR(Q12/Q$4,0)</f>
        <v>0</v>
      </c>
    </row>
    <row r="14" spans="2:17" ht="12" thickBot="1">
      <c r="B14" s="38" t="s">
        <v>251</v>
      </c>
      <c r="C14" s="215"/>
      <c r="D14" s="215">
        <f>D12/C12-1</f>
        <v>7.2082835523695765E-2</v>
      </c>
      <c r="E14" s="215">
        <f t="shared" ref="E14:G14" si="28">E12/D12-1</f>
        <v>0.21210995542347688</v>
      </c>
      <c r="F14" s="215">
        <f t="shared" si="28"/>
        <v>2.1759117376647152E-2</v>
      </c>
      <c r="G14" s="215">
        <f t="shared" si="28"/>
        <v>-0.6054289142171565</v>
      </c>
      <c r="H14" s="26">
        <f>IF(H3="",0,H12/G12-1)</f>
        <v>1.2602539364778371</v>
      </c>
      <c r="I14" s="26">
        <f t="shared" ref="I14:Q14" si="29">IF(I3="",0,I12/H12-1)</f>
        <v>1.0000000000000231E-2</v>
      </c>
      <c r="J14" s="26">
        <f t="shared" si="29"/>
        <v>1.0000000000000009E-2</v>
      </c>
      <c r="K14" s="26">
        <f t="shared" si="29"/>
        <v>1.0000000000000453E-2</v>
      </c>
      <c r="L14" s="26">
        <f t="shared" si="29"/>
        <v>1.0000000000000231E-2</v>
      </c>
      <c r="M14" s="26">
        <f t="shared" si="29"/>
        <v>0</v>
      </c>
      <c r="N14" s="26">
        <f t="shared" si="29"/>
        <v>0</v>
      </c>
      <c r="O14" s="26">
        <f t="shared" si="29"/>
        <v>0</v>
      </c>
      <c r="P14" s="26">
        <f t="shared" si="29"/>
        <v>0</v>
      </c>
      <c r="Q14" s="26">
        <f t="shared" si="29"/>
        <v>0</v>
      </c>
    </row>
    <row r="15" spans="2:17">
      <c r="B15" s="39"/>
      <c r="C15" s="206"/>
      <c r="D15" s="206"/>
      <c r="E15" s="206"/>
      <c r="F15" s="206"/>
      <c r="G15" s="206"/>
    </row>
    <row r="16" spans="2:17">
      <c r="B16" s="39" t="str">
        <f>Assumptions!B146</f>
        <v>Other Operating Income</v>
      </c>
      <c r="C16" s="201">
        <f>Assumptions!D146</f>
        <v>0</v>
      </c>
      <c r="D16" s="201">
        <f>Assumptions!E146</f>
        <v>0</v>
      </c>
      <c r="E16" s="201">
        <f>Assumptions!F146</f>
        <v>0</v>
      </c>
      <c r="F16" s="201">
        <f>Assumptions!G146</f>
        <v>0</v>
      </c>
      <c r="G16" s="201">
        <f>Assumptions!H146</f>
        <v>0</v>
      </c>
      <c r="H16" s="18">
        <f>H$4*H17</f>
        <v>0</v>
      </c>
      <c r="I16" s="18">
        <f t="shared" ref="I16" si="30">I$4*I17</f>
        <v>0</v>
      </c>
      <c r="J16" s="18">
        <f t="shared" ref="J16" si="31">J$4*J17</f>
        <v>0</v>
      </c>
      <c r="K16" s="18">
        <f t="shared" ref="K16" si="32">K$4*K17</f>
        <v>0</v>
      </c>
      <c r="L16" s="18">
        <f t="shared" ref="L16" si="33">L$4*L17</f>
        <v>0</v>
      </c>
      <c r="M16" s="18">
        <f t="shared" ref="M16" si="34">M$4*M17</f>
        <v>0</v>
      </c>
      <c r="N16" s="18">
        <f t="shared" ref="N16" si="35">N$4*N17</f>
        <v>0</v>
      </c>
      <c r="O16" s="18">
        <f t="shared" ref="O16" si="36">O$4*O17</f>
        <v>0</v>
      </c>
      <c r="P16" s="18">
        <f t="shared" ref="P16" si="37">P$4*P17</f>
        <v>0</v>
      </c>
      <c r="Q16" s="18">
        <f t="shared" ref="Q16" si="38">Q$4*Q17</f>
        <v>0</v>
      </c>
    </row>
    <row r="17" spans="2:16384">
      <c r="B17" s="40" t="str">
        <f>"% of "&amp;$B$4</f>
        <v>% of Revenue</v>
      </c>
      <c r="C17" s="212">
        <f>IFERROR(C16/C$4,0)</f>
        <v>0</v>
      </c>
      <c r="D17" s="212">
        <f t="shared" ref="D17" si="39">D16/D$4</f>
        <v>0</v>
      </c>
      <c r="E17" s="212">
        <f t="shared" ref="E17" si="40">E16/E$4</f>
        <v>0</v>
      </c>
      <c r="F17" s="212">
        <f t="shared" ref="F17" si="41">F16/F$4</f>
        <v>0</v>
      </c>
      <c r="G17" s="212">
        <f t="shared" ref="G17" si="42">G16/G$4</f>
        <v>0</v>
      </c>
      <c r="H17" s="28">
        <f>Assumptions!I$147</f>
        <v>0</v>
      </c>
      <c r="I17" s="28">
        <f>Assumptions!J$147</f>
        <v>0</v>
      </c>
      <c r="J17" s="28">
        <f>Assumptions!K$147</f>
        <v>0</v>
      </c>
      <c r="K17" s="28">
        <f>Assumptions!L$147</f>
        <v>0</v>
      </c>
      <c r="L17" s="28">
        <f>Assumptions!M$147</f>
        <v>0</v>
      </c>
      <c r="M17" s="28">
        <f>Assumptions!N$147</f>
        <v>0</v>
      </c>
      <c r="N17" s="28">
        <f>Assumptions!O$147</f>
        <v>0</v>
      </c>
      <c r="O17" s="28">
        <f>Assumptions!P$147</f>
        <v>0</v>
      </c>
      <c r="P17" s="28">
        <f>Assumptions!Q$147</f>
        <v>0</v>
      </c>
      <c r="Q17" s="28">
        <f>Assumptions!R$147</f>
        <v>0</v>
      </c>
    </row>
    <row r="18" spans="2:16384">
      <c r="B18" s="39"/>
      <c r="C18" s="201"/>
      <c r="D18" s="201"/>
      <c r="E18" s="201"/>
      <c r="F18" s="201"/>
      <c r="G18" s="201"/>
      <c r="H18" s="18"/>
      <c r="I18" s="18"/>
      <c r="J18" s="18"/>
      <c r="K18" s="18"/>
      <c r="L18" s="18"/>
      <c r="M18" s="18"/>
      <c r="N18" s="18"/>
      <c r="O18" s="18"/>
      <c r="P18" s="18"/>
      <c r="Q18" s="18"/>
    </row>
    <row r="19" spans="2:16384">
      <c r="B19" s="39" t="str">
        <f>Assumptions!B150</f>
        <v>Operating Expenses</v>
      </c>
      <c r="C19" s="201">
        <f>Assumptions!D150</f>
        <v>1959</v>
      </c>
      <c r="D19" s="201">
        <f>Assumptions!E150</f>
        <v>2481</v>
      </c>
      <c r="E19" s="201">
        <f>Assumptions!F150</f>
        <v>2278</v>
      </c>
      <c r="F19" s="201">
        <f>Assumptions!G150</f>
        <v>2306</v>
      </c>
      <c r="G19" s="201">
        <f>Assumptions!H150</f>
        <v>1737</v>
      </c>
      <c r="H19" s="18">
        <f>H$4*H20</f>
        <v>2437.5381217362392</v>
      </c>
      <c r="I19" s="18">
        <f t="shared" ref="I19" si="43">I$4*I20</f>
        <v>2461.9135029536014</v>
      </c>
      <c r="J19" s="18">
        <f t="shared" ref="J19" si="44">J$4*J20</f>
        <v>2486.5326379831376</v>
      </c>
      <c r="K19" s="18">
        <f t="shared" ref="K19" si="45">K$4*K20</f>
        <v>2511.3979643629691</v>
      </c>
      <c r="L19" s="18">
        <f t="shared" ref="L19" si="46">L$4*L20</f>
        <v>2536.5119440065992</v>
      </c>
      <c r="M19" s="18">
        <f t="shared" ref="M19" si="47">M$4*M20</f>
        <v>0</v>
      </c>
      <c r="N19" s="18">
        <f t="shared" ref="N19" si="48">N$4*N20</f>
        <v>0</v>
      </c>
      <c r="O19" s="18">
        <f t="shared" ref="O19" si="49">O$4*O20</f>
        <v>0</v>
      </c>
      <c r="P19" s="18">
        <f t="shared" ref="P19" si="50">P$4*P20</f>
        <v>0</v>
      </c>
      <c r="Q19" s="18">
        <f t="shared" ref="Q19" si="51">Q$4*Q20</f>
        <v>0</v>
      </c>
    </row>
    <row r="20" spans="2:16384">
      <c r="B20" s="40" t="str">
        <f>"% of "&amp;$B$4</f>
        <v>% of Revenue</v>
      </c>
      <c r="C20" s="212">
        <f>IFERROR(C19/C$4,0)</f>
        <v>4.6197382384152809E-2</v>
      </c>
      <c r="D20" s="212">
        <f t="shared" ref="D20" si="52">D19/D$4</f>
        <v>5.7450503647099686E-2</v>
      </c>
      <c r="E20" s="212">
        <f t="shared" ref="E20" si="53">E19/E$4</f>
        <v>4.8417607175497888E-2</v>
      </c>
      <c r="F20" s="212">
        <f t="shared" ref="F20" si="54">F19/F$4</f>
        <v>4.3279156187830785E-2</v>
      </c>
      <c r="G20" s="212">
        <f t="shared" ref="G20" si="55">G19/G$4</f>
        <v>3.2847336472457023E-2</v>
      </c>
      <c r="H20" s="28">
        <f>Assumptions!I$151</f>
        <v>4.563839717340764E-2</v>
      </c>
      <c r="I20" s="28">
        <f>Assumptions!J$151</f>
        <v>4.563839717340764E-2</v>
      </c>
      <c r="J20" s="28">
        <f>Assumptions!K$151</f>
        <v>4.563839717340764E-2</v>
      </c>
      <c r="K20" s="28">
        <f>Assumptions!L$151</f>
        <v>4.563839717340764E-2</v>
      </c>
      <c r="L20" s="28">
        <f>Assumptions!M$151</f>
        <v>4.563839717340764E-2</v>
      </c>
      <c r="M20" s="28">
        <f>Assumptions!N$151</f>
        <v>0</v>
      </c>
      <c r="N20" s="28">
        <f>Assumptions!O$151</f>
        <v>0</v>
      </c>
      <c r="O20" s="28">
        <f>Assumptions!P$151</f>
        <v>0</v>
      </c>
      <c r="P20" s="28">
        <f>Assumptions!Q$151</f>
        <v>0</v>
      </c>
      <c r="Q20" s="28">
        <f>Assumptions!R$151</f>
        <v>0</v>
      </c>
    </row>
    <row r="21" spans="2:16384">
      <c r="B21" s="39"/>
      <c r="C21" s="206"/>
      <c r="D21" s="206"/>
      <c r="E21" s="206"/>
      <c r="F21" s="206"/>
      <c r="G21" s="206"/>
    </row>
    <row r="22" spans="2:16384">
      <c r="B22" s="37" t="s">
        <v>253</v>
      </c>
      <c r="C22" s="213">
        <f>C12+C16-C19</f>
        <v>3063</v>
      </c>
      <c r="D22" s="213">
        <f t="shared" ref="D22:Q22" si="56">D12+D16-D19</f>
        <v>2903</v>
      </c>
      <c r="E22" s="213">
        <f t="shared" si="56"/>
        <v>4248</v>
      </c>
      <c r="F22" s="213">
        <f t="shared" si="56"/>
        <v>4362</v>
      </c>
      <c r="G22" s="213">
        <f t="shared" si="56"/>
        <v>894</v>
      </c>
      <c r="H22" s="25">
        <f t="shared" si="56"/>
        <v>3509.1899851369508</v>
      </c>
      <c r="I22" s="25">
        <f t="shared" si="56"/>
        <v>3544.281884988322</v>
      </c>
      <c r="J22" s="25">
        <f t="shared" si="56"/>
        <v>3579.7247038382056</v>
      </c>
      <c r="K22" s="25">
        <f t="shared" si="56"/>
        <v>3615.5219508765904</v>
      </c>
      <c r="L22" s="25">
        <f t="shared" si="56"/>
        <v>3651.6771703853574</v>
      </c>
      <c r="M22" s="25">
        <f t="shared" si="56"/>
        <v>0</v>
      </c>
      <c r="N22" s="25">
        <f t="shared" si="56"/>
        <v>0</v>
      </c>
      <c r="O22" s="25">
        <f t="shared" si="56"/>
        <v>0</v>
      </c>
      <c r="P22" s="25">
        <f t="shared" si="56"/>
        <v>0</v>
      </c>
      <c r="Q22" s="25">
        <f t="shared" si="56"/>
        <v>0</v>
      </c>
    </row>
    <row r="23" spans="2:16384" ht="12" thickBot="1">
      <c r="B23" s="38" t="str">
        <f>"% of "&amp;$B$4</f>
        <v>% of Revenue</v>
      </c>
      <c r="C23" s="215">
        <f>IFERROR(C22/C$4,0)</f>
        <v>7.2232048107534488E-2</v>
      </c>
      <c r="D23" s="215">
        <f t="shared" ref="D23" si="57">D22/D$4</f>
        <v>6.7222415190459656E-2</v>
      </c>
      <c r="E23" s="215">
        <f t="shared" ref="E23" si="58">E22/E$4</f>
        <v>9.0288847796977614E-2</v>
      </c>
      <c r="F23" s="215">
        <f t="shared" ref="F23" si="59">F22/F$4</f>
        <v>8.1866296310198566E-2</v>
      </c>
      <c r="G23" s="215">
        <f t="shared" ref="G23" si="60">G22/G$4</f>
        <v>1.6905883020366483E-2</v>
      </c>
      <c r="H23" s="26">
        <f>IFERROR(H22/H$4,0)</f>
        <v>6.5703098085107423E-2</v>
      </c>
      <c r="I23" s="26">
        <f t="shared" ref="I23:Q23" si="61">IFERROR(I22/I$4,0)</f>
        <v>6.570309808510745E-2</v>
      </c>
      <c r="J23" s="26">
        <f t="shared" si="61"/>
        <v>6.570309808510745E-2</v>
      </c>
      <c r="K23" s="26">
        <f t="shared" si="61"/>
        <v>6.5703098085107492E-2</v>
      </c>
      <c r="L23" s="26">
        <f t="shared" si="61"/>
        <v>6.5703098085107506E-2</v>
      </c>
      <c r="M23" s="26">
        <f t="shared" si="61"/>
        <v>0</v>
      </c>
      <c r="N23" s="26">
        <f t="shared" si="61"/>
        <v>0</v>
      </c>
      <c r="O23" s="26">
        <f t="shared" si="61"/>
        <v>0</v>
      </c>
      <c r="P23" s="26">
        <f t="shared" si="61"/>
        <v>0</v>
      </c>
      <c r="Q23" s="26">
        <f t="shared" si="61"/>
        <v>0</v>
      </c>
    </row>
    <row r="24" spans="2:16384">
      <c r="B24" s="39"/>
      <c r="C24" s="206"/>
      <c r="D24" s="206"/>
      <c r="E24" s="206"/>
      <c r="F24" s="206"/>
      <c r="G24" s="206"/>
    </row>
    <row r="25" spans="2:16384">
      <c r="B25" s="39" t="str">
        <f>Assumptions!B154</f>
        <v>Non-Operating (Income) Loss</v>
      </c>
      <c r="C25" s="201">
        <f>Assumptions!D154</f>
        <v>632</v>
      </c>
      <c r="D25" s="201">
        <f>Assumptions!E154</f>
        <v>239</v>
      </c>
      <c r="E25" s="201">
        <f>Assumptions!F154</f>
        <v>207</v>
      </c>
      <c r="F25" s="201">
        <f>Assumptions!G154</f>
        <v>213</v>
      </c>
      <c r="G25" s="201">
        <f>Assumptions!H154</f>
        <v>1572</v>
      </c>
      <c r="H25" s="18">
        <f>+Assumptions!I$154+H4*Assumptions!$I$167+H4*Assumptions!I$169</f>
        <v>524.11159102382965</v>
      </c>
      <c r="I25" s="18">
        <f>+Assumptions!J$154+I4*Assumptions!$I$167+I4*Assumptions!J$169</f>
        <v>509.36479389323392</v>
      </c>
      <c r="J25" s="18">
        <f>+Assumptions!K$154+J4*Assumptions!$I$167+J4*Assumptions!K$169</f>
        <v>511.83324252365099</v>
      </c>
      <c r="K25" s="18">
        <f>+Assumptions!L$154+K4*Assumptions!$I$167+K4*Assumptions!L$169</f>
        <v>525.46603331631525</v>
      </c>
      <c r="L25" s="18">
        <f>+Assumptions!M$154+L4*Assumptions!$I$167+L4*Assumptions!M$169</f>
        <v>533.84674303306292</v>
      </c>
      <c r="M25" s="18">
        <f>+Assumptions!N$154+M4*Assumptions!$I$167+M4*Assumptions!N$169</f>
        <v>0</v>
      </c>
      <c r="N25" s="18">
        <f>+Assumptions!O$154+N4*Assumptions!$I$167+N4*Assumptions!O$169</f>
        <v>0</v>
      </c>
      <c r="O25" s="18">
        <f>+Assumptions!P$154+O4*Assumptions!$I$167+O4*Assumptions!P$169</f>
        <v>0</v>
      </c>
      <c r="P25" s="18">
        <f>+Assumptions!Q$154+P4*Assumptions!$I$167+P4*Assumptions!Q$169</f>
        <v>0</v>
      </c>
      <c r="Q25" s="18">
        <f>+Assumptions!R$154+Q4*Assumptions!$I$167+Q4*Assumptions!R$169</f>
        <v>0</v>
      </c>
    </row>
    <row r="26" spans="2:16384">
      <c r="B26" s="40" t="str">
        <f>"% of "&amp;$B$4</f>
        <v>% of Revenue</v>
      </c>
      <c r="C26" s="212">
        <f>IFERROR(C25/C$4,0)</f>
        <v>1.4903902841646033E-2</v>
      </c>
      <c r="D26" s="212">
        <f t="shared" ref="D26" si="62">D25/D$4</f>
        <v>5.5343290494384622E-3</v>
      </c>
      <c r="E26" s="212">
        <f t="shared" ref="E26" si="63">E25/E$4</f>
        <v>4.3996684307849266E-3</v>
      </c>
      <c r="F26" s="212">
        <f t="shared" ref="F26" si="64">F25/F$4</f>
        <v>3.9975976877744826E-3</v>
      </c>
      <c r="G26" s="212">
        <f t="shared" ref="G26" si="65">G25/G$4</f>
        <v>2.9727123163328983E-2</v>
      </c>
      <c r="H26" s="28">
        <f>IFERROR(H25/H$4,0)</f>
        <v>9.8130210727922391E-3</v>
      </c>
      <c r="I26" s="28">
        <f t="shared" ref="I26" si="66">IFERROR(I25/I$4,0)</f>
        <v>9.4424896496001914E-3</v>
      </c>
      <c r="J26" s="28">
        <f t="shared" ref="J26" si="67">IFERROR(J25/J$4,0)</f>
        <v>9.3943061321706527E-3</v>
      </c>
      <c r="K26" s="28">
        <f t="shared" ref="K26" si="68">IFERROR(K25/K$4,0)</f>
        <v>9.5490351867463102E-3</v>
      </c>
      <c r="L26" s="28">
        <f t="shared" ref="L26" si="69">IFERROR(L25/L$4,0)</f>
        <v>9.6052808841848008E-3</v>
      </c>
      <c r="M26" s="28">
        <f t="shared" ref="M26" si="70">IFERROR(M25/M$4,0)</f>
        <v>0</v>
      </c>
      <c r="N26" s="28">
        <f t="shared" ref="N26" si="71">IFERROR(N25/N$4,0)</f>
        <v>0</v>
      </c>
      <c r="O26" s="28">
        <f t="shared" ref="O26" si="72">IFERROR(O25/O$4,0)</f>
        <v>0</v>
      </c>
      <c r="P26" s="28">
        <f t="shared" ref="P26" si="73">IFERROR(P25/P$4,0)</f>
        <v>0</v>
      </c>
      <c r="Q26" s="28">
        <f t="shared" ref="Q26" si="74">IFERROR(Q25/Q$4,0)</f>
        <v>0</v>
      </c>
    </row>
    <row r="27" spans="2:16384">
      <c r="B27" s="39"/>
      <c r="C27" s="206"/>
      <c r="D27" s="206"/>
      <c r="E27" s="206"/>
      <c r="F27" s="206"/>
      <c r="G27" s="206"/>
    </row>
    <row r="28" spans="2:16384">
      <c r="B28" s="37" t="s">
        <v>254</v>
      </c>
      <c r="C28" s="213">
        <f>C22-C25</f>
        <v>2431</v>
      </c>
      <c r="D28" s="213">
        <f t="shared" ref="D28:Q28" si="75">D22-D25</f>
        <v>2664</v>
      </c>
      <c r="E28" s="213">
        <f t="shared" si="75"/>
        <v>4041</v>
      </c>
      <c r="F28" s="213">
        <f t="shared" si="75"/>
        <v>4149</v>
      </c>
      <c r="G28" s="213">
        <f t="shared" si="75"/>
        <v>-678</v>
      </c>
      <c r="H28" s="25">
        <f t="shared" si="75"/>
        <v>2985.0783941131212</v>
      </c>
      <c r="I28" s="25">
        <f t="shared" si="75"/>
        <v>3034.9170910950879</v>
      </c>
      <c r="J28" s="25">
        <f t="shared" si="75"/>
        <v>3067.8914613145548</v>
      </c>
      <c r="K28" s="25">
        <f t="shared" si="75"/>
        <v>3090.0559175602752</v>
      </c>
      <c r="L28" s="25">
        <f t="shared" si="75"/>
        <v>3117.8304273522945</v>
      </c>
      <c r="M28" s="25">
        <f t="shared" si="75"/>
        <v>0</v>
      </c>
      <c r="N28" s="25">
        <f t="shared" si="75"/>
        <v>0</v>
      </c>
      <c r="O28" s="25">
        <f t="shared" si="75"/>
        <v>0</v>
      </c>
      <c r="P28" s="25">
        <f t="shared" si="75"/>
        <v>0</v>
      </c>
      <c r="Q28" s="25">
        <f t="shared" si="75"/>
        <v>0</v>
      </c>
    </row>
    <row r="29" spans="2:16384" ht="12" thickBot="1">
      <c r="B29" s="38" t="str">
        <f>"% of "&amp;$B$4</f>
        <v>% of Revenue</v>
      </c>
      <c r="C29" s="215">
        <f>IFERROR(C28/C$4,0)</f>
        <v>5.7328145265888454E-2</v>
      </c>
      <c r="D29" s="215">
        <f t="shared" ref="D29" si="76">D28/D$4</f>
        <v>6.1688086141021191E-2</v>
      </c>
      <c r="E29" s="215">
        <f t="shared" ref="E29" si="77">E28/E$4</f>
        <v>8.5889179366192697E-2</v>
      </c>
      <c r="F29" s="215">
        <f t="shared" ref="F29" si="78">F28/F$4</f>
        <v>7.7868698622424085E-2</v>
      </c>
      <c r="G29" s="215">
        <f t="shared" ref="G29" si="79">G28/G$4</f>
        <v>-1.2821240142962501E-2</v>
      </c>
      <c r="H29" s="26">
        <f>IFERROR(H28/H$4,0)</f>
        <v>5.589007701231518E-2</v>
      </c>
      <c r="I29" s="26">
        <f t="shared" ref="I29:Q29" si="80">IFERROR(I28/I$4,0)</f>
        <v>5.6260608435507252E-2</v>
      </c>
      <c r="J29" s="26">
        <f t="shared" si="80"/>
        <v>5.6308791952936796E-2</v>
      </c>
      <c r="K29" s="26">
        <f t="shared" si="80"/>
        <v>5.6154062898361189E-2</v>
      </c>
      <c r="L29" s="26">
        <f t="shared" si="80"/>
        <v>5.609781720092271E-2</v>
      </c>
      <c r="M29" s="26">
        <f t="shared" si="80"/>
        <v>0</v>
      </c>
      <c r="N29" s="26">
        <f t="shared" si="80"/>
        <v>0</v>
      </c>
      <c r="O29" s="26">
        <f t="shared" si="80"/>
        <v>0</v>
      </c>
      <c r="P29" s="26">
        <f t="shared" si="80"/>
        <v>0</v>
      </c>
      <c r="Q29" s="26">
        <f t="shared" si="80"/>
        <v>0</v>
      </c>
    </row>
    <row r="30" spans="2:16384">
      <c r="B30" s="39"/>
      <c r="C30" s="206"/>
      <c r="D30" s="206"/>
      <c r="E30" s="206"/>
      <c r="F30" s="206"/>
      <c r="G30" s="206"/>
    </row>
    <row r="31" spans="2:16384">
      <c r="B31" s="39" t="str">
        <f>Assumptions!B172</f>
        <v>Income Tax Expense (Benefit)</v>
      </c>
      <c r="C31" s="201">
        <f>Assumptions!D172</f>
        <v>396</v>
      </c>
      <c r="D31" s="201">
        <f>Assumptions!E172</f>
        <v>593</v>
      </c>
      <c r="E31" s="201">
        <f>Assumptions!F172</f>
        <v>981</v>
      </c>
      <c r="F31" s="201">
        <f>Assumptions!G172</f>
        <v>900</v>
      </c>
      <c r="G31" s="201">
        <f>Assumptions!H172</f>
        <v>-29</v>
      </c>
      <c r="H31" s="18">
        <f>H28*Assumptions!I174</f>
        <v>626.86646276375541</v>
      </c>
      <c r="I31" s="18">
        <f>I28*Assumptions!J174</f>
        <v>637.33258912996848</v>
      </c>
      <c r="J31" s="18">
        <f>J28*Assumptions!K174</f>
        <v>644.25720687605644</v>
      </c>
      <c r="K31" s="18">
        <f>K28*Assumptions!L174</f>
        <v>648.91174268765781</v>
      </c>
      <c r="L31" s="18">
        <f>L28*Assumptions!M174</f>
        <v>654.74438974398186</v>
      </c>
      <c r="M31" s="18">
        <f>M28*Assumptions!N174</f>
        <v>0</v>
      </c>
      <c r="N31" s="18">
        <f>N28*Assumptions!O174</f>
        <v>0</v>
      </c>
      <c r="O31" s="18">
        <f>O28*Assumptions!P174</f>
        <v>0</v>
      </c>
      <c r="P31" s="18">
        <f>P28*Assumptions!Q174</f>
        <v>0</v>
      </c>
      <c r="Q31" s="18">
        <f>Q28*Assumptions!R174</f>
        <v>0</v>
      </c>
    </row>
    <row r="32" spans="2:16384">
      <c r="B32" s="40" t="str">
        <f>"% of "&amp;$B$4</f>
        <v>% of Revenue</v>
      </c>
      <c r="C32" s="212">
        <f>IFERROR(C31/C$4,0)</f>
        <v>9.3385214007782099E-3</v>
      </c>
      <c r="D32" s="212">
        <f t="shared" ref="D32" si="81">D31/D$4</f>
        <v>1.3731619775384972E-2</v>
      </c>
      <c r="E32" s="212">
        <f t="shared" ref="E32" si="82">E31/E$4</f>
        <v>2.0850602563285085E-2</v>
      </c>
      <c r="F32" s="212">
        <f t="shared" ref="F32" si="83">F31/F$4</f>
        <v>1.6891257835666831E-2</v>
      </c>
      <c r="G32" s="212">
        <f t="shared" ref="G32" si="84">G31/G$4</f>
        <v>-5.4840112705886799E-4</v>
      </c>
      <c r="H32" s="28">
        <f>IFERROR(H31/H$4,0)</f>
        <v>1.1736916172586187E-2</v>
      </c>
      <c r="I32" s="28">
        <f t="shared" ref="I32:BT32" si="85">IFERROR(I31/I$4,0)</f>
        <v>1.1814727771456522E-2</v>
      </c>
      <c r="J32" s="28">
        <f t="shared" si="85"/>
        <v>1.1824846310116726E-2</v>
      </c>
      <c r="K32" s="28">
        <f t="shared" si="85"/>
        <v>1.179235320865585E-2</v>
      </c>
      <c r="L32" s="28">
        <f t="shared" si="85"/>
        <v>1.178054161219377E-2</v>
      </c>
      <c r="M32" s="28">
        <f t="shared" si="85"/>
        <v>0</v>
      </c>
      <c r="N32" s="28">
        <f t="shared" si="85"/>
        <v>0</v>
      </c>
      <c r="O32" s="28">
        <f t="shared" si="85"/>
        <v>0</v>
      </c>
      <c r="P32" s="28">
        <f t="shared" si="85"/>
        <v>0</v>
      </c>
      <c r="Q32" s="28">
        <f t="shared" si="85"/>
        <v>0</v>
      </c>
      <c r="R32" s="28">
        <f t="shared" si="85"/>
        <v>0</v>
      </c>
      <c r="S32" s="28">
        <f t="shared" si="85"/>
        <v>0</v>
      </c>
      <c r="T32" s="28">
        <f t="shared" si="85"/>
        <v>0</v>
      </c>
      <c r="U32" s="28">
        <f t="shared" si="85"/>
        <v>0</v>
      </c>
      <c r="V32" s="28">
        <f t="shared" si="85"/>
        <v>0</v>
      </c>
      <c r="W32" s="28">
        <f t="shared" si="85"/>
        <v>0</v>
      </c>
      <c r="X32" s="28">
        <f t="shared" si="85"/>
        <v>0</v>
      </c>
      <c r="Y32" s="28">
        <f t="shared" si="85"/>
        <v>0</v>
      </c>
      <c r="Z32" s="28">
        <f t="shared" si="85"/>
        <v>0</v>
      </c>
      <c r="AA32" s="28">
        <f t="shared" si="85"/>
        <v>0</v>
      </c>
      <c r="AB32" s="28">
        <f t="shared" si="85"/>
        <v>0</v>
      </c>
      <c r="AC32" s="28">
        <f t="shared" si="85"/>
        <v>0</v>
      </c>
      <c r="AD32" s="28">
        <f t="shared" si="85"/>
        <v>0</v>
      </c>
      <c r="AE32" s="28">
        <f t="shared" si="85"/>
        <v>0</v>
      </c>
      <c r="AF32" s="28">
        <f t="shared" si="85"/>
        <v>0</v>
      </c>
      <c r="AG32" s="28">
        <f t="shared" si="85"/>
        <v>0</v>
      </c>
      <c r="AH32" s="28">
        <f t="shared" si="85"/>
        <v>0</v>
      </c>
      <c r="AI32" s="28">
        <f t="shared" si="85"/>
        <v>0</v>
      </c>
      <c r="AJ32" s="28">
        <f t="shared" si="85"/>
        <v>0</v>
      </c>
      <c r="AK32" s="28">
        <f t="shared" si="85"/>
        <v>0</v>
      </c>
      <c r="AL32" s="28">
        <f t="shared" si="85"/>
        <v>0</v>
      </c>
      <c r="AM32" s="28">
        <f t="shared" si="85"/>
        <v>0</v>
      </c>
      <c r="AN32" s="28">
        <f t="shared" si="85"/>
        <v>0</v>
      </c>
      <c r="AO32" s="28">
        <f t="shared" si="85"/>
        <v>0</v>
      </c>
      <c r="AP32" s="28">
        <f t="shared" si="85"/>
        <v>0</v>
      </c>
      <c r="AQ32" s="28">
        <f t="shared" si="85"/>
        <v>0</v>
      </c>
      <c r="AR32" s="28">
        <f t="shared" si="85"/>
        <v>0</v>
      </c>
      <c r="AS32" s="28">
        <f t="shared" si="85"/>
        <v>0</v>
      </c>
      <c r="AT32" s="28">
        <f t="shared" si="85"/>
        <v>0</v>
      </c>
      <c r="AU32" s="28">
        <f t="shared" si="85"/>
        <v>0</v>
      </c>
      <c r="AV32" s="28">
        <f t="shared" si="85"/>
        <v>0</v>
      </c>
      <c r="AW32" s="28">
        <f t="shared" si="85"/>
        <v>0</v>
      </c>
      <c r="AX32" s="28">
        <f t="shared" si="85"/>
        <v>0</v>
      </c>
      <c r="AY32" s="28">
        <f t="shared" si="85"/>
        <v>0</v>
      </c>
      <c r="AZ32" s="28">
        <f t="shared" si="85"/>
        <v>0</v>
      </c>
      <c r="BA32" s="28">
        <f t="shared" si="85"/>
        <v>0</v>
      </c>
      <c r="BB32" s="28">
        <f t="shared" si="85"/>
        <v>0</v>
      </c>
      <c r="BC32" s="28">
        <f t="shared" si="85"/>
        <v>0</v>
      </c>
      <c r="BD32" s="28">
        <f t="shared" si="85"/>
        <v>0</v>
      </c>
      <c r="BE32" s="28">
        <f t="shared" si="85"/>
        <v>0</v>
      </c>
      <c r="BF32" s="28">
        <f t="shared" si="85"/>
        <v>0</v>
      </c>
      <c r="BG32" s="28">
        <f t="shared" si="85"/>
        <v>0</v>
      </c>
      <c r="BH32" s="28">
        <f t="shared" si="85"/>
        <v>0</v>
      </c>
      <c r="BI32" s="28">
        <f t="shared" si="85"/>
        <v>0</v>
      </c>
      <c r="BJ32" s="28">
        <f t="shared" si="85"/>
        <v>0</v>
      </c>
      <c r="BK32" s="28">
        <f t="shared" si="85"/>
        <v>0</v>
      </c>
      <c r="BL32" s="28">
        <f t="shared" si="85"/>
        <v>0</v>
      </c>
      <c r="BM32" s="28">
        <f t="shared" si="85"/>
        <v>0</v>
      </c>
      <c r="BN32" s="28">
        <f t="shared" si="85"/>
        <v>0</v>
      </c>
      <c r="BO32" s="28">
        <f t="shared" si="85"/>
        <v>0</v>
      </c>
      <c r="BP32" s="28">
        <f t="shared" si="85"/>
        <v>0</v>
      </c>
      <c r="BQ32" s="28">
        <f t="shared" si="85"/>
        <v>0</v>
      </c>
      <c r="BR32" s="28">
        <f t="shared" si="85"/>
        <v>0</v>
      </c>
      <c r="BS32" s="28">
        <f t="shared" si="85"/>
        <v>0</v>
      </c>
      <c r="BT32" s="28">
        <f t="shared" si="85"/>
        <v>0</v>
      </c>
      <c r="BU32" s="28">
        <f t="shared" ref="BU32:EF32" si="86">IFERROR(BU31/BU$4,0)</f>
        <v>0</v>
      </c>
      <c r="BV32" s="28">
        <f t="shared" si="86"/>
        <v>0</v>
      </c>
      <c r="BW32" s="28">
        <f t="shared" si="86"/>
        <v>0</v>
      </c>
      <c r="BX32" s="28">
        <f t="shared" si="86"/>
        <v>0</v>
      </c>
      <c r="BY32" s="28">
        <f t="shared" si="86"/>
        <v>0</v>
      </c>
      <c r="BZ32" s="28">
        <f t="shared" si="86"/>
        <v>0</v>
      </c>
      <c r="CA32" s="28">
        <f t="shared" si="86"/>
        <v>0</v>
      </c>
      <c r="CB32" s="28">
        <f t="shared" si="86"/>
        <v>0</v>
      </c>
      <c r="CC32" s="28">
        <f t="shared" si="86"/>
        <v>0</v>
      </c>
      <c r="CD32" s="28">
        <f t="shared" si="86"/>
        <v>0</v>
      </c>
      <c r="CE32" s="28">
        <f t="shared" si="86"/>
        <v>0</v>
      </c>
      <c r="CF32" s="28">
        <f t="shared" si="86"/>
        <v>0</v>
      </c>
      <c r="CG32" s="28">
        <f t="shared" si="86"/>
        <v>0</v>
      </c>
      <c r="CH32" s="28">
        <f t="shared" si="86"/>
        <v>0</v>
      </c>
      <c r="CI32" s="28">
        <f t="shared" si="86"/>
        <v>0</v>
      </c>
      <c r="CJ32" s="28">
        <f t="shared" si="86"/>
        <v>0</v>
      </c>
      <c r="CK32" s="28">
        <f t="shared" si="86"/>
        <v>0</v>
      </c>
      <c r="CL32" s="28">
        <f t="shared" si="86"/>
        <v>0</v>
      </c>
      <c r="CM32" s="28">
        <f t="shared" si="86"/>
        <v>0</v>
      </c>
      <c r="CN32" s="28">
        <f t="shared" si="86"/>
        <v>0</v>
      </c>
      <c r="CO32" s="28">
        <f t="shared" si="86"/>
        <v>0</v>
      </c>
      <c r="CP32" s="28">
        <f t="shared" si="86"/>
        <v>0</v>
      </c>
      <c r="CQ32" s="28">
        <f t="shared" si="86"/>
        <v>0</v>
      </c>
      <c r="CR32" s="28">
        <f t="shared" si="86"/>
        <v>0</v>
      </c>
      <c r="CS32" s="28">
        <f t="shared" si="86"/>
        <v>0</v>
      </c>
      <c r="CT32" s="28">
        <f t="shared" si="86"/>
        <v>0</v>
      </c>
      <c r="CU32" s="28">
        <f t="shared" si="86"/>
        <v>0</v>
      </c>
      <c r="CV32" s="28">
        <f t="shared" si="86"/>
        <v>0</v>
      </c>
      <c r="CW32" s="28">
        <f t="shared" si="86"/>
        <v>0</v>
      </c>
      <c r="CX32" s="28">
        <f t="shared" si="86"/>
        <v>0</v>
      </c>
      <c r="CY32" s="28">
        <f t="shared" si="86"/>
        <v>0</v>
      </c>
      <c r="CZ32" s="28">
        <f t="shared" si="86"/>
        <v>0</v>
      </c>
      <c r="DA32" s="28">
        <f t="shared" si="86"/>
        <v>0</v>
      </c>
      <c r="DB32" s="28">
        <f t="shared" si="86"/>
        <v>0</v>
      </c>
      <c r="DC32" s="28">
        <f t="shared" si="86"/>
        <v>0</v>
      </c>
      <c r="DD32" s="28">
        <f t="shared" si="86"/>
        <v>0</v>
      </c>
      <c r="DE32" s="28">
        <f t="shared" si="86"/>
        <v>0</v>
      </c>
      <c r="DF32" s="28">
        <f t="shared" si="86"/>
        <v>0</v>
      </c>
      <c r="DG32" s="28">
        <f t="shared" si="86"/>
        <v>0</v>
      </c>
      <c r="DH32" s="28">
        <f t="shared" si="86"/>
        <v>0</v>
      </c>
      <c r="DI32" s="28">
        <f t="shared" si="86"/>
        <v>0</v>
      </c>
      <c r="DJ32" s="28">
        <f t="shared" si="86"/>
        <v>0</v>
      </c>
      <c r="DK32" s="28">
        <f t="shared" si="86"/>
        <v>0</v>
      </c>
      <c r="DL32" s="28">
        <f t="shared" si="86"/>
        <v>0</v>
      </c>
      <c r="DM32" s="28">
        <f t="shared" si="86"/>
        <v>0</v>
      </c>
      <c r="DN32" s="28">
        <f t="shared" si="86"/>
        <v>0</v>
      </c>
      <c r="DO32" s="28">
        <f t="shared" si="86"/>
        <v>0</v>
      </c>
      <c r="DP32" s="28">
        <f t="shared" si="86"/>
        <v>0</v>
      </c>
      <c r="DQ32" s="28">
        <f t="shared" si="86"/>
        <v>0</v>
      </c>
      <c r="DR32" s="28">
        <f t="shared" si="86"/>
        <v>0</v>
      </c>
      <c r="DS32" s="28">
        <f t="shared" si="86"/>
        <v>0</v>
      </c>
      <c r="DT32" s="28">
        <f t="shared" si="86"/>
        <v>0</v>
      </c>
      <c r="DU32" s="28">
        <f t="shared" si="86"/>
        <v>0</v>
      </c>
      <c r="DV32" s="28">
        <f t="shared" si="86"/>
        <v>0</v>
      </c>
      <c r="DW32" s="28">
        <f t="shared" si="86"/>
        <v>0</v>
      </c>
      <c r="DX32" s="28">
        <f t="shared" si="86"/>
        <v>0</v>
      </c>
      <c r="DY32" s="28">
        <f t="shared" si="86"/>
        <v>0</v>
      </c>
      <c r="DZ32" s="28">
        <f t="shared" si="86"/>
        <v>0</v>
      </c>
      <c r="EA32" s="28">
        <f t="shared" si="86"/>
        <v>0</v>
      </c>
      <c r="EB32" s="28">
        <f t="shared" si="86"/>
        <v>0</v>
      </c>
      <c r="EC32" s="28">
        <f t="shared" si="86"/>
        <v>0</v>
      </c>
      <c r="ED32" s="28">
        <f t="shared" si="86"/>
        <v>0</v>
      </c>
      <c r="EE32" s="28">
        <f t="shared" si="86"/>
        <v>0</v>
      </c>
      <c r="EF32" s="28">
        <f t="shared" si="86"/>
        <v>0</v>
      </c>
      <c r="EG32" s="28">
        <f t="shared" ref="EG32:GR32" si="87">IFERROR(EG31/EG$4,0)</f>
        <v>0</v>
      </c>
      <c r="EH32" s="28">
        <f t="shared" si="87"/>
        <v>0</v>
      </c>
      <c r="EI32" s="28">
        <f t="shared" si="87"/>
        <v>0</v>
      </c>
      <c r="EJ32" s="28">
        <f t="shared" si="87"/>
        <v>0</v>
      </c>
      <c r="EK32" s="28">
        <f t="shared" si="87"/>
        <v>0</v>
      </c>
      <c r="EL32" s="28">
        <f t="shared" si="87"/>
        <v>0</v>
      </c>
      <c r="EM32" s="28">
        <f t="shared" si="87"/>
        <v>0</v>
      </c>
      <c r="EN32" s="28">
        <f t="shared" si="87"/>
        <v>0</v>
      </c>
      <c r="EO32" s="28">
        <f t="shared" si="87"/>
        <v>0</v>
      </c>
      <c r="EP32" s="28">
        <f t="shared" si="87"/>
        <v>0</v>
      </c>
      <c r="EQ32" s="28">
        <f t="shared" si="87"/>
        <v>0</v>
      </c>
      <c r="ER32" s="28">
        <f t="shared" si="87"/>
        <v>0</v>
      </c>
      <c r="ES32" s="28">
        <f t="shared" si="87"/>
        <v>0</v>
      </c>
      <c r="ET32" s="28">
        <f t="shared" si="87"/>
        <v>0</v>
      </c>
      <c r="EU32" s="28">
        <f t="shared" si="87"/>
        <v>0</v>
      </c>
      <c r="EV32" s="28">
        <f t="shared" si="87"/>
        <v>0</v>
      </c>
      <c r="EW32" s="28">
        <f t="shared" si="87"/>
        <v>0</v>
      </c>
      <c r="EX32" s="28">
        <f t="shared" si="87"/>
        <v>0</v>
      </c>
      <c r="EY32" s="28">
        <f t="shared" si="87"/>
        <v>0</v>
      </c>
      <c r="EZ32" s="28">
        <f t="shared" si="87"/>
        <v>0</v>
      </c>
      <c r="FA32" s="28">
        <f t="shared" si="87"/>
        <v>0</v>
      </c>
      <c r="FB32" s="28">
        <f t="shared" si="87"/>
        <v>0</v>
      </c>
      <c r="FC32" s="28">
        <f t="shared" si="87"/>
        <v>0</v>
      </c>
      <c r="FD32" s="28">
        <f t="shared" si="87"/>
        <v>0</v>
      </c>
      <c r="FE32" s="28">
        <f t="shared" si="87"/>
        <v>0</v>
      </c>
      <c r="FF32" s="28">
        <f t="shared" si="87"/>
        <v>0</v>
      </c>
      <c r="FG32" s="28">
        <f t="shared" si="87"/>
        <v>0</v>
      </c>
      <c r="FH32" s="28">
        <f t="shared" si="87"/>
        <v>0</v>
      </c>
      <c r="FI32" s="28">
        <f t="shared" si="87"/>
        <v>0</v>
      </c>
      <c r="FJ32" s="28">
        <f t="shared" si="87"/>
        <v>0</v>
      </c>
      <c r="FK32" s="28">
        <f t="shared" si="87"/>
        <v>0</v>
      </c>
      <c r="FL32" s="28">
        <f t="shared" si="87"/>
        <v>0</v>
      </c>
      <c r="FM32" s="28">
        <f t="shared" si="87"/>
        <v>0</v>
      </c>
      <c r="FN32" s="28">
        <f t="shared" si="87"/>
        <v>0</v>
      </c>
      <c r="FO32" s="28">
        <f t="shared" si="87"/>
        <v>0</v>
      </c>
      <c r="FP32" s="28">
        <f t="shared" si="87"/>
        <v>0</v>
      </c>
      <c r="FQ32" s="28">
        <f t="shared" si="87"/>
        <v>0</v>
      </c>
      <c r="FR32" s="28">
        <f t="shared" si="87"/>
        <v>0</v>
      </c>
      <c r="FS32" s="28">
        <f t="shared" si="87"/>
        <v>0</v>
      </c>
      <c r="FT32" s="28">
        <f t="shared" si="87"/>
        <v>0</v>
      </c>
      <c r="FU32" s="28">
        <f t="shared" si="87"/>
        <v>0</v>
      </c>
      <c r="FV32" s="28">
        <f t="shared" si="87"/>
        <v>0</v>
      </c>
      <c r="FW32" s="28">
        <f t="shared" si="87"/>
        <v>0</v>
      </c>
      <c r="FX32" s="28">
        <f t="shared" si="87"/>
        <v>0</v>
      </c>
      <c r="FY32" s="28">
        <f t="shared" si="87"/>
        <v>0</v>
      </c>
      <c r="FZ32" s="28">
        <f t="shared" si="87"/>
        <v>0</v>
      </c>
      <c r="GA32" s="28">
        <f t="shared" si="87"/>
        <v>0</v>
      </c>
      <c r="GB32" s="28">
        <f t="shared" si="87"/>
        <v>0</v>
      </c>
      <c r="GC32" s="28">
        <f t="shared" si="87"/>
        <v>0</v>
      </c>
      <c r="GD32" s="28">
        <f t="shared" si="87"/>
        <v>0</v>
      </c>
      <c r="GE32" s="28">
        <f t="shared" si="87"/>
        <v>0</v>
      </c>
      <c r="GF32" s="28">
        <f t="shared" si="87"/>
        <v>0</v>
      </c>
      <c r="GG32" s="28">
        <f t="shared" si="87"/>
        <v>0</v>
      </c>
      <c r="GH32" s="28">
        <f t="shared" si="87"/>
        <v>0</v>
      </c>
      <c r="GI32" s="28">
        <f t="shared" si="87"/>
        <v>0</v>
      </c>
      <c r="GJ32" s="28">
        <f t="shared" si="87"/>
        <v>0</v>
      </c>
      <c r="GK32" s="28">
        <f t="shared" si="87"/>
        <v>0</v>
      </c>
      <c r="GL32" s="28">
        <f t="shared" si="87"/>
        <v>0</v>
      </c>
      <c r="GM32" s="28">
        <f t="shared" si="87"/>
        <v>0</v>
      </c>
      <c r="GN32" s="28">
        <f t="shared" si="87"/>
        <v>0</v>
      </c>
      <c r="GO32" s="28">
        <f t="shared" si="87"/>
        <v>0</v>
      </c>
      <c r="GP32" s="28">
        <f t="shared" si="87"/>
        <v>0</v>
      </c>
      <c r="GQ32" s="28">
        <f t="shared" si="87"/>
        <v>0</v>
      </c>
      <c r="GR32" s="28">
        <f t="shared" si="87"/>
        <v>0</v>
      </c>
      <c r="GS32" s="28">
        <f t="shared" ref="GS32:JD32" si="88">IFERROR(GS31/GS$4,0)</f>
        <v>0</v>
      </c>
      <c r="GT32" s="28">
        <f t="shared" si="88"/>
        <v>0</v>
      </c>
      <c r="GU32" s="28">
        <f t="shared" si="88"/>
        <v>0</v>
      </c>
      <c r="GV32" s="28">
        <f t="shared" si="88"/>
        <v>0</v>
      </c>
      <c r="GW32" s="28">
        <f t="shared" si="88"/>
        <v>0</v>
      </c>
      <c r="GX32" s="28">
        <f t="shared" si="88"/>
        <v>0</v>
      </c>
      <c r="GY32" s="28">
        <f t="shared" si="88"/>
        <v>0</v>
      </c>
      <c r="GZ32" s="28">
        <f t="shared" si="88"/>
        <v>0</v>
      </c>
      <c r="HA32" s="28">
        <f t="shared" si="88"/>
        <v>0</v>
      </c>
      <c r="HB32" s="28">
        <f t="shared" si="88"/>
        <v>0</v>
      </c>
      <c r="HC32" s="28">
        <f t="shared" si="88"/>
        <v>0</v>
      </c>
      <c r="HD32" s="28">
        <f t="shared" si="88"/>
        <v>0</v>
      </c>
      <c r="HE32" s="28">
        <f t="shared" si="88"/>
        <v>0</v>
      </c>
      <c r="HF32" s="28">
        <f t="shared" si="88"/>
        <v>0</v>
      </c>
      <c r="HG32" s="28">
        <f t="shared" si="88"/>
        <v>0</v>
      </c>
      <c r="HH32" s="28">
        <f t="shared" si="88"/>
        <v>0</v>
      </c>
      <c r="HI32" s="28">
        <f t="shared" si="88"/>
        <v>0</v>
      </c>
      <c r="HJ32" s="28">
        <f t="shared" si="88"/>
        <v>0</v>
      </c>
      <c r="HK32" s="28">
        <f t="shared" si="88"/>
        <v>0</v>
      </c>
      <c r="HL32" s="28">
        <f t="shared" si="88"/>
        <v>0</v>
      </c>
      <c r="HM32" s="28">
        <f t="shared" si="88"/>
        <v>0</v>
      </c>
      <c r="HN32" s="28">
        <f t="shared" si="88"/>
        <v>0</v>
      </c>
      <c r="HO32" s="28">
        <f t="shared" si="88"/>
        <v>0</v>
      </c>
      <c r="HP32" s="28">
        <f t="shared" si="88"/>
        <v>0</v>
      </c>
      <c r="HQ32" s="28">
        <f t="shared" si="88"/>
        <v>0</v>
      </c>
      <c r="HR32" s="28">
        <f t="shared" si="88"/>
        <v>0</v>
      </c>
      <c r="HS32" s="28">
        <f t="shared" si="88"/>
        <v>0</v>
      </c>
      <c r="HT32" s="28">
        <f t="shared" si="88"/>
        <v>0</v>
      </c>
      <c r="HU32" s="28">
        <f t="shared" si="88"/>
        <v>0</v>
      </c>
      <c r="HV32" s="28">
        <f t="shared" si="88"/>
        <v>0</v>
      </c>
      <c r="HW32" s="28">
        <f t="shared" si="88"/>
        <v>0</v>
      </c>
      <c r="HX32" s="28">
        <f t="shared" si="88"/>
        <v>0</v>
      </c>
      <c r="HY32" s="28">
        <f t="shared" si="88"/>
        <v>0</v>
      </c>
      <c r="HZ32" s="28">
        <f t="shared" si="88"/>
        <v>0</v>
      </c>
      <c r="IA32" s="28">
        <f t="shared" si="88"/>
        <v>0</v>
      </c>
      <c r="IB32" s="28">
        <f t="shared" si="88"/>
        <v>0</v>
      </c>
      <c r="IC32" s="28">
        <f t="shared" si="88"/>
        <v>0</v>
      </c>
      <c r="ID32" s="28">
        <f t="shared" si="88"/>
        <v>0</v>
      </c>
      <c r="IE32" s="28">
        <f t="shared" si="88"/>
        <v>0</v>
      </c>
      <c r="IF32" s="28">
        <f t="shared" si="88"/>
        <v>0</v>
      </c>
      <c r="IG32" s="28">
        <f t="shared" si="88"/>
        <v>0</v>
      </c>
      <c r="IH32" s="28">
        <f t="shared" si="88"/>
        <v>0</v>
      </c>
      <c r="II32" s="28">
        <f t="shared" si="88"/>
        <v>0</v>
      </c>
      <c r="IJ32" s="28">
        <f t="shared" si="88"/>
        <v>0</v>
      </c>
      <c r="IK32" s="28">
        <f t="shared" si="88"/>
        <v>0</v>
      </c>
      <c r="IL32" s="28">
        <f t="shared" si="88"/>
        <v>0</v>
      </c>
      <c r="IM32" s="28">
        <f t="shared" si="88"/>
        <v>0</v>
      </c>
      <c r="IN32" s="28">
        <f t="shared" si="88"/>
        <v>0</v>
      </c>
      <c r="IO32" s="28">
        <f t="shared" si="88"/>
        <v>0</v>
      </c>
      <c r="IP32" s="28">
        <f t="shared" si="88"/>
        <v>0</v>
      </c>
      <c r="IQ32" s="28">
        <f t="shared" si="88"/>
        <v>0</v>
      </c>
      <c r="IR32" s="28">
        <f t="shared" si="88"/>
        <v>0</v>
      </c>
      <c r="IS32" s="28">
        <f t="shared" si="88"/>
        <v>0</v>
      </c>
      <c r="IT32" s="28">
        <f t="shared" si="88"/>
        <v>0</v>
      </c>
      <c r="IU32" s="28">
        <f t="shared" si="88"/>
        <v>0</v>
      </c>
      <c r="IV32" s="28">
        <f t="shared" si="88"/>
        <v>0</v>
      </c>
      <c r="IW32" s="28">
        <f t="shared" si="88"/>
        <v>0</v>
      </c>
      <c r="IX32" s="28">
        <f t="shared" si="88"/>
        <v>0</v>
      </c>
      <c r="IY32" s="28">
        <f t="shared" si="88"/>
        <v>0</v>
      </c>
      <c r="IZ32" s="28">
        <f t="shared" si="88"/>
        <v>0</v>
      </c>
      <c r="JA32" s="28">
        <f t="shared" si="88"/>
        <v>0</v>
      </c>
      <c r="JB32" s="28">
        <f t="shared" si="88"/>
        <v>0</v>
      </c>
      <c r="JC32" s="28">
        <f t="shared" si="88"/>
        <v>0</v>
      </c>
      <c r="JD32" s="28">
        <f t="shared" si="88"/>
        <v>0</v>
      </c>
      <c r="JE32" s="28">
        <f t="shared" ref="JE32:LP32" si="89">IFERROR(JE31/JE$4,0)</f>
        <v>0</v>
      </c>
      <c r="JF32" s="28">
        <f t="shared" si="89"/>
        <v>0</v>
      </c>
      <c r="JG32" s="28">
        <f t="shared" si="89"/>
        <v>0</v>
      </c>
      <c r="JH32" s="28">
        <f t="shared" si="89"/>
        <v>0</v>
      </c>
      <c r="JI32" s="28">
        <f t="shared" si="89"/>
        <v>0</v>
      </c>
      <c r="JJ32" s="28">
        <f t="shared" si="89"/>
        <v>0</v>
      </c>
      <c r="JK32" s="28">
        <f t="shared" si="89"/>
        <v>0</v>
      </c>
      <c r="JL32" s="28">
        <f t="shared" si="89"/>
        <v>0</v>
      </c>
      <c r="JM32" s="28">
        <f t="shared" si="89"/>
        <v>0</v>
      </c>
      <c r="JN32" s="28">
        <f t="shared" si="89"/>
        <v>0</v>
      </c>
      <c r="JO32" s="28">
        <f t="shared" si="89"/>
        <v>0</v>
      </c>
      <c r="JP32" s="28">
        <f t="shared" si="89"/>
        <v>0</v>
      </c>
      <c r="JQ32" s="28">
        <f t="shared" si="89"/>
        <v>0</v>
      </c>
      <c r="JR32" s="28">
        <f t="shared" si="89"/>
        <v>0</v>
      </c>
      <c r="JS32" s="28">
        <f t="shared" si="89"/>
        <v>0</v>
      </c>
      <c r="JT32" s="28">
        <f t="shared" si="89"/>
        <v>0</v>
      </c>
      <c r="JU32" s="28">
        <f t="shared" si="89"/>
        <v>0</v>
      </c>
      <c r="JV32" s="28">
        <f t="shared" si="89"/>
        <v>0</v>
      </c>
      <c r="JW32" s="28">
        <f t="shared" si="89"/>
        <v>0</v>
      </c>
      <c r="JX32" s="28">
        <f t="shared" si="89"/>
        <v>0</v>
      </c>
      <c r="JY32" s="28">
        <f t="shared" si="89"/>
        <v>0</v>
      </c>
      <c r="JZ32" s="28">
        <f t="shared" si="89"/>
        <v>0</v>
      </c>
      <c r="KA32" s="28">
        <f t="shared" si="89"/>
        <v>0</v>
      </c>
      <c r="KB32" s="28">
        <f t="shared" si="89"/>
        <v>0</v>
      </c>
      <c r="KC32" s="28">
        <f t="shared" si="89"/>
        <v>0</v>
      </c>
      <c r="KD32" s="28">
        <f t="shared" si="89"/>
        <v>0</v>
      </c>
      <c r="KE32" s="28">
        <f t="shared" si="89"/>
        <v>0</v>
      </c>
      <c r="KF32" s="28">
        <f t="shared" si="89"/>
        <v>0</v>
      </c>
      <c r="KG32" s="28">
        <f t="shared" si="89"/>
        <v>0</v>
      </c>
      <c r="KH32" s="28">
        <f t="shared" si="89"/>
        <v>0</v>
      </c>
      <c r="KI32" s="28">
        <f t="shared" si="89"/>
        <v>0</v>
      </c>
      <c r="KJ32" s="28">
        <f t="shared" si="89"/>
        <v>0</v>
      </c>
      <c r="KK32" s="28">
        <f t="shared" si="89"/>
        <v>0</v>
      </c>
      <c r="KL32" s="28">
        <f t="shared" si="89"/>
        <v>0</v>
      </c>
      <c r="KM32" s="28">
        <f t="shared" si="89"/>
        <v>0</v>
      </c>
      <c r="KN32" s="28">
        <f t="shared" si="89"/>
        <v>0</v>
      </c>
      <c r="KO32" s="28">
        <f t="shared" si="89"/>
        <v>0</v>
      </c>
      <c r="KP32" s="28">
        <f t="shared" si="89"/>
        <v>0</v>
      </c>
      <c r="KQ32" s="28">
        <f t="shared" si="89"/>
        <v>0</v>
      </c>
      <c r="KR32" s="28">
        <f t="shared" si="89"/>
        <v>0</v>
      </c>
      <c r="KS32" s="28">
        <f t="shared" si="89"/>
        <v>0</v>
      </c>
      <c r="KT32" s="28">
        <f t="shared" si="89"/>
        <v>0</v>
      </c>
      <c r="KU32" s="28">
        <f t="shared" si="89"/>
        <v>0</v>
      </c>
      <c r="KV32" s="28">
        <f t="shared" si="89"/>
        <v>0</v>
      </c>
      <c r="KW32" s="28">
        <f t="shared" si="89"/>
        <v>0</v>
      </c>
      <c r="KX32" s="28">
        <f t="shared" si="89"/>
        <v>0</v>
      </c>
      <c r="KY32" s="28">
        <f t="shared" si="89"/>
        <v>0</v>
      </c>
      <c r="KZ32" s="28">
        <f t="shared" si="89"/>
        <v>0</v>
      </c>
      <c r="LA32" s="28">
        <f t="shared" si="89"/>
        <v>0</v>
      </c>
      <c r="LB32" s="28">
        <f t="shared" si="89"/>
        <v>0</v>
      </c>
      <c r="LC32" s="28">
        <f t="shared" si="89"/>
        <v>0</v>
      </c>
      <c r="LD32" s="28">
        <f t="shared" si="89"/>
        <v>0</v>
      </c>
      <c r="LE32" s="28">
        <f t="shared" si="89"/>
        <v>0</v>
      </c>
      <c r="LF32" s="28">
        <f t="shared" si="89"/>
        <v>0</v>
      </c>
      <c r="LG32" s="28">
        <f t="shared" si="89"/>
        <v>0</v>
      </c>
      <c r="LH32" s="28">
        <f t="shared" si="89"/>
        <v>0</v>
      </c>
      <c r="LI32" s="28">
        <f t="shared" si="89"/>
        <v>0</v>
      </c>
      <c r="LJ32" s="28">
        <f t="shared" si="89"/>
        <v>0</v>
      </c>
      <c r="LK32" s="28">
        <f t="shared" si="89"/>
        <v>0</v>
      </c>
      <c r="LL32" s="28">
        <f t="shared" si="89"/>
        <v>0</v>
      </c>
      <c r="LM32" s="28">
        <f t="shared" si="89"/>
        <v>0</v>
      </c>
      <c r="LN32" s="28">
        <f t="shared" si="89"/>
        <v>0</v>
      </c>
      <c r="LO32" s="28">
        <f t="shared" si="89"/>
        <v>0</v>
      </c>
      <c r="LP32" s="28">
        <f t="shared" si="89"/>
        <v>0</v>
      </c>
      <c r="LQ32" s="28">
        <f t="shared" ref="LQ32:OB32" si="90">IFERROR(LQ31/LQ$4,0)</f>
        <v>0</v>
      </c>
      <c r="LR32" s="28">
        <f t="shared" si="90"/>
        <v>0</v>
      </c>
      <c r="LS32" s="28">
        <f t="shared" si="90"/>
        <v>0</v>
      </c>
      <c r="LT32" s="28">
        <f t="shared" si="90"/>
        <v>0</v>
      </c>
      <c r="LU32" s="28">
        <f t="shared" si="90"/>
        <v>0</v>
      </c>
      <c r="LV32" s="28">
        <f t="shared" si="90"/>
        <v>0</v>
      </c>
      <c r="LW32" s="28">
        <f t="shared" si="90"/>
        <v>0</v>
      </c>
      <c r="LX32" s="28">
        <f t="shared" si="90"/>
        <v>0</v>
      </c>
      <c r="LY32" s="28">
        <f t="shared" si="90"/>
        <v>0</v>
      </c>
      <c r="LZ32" s="28">
        <f t="shared" si="90"/>
        <v>0</v>
      </c>
      <c r="MA32" s="28">
        <f t="shared" si="90"/>
        <v>0</v>
      </c>
      <c r="MB32" s="28">
        <f t="shared" si="90"/>
        <v>0</v>
      </c>
      <c r="MC32" s="28">
        <f t="shared" si="90"/>
        <v>0</v>
      </c>
      <c r="MD32" s="28">
        <f t="shared" si="90"/>
        <v>0</v>
      </c>
      <c r="ME32" s="28">
        <f t="shared" si="90"/>
        <v>0</v>
      </c>
      <c r="MF32" s="28">
        <f t="shared" si="90"/>
        <v>0</v>
      </c>
      <c r="MG32" s="28">
        <f t="shared" si="90"/>
        <v>0</v>
      </c>
      <c r="MH32" s="28">
        <f t="shared" si="90"/>
        <v>0</v>
      </c>
      <c r="MI32" s="28">
        <f t="shared" si="90"/>
        <v>0</v>
      </c>
      <c r="MJ32" s="28">
        <f t="shared" si="90"/>
        <v>0</v>
      </c>
      <c r="MK32" s="28">
        <f t="shared" si="90"/>
        <v>0</v>
      </c>
      <c r="ML32" s="28">
        <f t="shared" si="90"/>
        <v>0</v>
      </c>
      <c r="MM32" s="28">
        <f t="shared" si="90"/>
        <v>0</v>
      </c>
      <c r="MN32" s="28">
        <f t="shared" si="90"/>
        <v>0</v>
      </c>
      <c r="MO32" s="28">
        <f t="shared" si="90"/>
        <v>0</v>
      </c>
      <c r="MP32" s="28">
        <f t="shared" si="90"/>
        <v>0</v>
      </c>
      <c r="MQ32" s="28">
        <f t="shared" si="90"/>
        <v>0</v>
      </c>
      <c r="MR32" s="28">
        <f t="shared" si="90"/>
        <v>0</v>
      </c>
      <c r="MS32" s="28">
        <f t="shared" si="90"/>
        <v>0</v>
      </c>
      <c r="MT32" s="28">
        <f t="shared" si="90"/>
        <v>0</v>
      </c>
      <c r="MU32" s="28">
        <f t="shared" si="90"/>
        <v>0</v>
      </c>
      <c r="MV32" s="28">
        <f t="shared" si="90"/>
        <v>0</v>
      </c>
      <c r="MW32" s="28">
        <f t="shared" si="90"/>
        <v>0</v>
      </c>
      <c r="MX32" s="28">
        <f t="shared" si="90"/>
        <v>0</v>
      </c>
      <c r="MY32" s="28">
        <f t="shared" si="90"/>
        <v>0</v>
      </c>
      <c r="MZ32" s="28">
        <f t="shared" si="90"/>
        <v>0</v>
      </c>
      <c r="NA32" s="28">
        <f t="shared" si="90"/>
        <v>0</v>
      </c>
      <c r="NB32" s="28">
        <f t="shared" si="90"/>
        <v>0</v>
      </c>
      <c r="NC32" s="28">
        <f t="shared" si="90"/>
        <v>0</v>
      </c>
      <c r="ND32" s="28">
        <f t="shared" si="90"/>
        <v>0</v>
      </c>
      <c r="NE32" s="28">
        <f t="shared" si="90"/>
        <v>0</v>
      </c>
      <c r="NF32" s="28">
        <f t="shared" si="90"/>
        <v>0</v>
      </c>
      <c r="NG32" s="28">
        <f t="shared" si="90"/>
        <v>0</v>
      </c>
      <c r="NH32" s="28">
        <f t="shared" si="90"/>
        <v>0</v>
      </c>
      <c r="NI32" s="28">
        <f t="shared" si="90"/>
        <v>0</v>
      </c>
      <c r="NJ32" s="28">
        <f t="shared" si="90"/>
        <v>0</v>
      </c>
      <c r="NK32" s="28">
        <f t="shared" si="90"/>
        <v>0</v>
      </c>
      <c r="NL32" s="28">
        <f t="shared" si="90"/>
        <v>0</v>
      </c>
      <c r="NM32" s="28">
        <f t="shared" si="90"/>
        <v>0</v>
      </c>
      <c r="NN32" s="28">
        <f t="shared" si="90"/>
        <v>0</v>
      </c>
      <c r="NO32" s="28">
        <f t="shared" si="90"/>
        <v>0</v>
      </c>
      <c r="NP32" s="28">
        <f t="shared" si="90"/>
        <v>0</v>
      </c>
      <c r="NQ32" s="28">
        <f t="shared" si="90"/>
        <v>0</v>
      </c>
      <c r="NR32" s="28">
        <f t="shared" si="90"/>
        <v>0</v>
      </c>
      <c r="NS32" s="28">
        <f t="shared" si="90"/>
        <v>0</v>
      </c>
      <c r="NT32" s="28">
        <f t="shared" si="90"/>
        <v>0</v>
      </c>
      <c r="NU32" s="28">
        <f t="shared" si="90"/>
        <v>0</v>
      </c>
      <c r="NV32" s="28">
        <f t="shared" si="90"/>
        <v>0</v>
      </c>
      <c r="NW32" s="28">
        <f t="shared" si="90"/>
        <v>0</v>
      </c>
      <c r="NX32" s="28">
        <f t="shared" si="90"/>
        <v>0</v>
      </c>
      <c r="NY32" s="28">
        <f t="shared" si="90"/>
        <v>0</v>
      </c>
      <c r="NZ32" s="28">
        <f t="shared" si="90"/>
        <v>0</v>
      </c>
      <c r="OA32" s="28">
        <f t="shared" si="90"/>
        <v>0</v>
      </c>
      <c r="OB32" s="28">
        <f t="shared" si="90"/>
        <v>0</v>
      </c>
      <c r="OC32" s="28">
        <f t="shared" ref="OC32:QN32" si="91">IFERROR(OC31/OC$4,0)</f>
        <v>0</v>
      </c>
      <c r="OD32" s="28">
        <f t="shared" si="91"/>
        <v>0</v>
      </c>
      <c r="OE32" s="28">
        <f t="shared" si="91"/>
        <v>0</v>
      </c>
      <c r="OF32" s="28">
        <f t="shared" si="91"/>
        <v>0</v>
      </c>
      <c r="OG32" s="28">
        <f t="shared" si="91"/>
        <v>0</v>
      </c>
      <c r="OH32" s="28">
        <f t="shared" si="91"/>
        <v>0</v>
      </c>
      <c r="OI32" s="28">
        <f t="shared" si="91"/>
        <v>0</v>
      </c>
      <c r="OJ32" s="28">
        <f t="shared" si="91"/>
        <v>0</v>
      </c>
      <c r="OK32" s="28">
        <f t="shared" si="91"/>
        <v>0</v>
      </c>
      <c r="OL32" s="28">
        <f t="shared" si="91"/>
        <v>0</v>
      </c>
      <c r="OM32" s="28">
        <f t="shared" si="91"/>
        <v>0</v>
      </c>
      <c r="ON32" s="28">
        <f t="shared" si="91"/>
        <v>0</v>
      </c>
      <c r="OO32" s="28">
        <f t="shared" si="91"/>
        <v>0</v>
      </c>
      <c r="OP32" s="28">
        <f t="shared" si="91"/>
        <v>0</v>
      </c>
      <c r="OQ32" s="28">
        <f t="shared" si="91"/>
        <v>0</v>
      </c>
      <c r="OR32" s="28">
        <f t="shared" si="91"/>
        <v>0</v>
      </c>
      <c r="OS32" s="28">
        <f t="shared" si="91"/>
        <v>0</v>
      </c>
      <c r="OT32" s="28">
        <f t="shared" si="91"/>
        <v>0</v>
      </c>
      <c r="OU32" s="28">
        <f t="shared" si="91"/>
        <v>0</v>
      </c>
      <c r="OV32" s="28">
        <f t="shared" si="91"/>
        <v>0</v>
      </c>
      <c r="OW32" s="28">
        <f t="shared" si="91"/>
        <v>0</v>
      </c>
      <c r="OX32" s="28">
        <f t="shared" si="91"/>
        <v>0</v>
      </c>
      <c r="OY32" s="28">
        <f t="shared" si="91"/>
        <v>0</v>
      </c>
      <c r="OZ32" s="28">
        <f t="shared" si="91"/>
        <v>0</v>
      </c>
      <c r="PA32" s="28">
        <f t="shared" si="91"/>
        <v>0</v>
      </c>
      <c r="PB32" s="28">
        <f t="shared" si="91"/>
        <v>0</v>
      </c>
      <c r="PC32" s="28">
        <f t="shared" si="91"/>
        <v>0</v>
      </c>
      <c r="PD32" s="28">
        <f t="shared" si="91"/>
        <v>0</v>
      </c>
      <c r="PE32" s="28">
        <f t="shared" si="91"/>
        <v>0</v>
      </c>
      <c r="PF32" s="28">
        <f t="shared" si="91"/>
        <v>0</v>
      </c>
      <c r="PG32" s="28">
        <f t="shared" si="91"/>
        <v>0</v>
      </c>
      <c r="PH32" s="28">
        <f t="shared" si="91"/>
        <v>0</v>
      </c>
      <c r="PI32" s="28">
        <f t="shared" si="91"/>
        <v>0</v>
      </c>
      <c r="PJ32" s="28">
        <f t="shared" si="91"/>
        <v>0</v>
      </c>
      <c r="PK32" s="28">
        <f t="shared" si="91"/>
        <v>0</v>
      </c>
      <c r="PL32" s="28">
        <f t="shared" si="91"/>
        <v>0</v>
      </c>
      <c r="PM32" s="28">
        <f t="shared" si="91"/>
        <v>0</v>
      </c>
      <c r="PN32" s="28">
        <f t="shared" si="91"/>
        <v>0</v>
      </c>
      <c r="PO32" s="28">
        <f t="shared" si="91"/>
        <v>0</v>
      </c>
      <c r="PP32" s="28">
        <f t="shared" si="91"/>
        <v>0</v>
      </c>
      <c r="PQ32" s="28">
        <f t="shared" si="91"/>
        <v>0</v>
      </c>
      <c r="PR32" s="28">
        <f t="shared" si="91"/>
        <v>0</v>
      </c>
      <c r="PS32" s="28">
        <f t="shared" si="91"/>
        <v>0</v>
      </c>
      <c r="PT32" s="28">
        <f t="shared" si="91"/>
        <v>0</v>
      </c>
      <c r="PU32" s="28">
        <f t="shared" si="91"/>
        <v>0</v>
      </c>
      <c r="PV32" s="28">
        <f t="shared" si="91"/>
        <v>0</v>
      </c>
      <c r="PW32" s="28">
        <f t="shared" si="91"/>
        <v>0</v>
      </c>
      <c r="PX32" s="28">
        <f t="shared" si="91"/>
        <v>0</v>
      </c>
      <c r="PY32" s="28">
        <f t="shared" si="91"/>
        <v>0</v>
      </c>
      <c r="PZ32" s="28">
        <f t="shared" si="91"/>
        <v>0</v>
      </c>
      <c r="QA32" s="28">
        <f t="shared" si="91"/>
        <v>0</v>
      </c>
      <c r="QB32" s="28">
        <f t="shared" si="91"/>
        <v>0</v>
      </c>
      <c r="QC32" s="28">
        <f t="shared" si="91"/>
        <v>0</v>
      </c>
      <c r="QD32" s="28">
        <f t="shared" si="91"/>
        <v>0</v>
      </c>
      <c r="QE32" s="28">
        <f t="shared" si="91"/>
        <v>0</v>
      </c>
      <c r="QF32" s="28">
        <f t="shared" si="91"/>
        <v>0</v>
      </c>
      <c r="QG32" s="28">
        <f t="shared" si="91"/>
        <v>0</v>
      </c>
      <c r="QH32" s="28">
        <f t="shared" si="91"/>
        <v>0</v>
      </c>
      <c r="QI32" s="28">
        <f t="shared" si="91"/>
        <v>0</v>
      </c>
      <c r="QJ32" s="28">
        <f t="shared" si="91"/>
        <v>0</v>
      </c>
      <c r="QK32" s="28">
        <f t="shared" si="91"/>
        <v>0</v>
      </c>
      <c r="QL32" s="28">
        <f t="shared" si="91"/>
        <v>0</v>
      </c>
      <c r="QM32" s="28">
        <f t="shared" si="91"/>
        <v>0</v>
      </c>
      <c r="QN32" s="28">
        <f t="shared" si="91"/>
        <v>0</v>
      </c>
      <c r="QO32" s="28">
        <f t="shared" ref="QO32:SZ32" si="92">IFERROR(QO31/QO$4,0)</f>
        <v>0</v>
      </c>
      <c r="QP32" s="28">
        <f t="shared" si="92"/>
        <v>0</v>
      </c>
      <c r="QQ32" s="28">
        <f t="shared" si="92"/>
        <v>0</v>
      </c>
      <c r="QR32" s="28">
        <f t="shared" si="92"/>
        <v>0</v>
      </c>
      <c r="QS32" s="28">
        <f t="shared" si="92"/>
        <v>0</v>
      </c>
      <c r="QT32" s="28">
        <f t="shared" si="92"/>
        <v>0</v>
      </c>
      <c r="QU32" s="28">
        <f t="shared" si="92"/>
        <v>0</v>
      </c>
      <c r="QV32" s="28">
        <f t="shared" si="92"/>
        <v>0</v>
      </c>
      <c r="QW32" s="28">
        <f t="shared" si="92"/>
        <v>0</v>
      </c>
      <c r="QX32" s="28">
        <f t="shared" si="92"/>
        <v>0</v>
      </c>
      <c r="QY32" s="28">
        <f t="shared" si="92"/>
        <v>0</v>
      </c>
      <c r="QZ32" s="28">
        <f t="shared" si="92"/>
        <v>0</v>
      </c>
      <c r="RA32" s="28">
        <f t="shared" si="92"/>
        <v>0</v>
      </c>
      <c r="RB32" s="28">
        <f t="shared" si="92"/>
        <v>0</v>
      </c>
      <c r="RC32" s="28">
        <f t="shared" si="92"/>
        <v>0</v>
      </c>
      <c r="RD32" s="28">
        <f t="shared" si="92"/>
        <v>0</v>
      </c>
      <c r="RE32" s="28">
        <f t="shared" si="92"/>
        <v>0</v>
      </c>
      <c r="RF32" s="28">
        <f t="shared" si="92"/>
        <v>0</v>
      </c>
      <c r="RG32" s="28">
        <f t="shared" si="92"/>
        <v>0</v>
      </c>
      <c r="RH32" s="28">
        <f t="shared" si="92"/>
        <v>0</v>
      </c>
      <c r="RI32" s="28">
        <f t="shared" si="92"/>
        <v>0</v>
      </c>
      <c r="RJ32" s="28">
        <f t="shared" si="92"/>
        <v>0</v>
      </c>
      <c r="RK32" s="28">
        <f t="shared" si="92"/>
        <v>0</v>
      </c>
      <c r="RL32" s="28">
        <f t="shared" si="92"/>
        <v>0</v>
      </c>
      <c r="RM32" s="28">
        <f t="shared" si="92"/>
        <v>0</v>
      </c>
      <c r="RN32" s="28">
        <f t="shared" si="92"/>
        <v>0</v>
      </c>
      <c r="RO32" s="28">
        <f t="shared" si="92"/>
        <v>0</v>
      </c>
      <c r="RP32" s="28">
        <f t="shared" si="92"/>
        <v>0</v>
      </c>
      <c r="RQ32" s="28">
        <f t="shared" si="92"/>
        <v>0</v>
      </c>
      <c r="RR32" s="28">
        <f t="shared" si="92"/>
        <v>0</v>
      </c>
      <c r="RS32" s="28">
        <f t="shared" si="92"/>
        <v>0</v>
      </c>
      <c r="RT32" s="28">
        <f t="shared" si="92"/>
        <v>0</v>
      </c>
      <c r="RU32" s="28">
        <f t="shared" si="92"/>
        <v>0</v>
      </c>
      <c r="RV32" s="28">
        <f t="shared" si="92"/>
        <v>0</v>
      </c>
      <c r="RW32" s="28">
        <f t="shared" si="92"/>
        <v>0</v>
      </c>
      <c r="RX32" s="28">
        <f t="shared" si="92"/>
        <v>0</v>
      </c>
      <c r="RY32" s="28">
        <f t="shared" si="92"/>
        <v>0</v>
      </c>
      <c r="RZ32" s="28">
        <f t="shared" si="92"/>
        <v>0</v>
      </c>
      <c r="SA32" s="28">
        <f t="shared" si="92"/>
        <v>0</v>
      </c>
      <c r="SB32" s="28">
        <f t="shared" si="92"/>
        <v>0</v>
      </c>
      <c r="SC32" s="28">
        <f t="shared" si="92"/>
        <v>0</v>
      </c>
      <c r="SD32" s="28">
        <f t="shared" si="92"/>
        <v>0</v>
      </c>
      <c r="SE32" s="28">
        <f t="shared" si="92"/>
        <v>0</v>
      </c>
      <c r="SF32" s="28">
        <f t="shared" si="92"/>
        <v>0</v>
      </c>
      <c r="SG32" s="28">
        <f t="shared" si="92"/>
        <v>0</v>
      </c>
      <c r="SH32" s="28">
        <f t="shared" si="92"/>
        <v>0</v>
      </c>
      <c r="SI32" s="28">
        <f t="shared" si="92"/>
        <v>0</v>
      </c>
      <c r="SJ32" s="28">
        <f t="shared" si="92"/>
        <v>0</v>
      </c>
      <c r="SK32" s="28">
        <f t="shared" si="92"/>
        <v>0</v>
      </c>
      <c r="SL32" s="28">
        <f t="shared" si="92"/>
        <v>0</v>
      </c>
      <c r="SM32" s="28">
        <f t="shared" si="92"/>
        <v>0</v>
      </c>
      <c r="SN32" s="28">
        <f t="shared" si="92"/>
        <v>0</v>
      </c>
      <c r="SO32" s="28">
        <f t="shared" si="92"/>
        <v>0</v>
      </c>
      <c r="SP32" s="28">
        <f t="shared" si="92"/>
        <v>0</v>
      </c>
      <c r="SQ32" s="28">
        <f t="shared" si="92"/>
        <v>0</v>
      </c>
      <c r="SR32" s="28">
        <f t="shared" si="92"/>
        <v>0</v>
      </c>
      <c r="SS32" s="28">
        <f t="shared" si="92"/>
        <v>0</v>
      </c>
      <c r="ST32" s="28">
        <f t="shared" si="92"/>
        <v>0</v>
      </c>
      <c r="SU32" s="28">
        <f t="shared" si="92"/>
        <v>0</v>
      </c>
      <c r="SV32" s="28">
        <f t="shared" si="92"/>
        <v>0</v>
      </c>
      <c r="SW32" s="28">
        <f t="shared" si="92"/>
        <v>0</v>
      </c>
      <c r="SX32" s="28">
        <f t="shared" si="92"/>
        <v>0</v>
      </c>
      <c r="SY32" s="28">
        <f t="shared" si="92"/>
        <v>0</v>
      </c>
      <c r="SZ32" s="28">
        <f t="shared" si="92"/>
        <v>0</v>
      </c>
      <c r="TA32" s="28">
        <f t="shared" ref="TA32:VL32" si="93">IFERROR(TA31/TA$4,0)</f>
        <v>0</v>
      </c>
      <c r="TB32" s="28">
        <f t="shared" si="93"/>
        <v>0</v>
      </c>
      <c r="TC32" s="28">
        <f t="shared" si="93"/>
        <v>0</v>
      </c>
      <c r="TD32" s="28">
        <f t="shared" si="93"/>
        <v>0</v>
      </c>
      <c r="TE32" s="28">
        <f t="shared" si="93"/>
        <v>0</v>
      </c>
      <c r="TF32" s="28">
        <f t="shared" si="93"/>
        <v>0</v>
      </c>
      <c r="TG32" s="28">
        <f t="shared" si="93"/>
        <v>0</v>
      </c>
      <c r="TH32" s="28">
        <f t="shared" si="93"/>
        <v>0</v>
      </c>
      <c r="TI32" s="28">
        <f t="shared" si="93"/>
        <v>0</v>
      </c>
      <c r="TJ32" s="28">
        <f t="shared" si="93"/>
        <v>0</v>
      </c>
      <c r="TK32" s="28">
        <f t="shared" si="93"/>
        <v>0</v>
      </c>
      <c r="TL32" s="28">
        <f t="shared" si="93"/>
        <v>0</v>
      </c>
      <c r="TM32" s="28">
        <f t="shared" si="93"/>
        <v>0</v>
      </c>
      <c r="TN32" s="28">
        <f t="shared" si="93"/>
        <v>0</v>
      </c>
      <c r="TO32" s="28">
        <f t="shared" si="93"/>
        <v>0</v>
      </c>
      <c r="TP32" s="28">
        <f t="shared" si="93"/>
        <v>0</v>
      </c>
      <c r="TQ32" s="28">
        <f t="shared" si="93"/>
        <v>0</v>
      </c>
      <c r="TR32" s="28">
        <f t="shared" si="93"/>
        <v>0</v>
      </c>
      <c r="TS32" s="28">
        <f t="shared" si="93"/>
        <v>0</v>
      </c>
      <c r="TT32" s="28">
        <f t="shared" si="93"/>
        <v>0</v>
      </c>
      <c r="TU32" s="28">
        <f t="shared" si="93"/>
        <v>0</v>
      </c>
      <c r="TV32" s="28">
        <f t="shared" si="93"/>
        <v>0</v>
      </c>
      <c r="TW32" s="28">
        <f t="shared" si="93"/>
        <v>0</v>
      </c>
      <c r="TX32" s="28">
        <f t="shared" si="93"/>
        <v>0</v>
      </c>
      <c r="TY32" s="28">
        <f t="shared" si="93"/>
        <v>0</v>
      </c>
      <c r="TZ32" s="28">
        <f t="shared" si="93"/>
        <v>0</v>
      </c>
      <c r="UA32" s="28">
        <f t="shared" si="93"/>
        <v>0</v>
      </c>
      <c r="UB32" s="28">
        <f t="shared" si="93"/>
        <v>0</v>
      </c>
      <c r="UC32" s="28">
        <f t="shared" si="93"/>
        <v>0</v>
      </c>
      <c r="UD32" s="28">
        <f t="shared" si="93"/>
        <v>0</v>
      </c>
      <c r="UE32" s="28">
        <f t="shared" si="93"/>
        <v>0</v>
      </c>
      <c r="UF32" s="28">
        <f t="shared" si="93"/>
        <v>0</v>
      </c>
      <c r="UG32" s="28">
        <f t="shared" si="93"/>
        <v>0</v>
      </c>
      <c r="UH32" s="28">
        <f t="shared" si="93"/>
        <v>0</v>
      </c>
      <c r="UI32" s="28">
        <f t="shared" si="93"/>
        <v>0</v>
      </c>
      <c r="UJ32" s="28">
        <f t="shared" si="93"/>
        <v>0</v>
      </c>
      <c r="UK32" s="28">
        <f t="shared" si="93"/>
        <v>0</v>
      </c>
      <c r="UL32" s="28">
        <f t="shared" si="93"/>
        <v>0</v>
      </c>
      <c r="UM32" s="28">
        <f t="shared" si="93"/>
        <v>0</v>
      </c>
      <c r="UN32" s="28">
        <f t="shared" si="93"/>
        <v>0</v>
      </c>
      <c r="UO32" s="28">
        <f t="shared" si="93"/>
        <v>0</v>
      </c>
      <c r="UP32" s="28">
        <f t="shared" si="93"/>
        <v>0</v>
      </c>
      <c r="UQ32" s="28">
        <f t="shared" si="93"/>
        <v>0</v>
      </c>
      <c r="UR32" s="28">
        <f t="shared" si="93"/>
        <v>0</v>
      </c>
      <c r="US32" s="28">
        <f t="shared" si="93"/>
        <v>0</v>
      </c>
      <c r="UT32" s="28">
        <f t="shared" si="93"/>
        <v>0</v>
      </c>
      <c r="UU32" s="28">
        <f t="shared" si="93"/>
        <v>0</v>
      </c>
      <c r="UV32" s="28">
        <f t="shared" si="93"/>
        <v>0</v>
      </c>
      <c r="UW32" s="28">
        <f t="shared" si="93"/>
        <v>0</v>
      </c>
      <c r="UX32" s="28">
        <f t="shared" si="93"/>
        <v>0</v>
      </c>
      <c r="UY32" s="28">
        <f t="shared" si="93"/>
        <v>0</v>
      </c>
      <c r="UZ32" s="28">
        <f t="shared" si="93"/>
        <v>0</v>
      </c>
      <c r="VA32" s="28">
        <f t="shared" si="93"/>
        <v>0</v>
      </c>
      <c r="VB32" s="28">
        <f t="shared" si="93"/>
        <v>0</v>
      </c>
      <c r="VC32" s="28">
        <f t="shared" si="93"/>
        <v>0</v>
      </c>
      <c r="VD32" s="28">
        <f t="shared" si="93"/>
        <v>0</v>
      </c>
      <c r="VE32" s="28">
        <f t="shared" si="93"/>
        <v>0</v>
      </c>
      <c r="VF32" s="28">
        <f t="shared" si="93"/>
        <v>0</v>
      </c>
      <c r="VG32" s="28">
        <f t="shared" si="93"/>
        <v>0</v>
      </c>
      <c r="VH32" s="28">
        <f t="shared" si="93"/>
        <v>0</v>
      </c>
      <c r="VI32" s="28">
        <f t="shared" si="93"/>
        <v>0</v>
      </c>
      <c r="VJ32" s="28">
        <f t="shared" si="93"/>
        <v>0</v>
      </c>
      <c r="VK32" s="28">
        <f t="shared" si="93"/>
        <v>0</v>
      </c>
      <c r="VL32" s="28">
        <f t="shared" si="93"/>
        <v>0</v>
      </c>
      <c r="VM32" s="28">
        <f t="shared" ref="VM32:XX32" si="94">IFERROR(VM31/VM$4,0)</f>
        <v>0</v>
      </c>
      <c r="VN32" s="28">
        <f t="shared" si="94"/>
        <v>0</v>
      </c>
      <c r="VO32" s="28">
        <f t="shared" si="94"/>
        <v>0</v>
      </c>
      <c r="VP32" s="28">
        <f t="shared" si="94"/>
        <v>0</v>
      </c>
      <c r="VQ32" s="28">
        <f t="shared" si="94"/>
        <v>0</v>
      </c>
      <c r="VR32" s="28">
        <f t="shared" si="94"/>
        <v>0</v>
      </c>
      <c r="VS32" s="28">
        <f t="shared" si="94"/>
        <v>0</v>
      </c>
      <c r="VT32" s="28">
        <f t="shared" si="94"/>
        <v>0</v>
      </c>
      <c r="VU32" s="28">
        <f t="shared" si="94"/>
        <v>0</v>
      </c>
      <c r="VV32" s="28">
        <f t="shared" si="94"/>
        <v>0</v>
      </c>
      <c r="VW32" s="28">
        <f t="shared" si="94"/>
        <v>0</v>
      </c>
      <c r="VX32" s="28">
        <f t="shared" si="94"/>
        <v>0</v>
      </c>
      <c r="VY32" s="28">
        <f t="shared" si="94"/>
        <v>0</v>
      </c>
      <c r="VZ32" s="28">
        <f t="shared" si="94"/>
        <v>0</v>
      </c>
      <c r="WA32" s="28">
        <f t="shared" si="94"/>
        <v>0</v>
      </c>
      <c r="WB32" s="28">
        <f t="shared" si="94"/>
        <v>0</v>
      </c>
      <c r="WC32" s="28">
        <f t="shared" si="94"/>
        <v>0</v>
      </c>
      <c r="WD32" s="28">
        <f t="shared" si="94"/>
        <v>0</v>
      </c>
      <c r="WE32" s="28">
        <f t="shared" si="94"/>
        <v>0</v>
      </c>
      <c r="WF32" s="28">
        <f t="shared" si="94"/>
        <v>0</v>
      </c>
      <c r="WG32" s="28">
        <f t="shared" si="94"/>
        <v>0</v>
      </c>
      <c r="WH32" s="28">
        <f t="shared" si="94"/>
        <v>0</v>
      </c>
      <c r="WI32" s="28">
        <f t="shared" si="94"/>
        <v>0</v>
      </c>
      <c r="WJ32" s="28">
        <f t="shared" si="94"/>
        <v>0</v>
      </c>
      <c r="WK32" s="28">
        <f t="shared" si="94"/>
        <v>0</v>
      </c>
      <c r="WL32" s="28">
        <f t="shared" si="94"/>
        <v>0</v>
      </c>
      <c r="WM32" s="28">
        <f t="shared" si="94"/>
        <v>0</v>
      </c>
      <c r="WN32" s="28">
        <f t="shared" si="94"/>
        <v>0</v>
      </c>
      <c r="WO32" s="28">
        <f t="shared" si="94"/>
        <v>0</v>
      </c>
      <c r="WP32" s="28">
        <f t="shared" si="94"/>
        <v>0</v>
      </c>
      <c r="WQ32" s="28">
        <f t="shared" si="94"/>
        <v>0</v>
      </c>
      <c r="WR32" s="28">
        <f t="shared" si="94"/>
        <v>0</v>
      </c>
      <c r="WS32" s="28">
        <f t="shared" si="94"/>
        <v>0</v>
      </c>
      <c r="WT32" s="28">
        <f t="shared" si="94"/>
        <v>0</v>
      </c>
      <c r="WU32" s="28">
        <f t="shared" si="94"/>
        <v>0</v>
      </c>
      <c r="WV32" s="28">
        <f t="shared" si="94"/>
        <v>0</v>
      </c>
      <c r="WW32" s="28">
        <f t="shared" si="94"/>
        <v>0</v>
      </c>
      <c r="WX32" s="28">
        <f t="shared" si="94"/>
        <v>0</v>
      </c>
      <c r="WY32" s="28">
        <f t="shared" si="94"/>
        <v>0</v>
      </c>
      <c r="WZ32" s="28">
        <f t="shared" si="94"/>
        <v>0</v>
      </c>
      <c r="XA32" s="28">
        <f t="shared" si="94"/>
        <v>0</v>
      </c>
      <c r="XB32" s="28">
        <f t="shared" si="94"/>
        <v>0</v>
      </c>
      <c r="XC32" s="28">
        <f t="shared" si="94"/>
        <v>0</v>
      </c>
      <c r="XD32" s="28">
        <f t="shared" si="94"/>
        <v>0</v>
      </c>
      <c r="XE32" s="28">
        <f t="shared" si="94"/>
        <v>0</v>
      </c>
      <c r="XF32" s="28">
        <f t="shared" si="94"/>
        <v>0</v>
      </c>
      <c r="XG32" s="28">
        <f t="shared" si="94"/>
        <v>0</v>
      </c>
      <c r="XH32" s="28">
        <f t="shared" si="94"/>
        <v>0</v>
      </c>
      <c r="XI32" s="28">
        <f t="shared" si="94"/>
        <v>0</v>
      </c>
      <c r="XJ32" s="28">
        <f t="shared" si="94"/>
        <v>0</v>
      </c>
      <c r="XK32" s="28">
        <f t="shared" si="94"/>
        <v>0</v>
      </c>
      <c r="XL32" s="28">
        <f t="shared" si="94"/>
        <v>0</v>
      </c>
      <c r="XM32" s="28">
        <f t="shared" si="94"/>
        <v>0</v>
      </c>
      <c r="XN32" s="28">
        <f t="shared" si="94"/>
        <v>0</v>
      </c>
      <c r="XO32" s="28">
        <f t="shared" si="94"/>
        <v>0</v>
      </c>
      <c r="XP32" s="28">
        <f t="shared" si="94"/>
        <v>0</v>
      </c>
      <c r="XQ32" s="28">
        <f t="shared" si="94"/>
        <v>0</v>
      </c>
      <c r="XR32" s="28">
        <f t="shared" si="94"/>
        <v>0</v>
      </c>
      <c r="XS32" s="28">
        <f t="shared" si="94"/>
        <v>0</v>
      </c>
      <c r="XT32" s="28">
        <f t="shared" si="94"/>
        <v>0</v>
      </c>
      <c r="XU32" s="28">
        <f t="shared" si="94"/>
        <v>0</v>
      </c>
      <c r="XV32" s="28">
        <f t="shared" si="94"/>
        <v>0</v>
      </c>
      <c r="XW32" s="28">
        <f t="shared" si="94"/>
        <v>0</v>
      </c>
      <c r="XX32" s="28">
        <f t="shared" si="94"/>
        <v>0</v>
      </c>
      <c r="XY32" s="28">
        <f t="shared" ref="XY32:AAJ32" si="95">IFERROR(XY31/XY$4,0)</f>
        <v>0</v>
      </c>
      <c r="XZ32" s="28">
        <f t="shared" si="95"/>
        <v>0</v>
      </c>
      <c r="YA32" s="28">
        <f t="shared" si="95"/>
        <v>0</v>
      </c>
      <c r="YB32" s="28">
        <f t="shared" si="95"/>
        <v>0</v>
      </c>
      <c r="YC32" s="28">
        <f t="shared" si="95"/>
        <v>0</v>
      </c>
      <c r="YD32" s="28">
        <f t="shared" si="95"/>
        <v>0</v>
      </c>
      <c r="YE32" s="28">
        <f t="shared" si="95"/>
        <v>0</v>
      </c>
      <c r="YF32" s="28">
        <f t="shared" si="95"/>
        <v>0</v>
      </c>
      <c r="YG32" s="28">
        <f t="shared" si="95"/>
        <v>0</v>
      </c>
      <c r="YH32" s="28">
        <f t="shared" si="95"/>
        <v>0</v>
      </c>
      <c r="YI32" s="28">
        <f t="shared" si="95"/>
        <v>0</v>
      </c>
      <c r="YJ32" s="28">
        <f t="shared" si="95"/>
        <v>0</v>
      </c>
      <c r="YK32" s="28">
        <f t="shared" si="95"/>
        <v>0</v>
      </c>
      <c r="YL32" s="28">
        <f t="shared" si="95"/>
        <v>0</v>
      </c>
      <c r="YM32" s="28">
        <f t="shared" si="95"/>
        <v>0</v>
      </c>
      <c r="YN32" s="28">
        <f t="shared" si="95"/>
        <v>0</v>
      </c>
      <c r="YO32" s="28">
        <f t="shared" si="95"/>
        <v>0</v>
      </c>
      <c r="YP32" s="28">
        <f t="shared" si="95"/>
        <v>0</v>
      </c>
      <c r="YQ32" s="28">
        <f t="shared" si="95"/>
        <v>0</v>
      </c>
      <c r="YR32" s="28">
        <f t="shared" si="95"/>
        <v>0</v>
      </c>
      <c r="YS32" s="28">
        <f t="shared" si="95"/>
        <v>0</v>
      </c>
      <c r="YT32" s="28">
        <f t="shared" si="95"/>
        <v>0</v>
      </c>
      <c r="YU32" s="28">
        <f t="shared" si="95"/>
        <v>0</v>
      </c>
      <c r="YV32" s="28">
        <f t="shared" si="95"/>
        <v>0</v>
      </c>
      <c r="YW32" s="28">
        <f t="shared" si="95"/>
        <v>0</v>
      </c>
      <c r="YX32" s="28">
        <f t="shared" si="95"/>
        <v>0</v>
      </c>
      <c r="YY32" s="28">
        <f t="shared" si="95"/>
        <v>0</v>
      </c>
      <c r="YZ32" s="28">
        <f t="shared" si="95"/>
        <v>0</v>
      </c>
      <c r="ZA32" s="28">
        <f t="shared" si="95"/>
        <v>0</v>
      </c>
      <c r="ZB32" s="28">
        <f t="shared" si="95"/>
        <v>0</v>
      </c>
      <c r="ZC32" s="28">
        <f t="shared" si="95"/>
        <v>0</v>
      </c>
      <c r="ZD32" s="28">
        <f t="shared" si="95"/>
        <v>0</v>
      </c>
      <c r="ZE32" s="28">
        <f t="shared" si="95"/>
        <v>0</v>
      </c>
      <c r="ZF32" s="28">
        <f t="shared" si="95"/>
        <v>0</v>
      </c>
      <c r="ZG32" s="28">
        <f t="shared" si="95"/>
        <v>0</v>
      </c>
      <c r="ZH32" s="28">
        <f t="shared" si="95"/>
        <v>0</v>
      </c>
      <c r="ZI32" s="28">
        <f t="shared" si="95"/>
        <v>0</v>
      </c>
      <c r="ZJ32" s="28">
        <f t="shared" si="95"/>
        <v>0</v>
      </c>
      <c r="ZK32" s="28">
        <f t="shared" si="95"/>
        <v>0</v>
      </c>
      <c r="ZL32" s="28">
        <f t="shared" si="95"/>
        <v>0</v>
      </c>
      <c r="ZM32" s="28">
        <f t="shared" si="95"/>
        <v>0</v>
      </c>
      <c r="ZN32" s="28">
        <f t="shared" si="95"/>
        <v>0</v>
      </c>
      <c r="ZO32" s="28">
        <f t="shared" si="95"/>
        <v>0</v>
      </c>
      <c r="ZP32" s="28">
        <f t="shared" si="95"/>
        <v>0</v>
      </c>
      <c r="ZQ32" s="28">
        <f t="shared" si="95"/>
        <v>0</v>
      </c>
      <c r="ZR32" s="28">
        <f t="shared" si="95"/>
        <v>0</v>
      </c>
      <c r="ZS32" s="28">
        <f t="shared" si="95"/>
        <v>0</v>
      </c>
      <c r="ZT32" s="28">
        <f t="shared" si="95"/>
        <v>0</v>
      </c>
      <c r="ZU32" s="28">
        <f t="shared" si="95"/>
        <v>0</v>
      </c>
      <c r="ZV32" s="28">
        <f t="shared" si="95"/>
        <v>0</v>
      </c>
      <c r="ZW32" s="28">
        <f t="shared" si="95"/>
        <v>0</v>
      </c>
      <c r="ZX32" s="28">
        <f t="shared" si="95"/>
        <v>0</v>
      </c>
      <c r="ZY32" s="28">
        <f t="shared" si="95"/>
        <v>0</v>
      </c>
      <c r="ZZ32" s="28">
        <f t="shared" si="95"/>
        <v>0</v>
      </c>
      <c r="AAA32" s="28">
        <f t="shared" si="95"/>
        <v>0</v>
      </c>
      <c r="AAB32" s="28">
        <f t="shared" si="95"/>
        <v>0</v>
      </c>
      <c r="AAC32" s="28">
        <f t="shared" si="95"/>
        <v>0</v>
      </c>
      <c r="AAD32" s="28">
        <f t="shared" si="95"/>
        <v>0</v>
      </c>
      <c r="AAE32" s="28">
        <f t="shared" si="95"/>
        <v>0</v>
      </c>
      <c r="AAF32" s="28">
        <f t="shared" si="95"/>
        <v>0</v>
      </c>
      <c r="AAG32" s="28">
        <f t="shared" si="95"/>
        <v>0</v>
      </c>
      <c r="AAH32" s="28">
        <f t="shared" si="95"/>
        <v>0</v>
      </c>
      <c r="AAI32" s="28">
        <f t="shared" si="95"/>
        <v>0</v>
      </c>
      <c r="AAJ32" s="28">
        <f t="shared" si="95"/>
        <v>0</v>
      </c>
      <c r="AAK32" s="28">
        <f t="shared" ref="AAK32:ACV32" si="96">IFERROR(AAK31/AAK$4,0)</f>
        <v>0</v>
      </c>
      <c r="AAL32" s="28">
        <f t="shared" si="96"/>
        <v>0</v>
      </c>
      <c r="AAM32" s="28">
        <f t="shared" si="96"/>
        <v>0</v>
      </c>
      <c r="AAN32" s="28">
        <f t="shared" si="96"/>
        <v>0</v>
      </c>
      <c r="AAO32" s="28">
        <f t="shared" si="96"/>
        <v>0</v>
      </c>
      <c r="AAP32" s="28">
        <f t="shared" si="96"/>
        <v>0</v>
      </c>
      <c r="AAQ32" s="28">
        <f t="shared" si="96"/>
        <v>0</v>
      </c>
      <c r="AAR32" s="28">
        <f t="shared" si="96"/>
        <v>0</v>
      </c>
      <c r="AAS32" s="28">
        <f t="shared" si="96"/>
        <v>0</v>
      </c>
      <c r="AAT32" s="28">
        <f t="shared" si="96"/>
        <v>0</v>
      </c>
      <c r="AAU32" s="28">
        <f t="shared" si="96"/>
        <v>0</v>
      </c>
      <c r="AAV32" s="28">
        <f t="shared" si="96"/>
        <v>0</v>
      </c>
      <c r="AAW32" s="28">
        <f t="shared" si="96"/>
        <v>0</v>
      </c>
      <c r="AAX32" s="28">
        <f t="shared" si="96"/>
        <v>0</v>
      </c>
      <c r="AAY32" s="28">
        <f t="shared" si="96"/>
        <v>0</v>
      </c>
      <c r="AAZ32" s="28">
        <f t="shared" si="96"/>
        <v>0</v>
      </c>
      <c r="ABA32" s="28">
        <f t="shared" si="96"/>
        <v>0</v>
      </c>
      <c r="ABB32" s="28">
        <f t="shared" si="96"/>
        <v>0</v>
      </c>
      <c r="ABC32" s="28">
        <f t="shared" si="96"/>
        <v>0</v>
      </c>
      <c r="ABD32" s="28">
        <f t="shared" si="96"/>
        <v>0</v>
      </c>
      <c r="ABE32" s="28">
        <f t="shared" si="96"/>
        <v>0</v>
      </c>
      <c r="ABF32" s="28">
        <f t="shared" si="96"/>
        <v>0</v>
      </c>
      <c r="ABG32" s="28">
        <f t="shared" si="96"/>
        <v>0</v>
      </c>
      <c r="ABH32" s="28">
        <f t="shared" si="96"/>
        <v>0</v>
      </c>
      <c r="ABI32" s="28">
        <f t="shared" si="96"/>
        <v>0</v>
      </c>
      <c r="ABJ32" s="28">
        <f t="shared" si="96"/>
        <v>0</v>
      </c>
      <c r="ABK32" s="28">
        <f t="shared" si="96"/>
        <v>0</v>
      </c>
      <c r="ABL32" s="28">
        <f t="shared" si="96"/>
        <v>0</v>
      </c>
      <c r="ABM32" s="28">
        <f t="shared" si="96"/>
        <v>0</v>
      </c>
      <c r="ABN32" s="28">
        <f t="shared" si="96"/>
        <v>0</v>
      </c>
      <c r="ABO32" s="28">
        <f t="shared" si="96"/>
        <v>0</v>
      </c>
      <c r="ABP32" s="28">
        <f t="shared" si="96"/>
        <v>0</v>
      </c>
      <c r="ABQ32" s="28">
        <f t="shared" si="96"/>
        <v>0</v>
      </c>
      <c r="ABR32" s="28">
        <f t="shared" si="96"/>
        <v>0</v>
      </c>
      <c r="ABS32" s="28">
        <f t="shared" si="96"/>
        <v>0</v>
      </c>
      <c r="ABT32" s="28">
        <f t="shared" si="96"/>
        <v>0</v>
      </c>
      <c r="ABU32" s="28">
        <f t="shared" si="96"/>
        <v>0</v>
      </c>
      <c r="ABV32" s="28">
        <f t="shared" si="96"/>
        <v>0</v>
      </c>
      <c r="ABW32" s="28">
        <f t="shared" si="96"/>
        <v>0</v>
      </c>
      <c r="ABX32" s="28">
        <f t="shared" si="96"/>
        <v>0</v>
      </c>
      <c r="ABY32" s="28">
        <f t="shared" si="96"/>
        <v>0</v>
      </c>
      <c r="ABZ32" s="28">
        <f t="shared" si="96"/>
        <v>0</v>
      </c>
      <c r="ACA32" s="28">
        <f t="shared" si="96"/>
        <v>0</v>
      </c>
      <c r="ACB32" s="28">
        <f t="shared" si="96"/>
        <v>0</v>
      </c>
      <c r="ACC32" s="28">
        <f t="shared" si="96"/>
        <v>0</v>
      </c>
      <c r="ACD32" s="28">
        <f t="shared" si="96"/>
        <v>0</v>
      </c>
      <c r="ACE32" s="28">
        <f t="shared" si="96"/>
        <v>0</v>
      </c>
      <c r="ACF32" s="28">
        <f t="shared" si="96"/>
        <v>0</v>
      </c>
      <c r="ACG32" s="28">
        <f t="shared" si="96"/>
        <v>0</v>
      </c>
      <c r="ACH32" s="28">
        <f t="shared" si="96"/>
        <v>0</v>
      </c>
      <c r="ACI32" s="28">
        <f t="shared" si="96"/>
        <v>0</v>
      </c>
      <c r="ACJ32" s="28">
        <f t="shared" si="96"/>
        <v>0</v>
      </c>
      <c r="ACK32" s="28">
        <f t="shared" si="96"/>
        <v>0</v>
      </c>
      <c r="ACL32" s="28">
        <f t="shared" si="96"/>
        <v>0</v>
      </c>
      <c r="ACM32" s="28">
        <f t="shared" si="96"/>
        <v>0</v>
      </c>
      <c r="ACN32" s="28">
        <f t="shared" si="96"/>
        <v>0</v>
      </c>
      <c r="ACO32" s="28">
        <f t="shared" si="96"/>
        <v>0</v>
      </c>
      <c r="ACP32" s="28">
        <f t="shared" si="96"/>
        <v>0</v>
      </c>
      <c r="ACQ32" s="28">
        <f t="shared" si="96"/>
        <v>0</v>
      </c>
      <c r="ACR32" s="28">
        <f t="shared" si="96"/>
        <v>0</v>
      </c>
      <c r="ACS32" s="28">
        <f t="shared" si="96"/>
        <v>0</v>
      </c>
      <c r="ACT32" s="28">
        <f t="shared" si="96"/>
        <v>0</v>
      </c>
      <c r="ACU32" s="28">
        <f t="shared" si="96"/>
        <v>0</v>
      </c>
      <c r="ACV32" s="28">
        <f t="shared" si="96"/>
        <v>0</v>
      </c>
      <c r="ACW32" s="28">
        <f t="shared" ref="ACW32:AFH32" si="97">IFERROR(ACW31/ACW$4,0)</f>
        <v>0</v>
      </c>
      <c r="ACX32" s="28">
        <f t="shared" si="97"/>
        <v>0</v>
      </c>
      <c r="ACY32" s="28">
        <f t="shared" si="97"/>
        <v>0</v>
      </c>
      <c r="ACZ32" s="28">
        <f t="shared" si="97"/>
        <v>0</v>
      </c>
      <c r="ADA32" s="28">
        <f t="shared" si="97"/>
        <v>0</v>
      </c>
      <c r="ADB32" s="28">
        <f t="shared" si="97"/>
        <v>0</v>
      </c>
      <c r="ADC32" s="28">
        <f t="shared" si="97"/>
        <v>0</v>
      </c>
      <c r="ADD32" s="28">
        <f t="shared" si="97"/>
        <v>0</v>
      </c>
      <c r="ADE32" s="28">
        <f t="shared" si="97"/>
        <v>0</v>
      </c>
      <c r="ADF32" s="28">
        <f t="shared" si="97"/>
        <v>0</v>
      </c>
      <c r="ADG32" s="28">
        <f t="shared" si="97"/>
        <v>0</v>
      </c>
      <c r="ADH32" s="28">
        <f t="shared" si="97"/>
        <v>0</v>
      </c>
      <c r="ADI32" s="28">
        <f t="shared" si="97"/>
        <v>0</v>
      </c>
      <c r="ADJ32" s="28">
        <f t="shared" si="97"/>
        <v>0</v>
      </c>
      <c r="ADK32" s="28">
        <f t="shared" si="97"/>
        <v>0</v>
      </c>
      <c r="ADL32" s="28">
        <f t="shared" si="97"/>
        <v>0</v>
      </c>
      <c r="ADM32" s="28">
        <f t="shared" si="97"/>
        <v>0</v>
      </c>
      <c r="ADN32" s="28">
        <f t="shared" si="97"/>
        <v>0</v>
      </c>
      <c r="ADO32" s="28">
        <f t="shared" si="97"/>
        <v>0</v>
      </c>
      <c r="ADP32" s="28">
        <f t="shared" si="97"/>
        <v>0</v>
      </c>
      <c r="ADQ32" s="28">
        <f t="shared" si="97"/>
        <v>0</v>
      </c>
      <c r="ADR32" s="28">
        <f t="shared" si="97"/>
        <v>0</v>
      </c>
      <c r="ADS32" s="28">
        <f t="shared" si="97"/>
        <v>0</v>
      </c>
      <c r="ADT32" s="28">
        <f t="shared" si="97"/>
        <v>0</v>
      </c>
      <c r="ADU32" s="28">
        <f t="shared" si="97"/>
        <v>0</v>
      </c>
      <c r="ADV32" s="28">
        <f t="shared" si="97"/>
        <v>0</v>
      </c>
      <c r="ADW32" s="28">
        <f t="shared" si="97"/>
        <v>0</v>
      </c>
      <c r="ADX32" s="28">
        <f t="shared" si="97"/>
        <v>0</v>
      </c>
      <c r="ADY32" s="28">
        <f t="shared" si="97"/>
        <v>0</v>
      </c>
      <c r="ADZ32" s="28">
        <f t="shared" si="97"/>
        <v>0</v>
      </c>
      <c r="AEA32" s="28">
        <f t="shared" si="97"/>
        <v>0</v>
      </c>
      <c r="AEB32" s="28">
        <f t="shared" si="97"/>
        <v>0</v>
      </c>
      <c r="AEC32" s="28">
        <f t="shared" si="97"/>
        <v>0</v>
      </c>
      <c r="AED32" s="28">
        <f t="shared" si="97"/>
        <v>0</v>
      </c>
      <c r="AEE32" s="28">
        <f t="shared" si="97"/>
        <v>0</v>
      </c>
      <c r="AEF32" s="28">
        <f t="shared" si="97"/>
        <v>0</v>
      </c>
      <c r="AEG32" s="28">
        <f t="shared" si="97"/>
        <v>0</v>
      </c>
      <c r="AEH32" s="28">
        <f t="shared" si="97"/>
        <v>0</v>
      </c>
      <c r="AEI32" s="28">
        <f t="shared" si="97"/>
        <v>0</v>
      </c>
      <c r="AEJ32" s="28">
        <f t="shared" si="97"/>
        <v>0</v>
      </c>
      <c r="AEK32" s="28">
        <f t="shared" si="97"/>
        <v>0</v>
      </c>
      <c r="AEL32" s="28">
        <f t="shared" si="97"/>
        <v>0</v>
      </c>
      <c r="AEM32" s="28">
        <f t="shared" si="97"/>
        <v>0</v>
      </c>
      <c r="AEN32" s="28">
        <f t="shared" si="97"/>
        <v>0</v>
      </c>
      <c r="AEO32" s="28">
        <f t="shared" si="97"/>
        <v>0</v>
      </c>
      <c r="AEP32" s="28">
        <f t="shared" si="97"/>
        <v>0</v>
      </c>
      <c r="AEQ32" s="28">
        <f t="shared" si="97"/>
        <v>0</v>
      </c>
      <c r="AER32" s="28">
        <f t="shared" si="97"/>
        <v>0</v>
      </c>
      <c r="AES32" s="28">
        <f t="shared" si="97"/>
        <v>0</v>
      </c>
      <c r="AET32" s="28">
        <f t="shared" si="97"/>
        <v>0</v>
      </c>
      <c r="AEU32" s="28">
        <f t="shared" si="97"/>
        <v>0</v>
      </c>
      <c r="AEV32" s="28">
        <f t="shared" si="97"/>
        <v>0</v>
      </c>
      <c r="AEW32" s="28">
        <f t="shared" si="97"/>
        <v>0</v>
      </c>
      <c r="AEX32" s="28">
        <f t="shared" si="97"/>
        <v>0</v>
      </c>
      <c r="AEY32" s="28">
        <f t="shared" si="97"/>
        <v>0</v>
      </c>
      <c r="AEZ32" s="28">
        <f t="shared" si="97"/>
        <v>0</v>
      </c>
      <c r="AFA32" s="28">
        <f t="shared" si="97"/>
        <v>0</v>
      </c>
      <c r="AFB32" s="28">
        <f t="shared" si="97"/>
        <v>0</v>
      </c>
      <c r="AFC32" s="28">
        <f t="shared" si="97"/>
        <v>0</v>
      </c>
      <c r="AFD32" s="28">
        <f t="shared" si="97"/>
        <v>0</v>
      </c>
      <c r="AFE32" s="28">
        <f t="shared" si="97"/>
        <v>0</v>
      </c>
      <c r="AFF32" s="28">
        <f t="shared" si="97"/>
        <v>0</v>
      </c>
      <c r="AFG32" s="28">
        <f t="shared" si="97"/>
        <v>0</v>
      </c>
      <c r="AFH32" s="28">
        <f t="shared" si="97"/>
        <v>0</v>
      </c>
      <c r="AFI32" s="28">
        <f t="shared" ref="AFI32:AHT32" si="98">IFERROR(AFI31/AFI$4,0)</f>
        <v>0</v>
      </c>
      <c r="AFJ32" s="28">
        <f t="shared" si="98"/>
        <v>0</v>
      </c>
      <c r="AFK32" s="28">
        <f t="shared" si="98"/>
        <v>0</v>
      </c>
      <c r="AFL32" s="28">
        <f t="shared" si="98"/>
        <v>0</v>
      </c>
      <c r="AFM32" s="28">
        <f t="shared" si="98"/>
        <v>0</v>
      </c>
      <c r="AFN32" s="28">
        <f t="shared" si="98"/>
        <v>0</v>
      </c>
      <c r="AFO32" s="28">
        <f t="shared" si="98"/>
        <v>0</v>
      </c>
      <c r="AFP32" s="28">
        <f t="shared" si="98"/>
        <v>0</v>
      </c>
      <c r="AFQ32" s="28">
        <f t="shared" si="98"/>
        <v>0</v>
      </c>
      <c r="AFR32" s="28">
        <f t="shared" si="98"/>
        <v>0</v>
      </c>
      <c r="AFS32" s="28">
        <f t="shared" si="98"/>
        <v>0</v>
      </c>
      <c r="AFT32" s="28">
        <f t="shared" si="98"/>
        <v>0</v>
      </c>
      <c r="AFU32" s="28">
        <f t="shared" si="98"/>
        <v>0</v>
      </c>
      <c r="AFV32" s="28">
        <f t="shared" si="98"/>
        <v>0</v>
      </c>
      <c r="AFW32" s="28">
        <f t="shared" si="98"/>
        <v>0</v>
      </c>
      <c r="AFX32" s="28">
        <f t="shared" si="98"/>
        <v>0</v>
      </c>
      <c r="AFY32" s="28">
        <f t="shared" si="98"/>
        <v>0</v>
      </c>
      <c r="AFZ32" s="28">
        <f t="shared" si="98"/>
        <v>0</v>
      </c>
      <c r="AGA32" s="28">
        <f t="shared" si="98"/>
        <v>0</v>
      </c>
      <c r="AGB32" s="28">
        <f t="shared" si="98"/>
        <v>0</v>
      </c>
      <c r="AGC32" s="28">
        <f t="shared" si="98"/>
        <v>0</v>
      </c>
      <c r="AGD32" s="28">
        <f t="shared" si="98"/>
        <v>0</v>
      </c>
      <c r="AGE32" s="28">
        <f t="shared" si="98"/>
        <v>0</v>
      </c>
      <c r="AGF32" s="28">
        <f t="shared" si="98"/>
        <v>0</v>
      </c>
      <c r="AGG32" s="28">
        <f t="shared" si="98"/>
        <v>0</v>
      </c>
      <c r="AGH32" s="28">
        <f t="shared" si="98"/>
        <v>0</v>
      </c>
      <c r="AGI32" s="28">
        <f t="shared" si="98"/>
        <v>0</v>
      </c>
      <c r="AGJ32" s="28">
        <f t="shared" si="98"/>
        <v>0</v>
      </c>
      <c r="AGK32" s="28">
        <f t="shared" si="98"/>
        <v>0</v>
      </c>
      <c r="AGL32" s="28">
        <f t="shared" si="98"/>
        <v>0</v>
      </c>
      <c r="AGM32" s="28">
        <f t="shared" si="98"/>
        <v>0</v>
      </c>
      <c r="AGN32" s="28">
        <f t="shared" si="98"/>
        <v>0</v>
      </c>
      <c r="AGO32" s="28">
        <f t="shared" si="98"/>
        <v>0</v>
      </c>
      <c r="AGP32" s="28">
        <f t="shared" si="98"/>
        <v>0</v>
      </c>
      <c r="AGQ32" s="28">
        <f t="shared" si="98"/>
        <v>0</v>
      </c>
      <c r="AGR32" s="28">
        <f t="shared" si="98"/>
        <v>0</v>
      </c>
      <c r="AGS32" s="28">
        <f t="shared" si="98"/>
        <v>0</v>
      </c>
      <c r="AGT32" s="28">
        <f t="shared" si="98"/>
        <v>0</v>
      </c>
      <c r="AGU32" s="28">
        <f t="shared" si="98"/>
        <v>0</v>
      </c>
      <c r="AGV32" s="28">
        <f t="shared" si="98"/>
        <v>0</v>
      </c>
      <c r="AGW32" s="28">
        <f t="shared" si="98"/>
        <v>0</v>
      </c>
      <c r="AGX32" s="28">
        <f t="shared" si="98"/>
        <v>0</v>
      </c>
      <c r="AGY32" s="28">
        <f t="shared" si="98"/>
        <v>0</v>
      </c>
      <c r="AGZ32" s="28">
        <f t="shared" si="98"/>
        <v>0</v>
      </c>
      <c r="AHA32" s="28">
        <f t="shared" si="98"/>
        <v>0</v>
      </c>
      <c r="AHB32" s="28">
        <f t="shared" si="98"/>
        <v>0</v>
      </c>
      <c r="AHC32" s="28">
        <f t="shared" si="98"/>
        <v>0</v>
      </c>
      <c r="AHD32" s="28">
        <f t="shared" si="98"/>
        <v>0</v>
      </c>
      <c r="AHE32" s="28">
        <f t="shared" si="98"/>
        <v>0</v>
      </c>
      <c r="AHF32" s="28">
        <f t="shared" si="98"/>
        <v>0</v>
      </c>
      <c r="AHG32" s="28">
        <f t="shared" si="98"/>
        <v>0</v>
      </c>
      <c r="AHH32" s="28">
        <f t="shared" si="98"/>
        <v>0</v>
      </c>
      <c r="AHI32" s="28">
        <f t="shared" si="98"/>
        <v>0</v>
      </c>
      <c r="AHJ32" s="28">
        <f t="shared" si="98"/>
        <v>0</v>
      </c>
      <c r="AHK32" s="28">
        <f t="shared" si="98"/>
        <v>0</v>
      </c>
      <c r="AHL32" s="28">
        <f t="shared" si="98"/>
        <v>0</v>
      </c>
      <c r="AHM32" s="28">
        <f t="shared" si="98"/>
        <v>0</v>
      </c>
      <c r="AHN32" s="28">
        <f t="shared" si="98"/>
        <v>0</v>
      </c>
      <c r="AHO32" s="28">
        <f t="shared" si="98"/>
        <v>0</v>
      </c>
      <c r="AHP32" s="28">
        <f t="shared" si="98"/>
        <v>0</v>
      </c>
      <c r="AHQ32" s="28">
        <f t="shared" si="98"/>
        <v>0</v>
      </c>
      <c r="AHR32" s="28">
        <f t="shared" si="98"/>
        <v>0</v>
      </c>
      <c r="AHS32" s="28">
        <f t="shared" si="98"/>
        <v>0</v>
      </c>
      <c r="AHT32" s="28">
        <f t="shared" si="98"/>
        <v>0</v>
      </c>
      <c r="AHU32" s="28">
        <f t="shared" ref="AHU32:AKF32" si="99">IFERROR(AHU31/AHU$4,0)</f>
        <v>0</v>
      </c>
      <c r="AHV32" s="28">
        <f t="shared" si="99"/>
        <v>0</v>
      </c>
      <c r="AHW32" s="28">
        <f t="shared" si="99"/>
        <v>0</v>
      </c>
      <c r="AHX32" s="28">
        <f t="shared" si="99"/>
        <v>0</v>
      </c>
      <c r="AHY32" s="28">
        <f t="shared" si="99"/>
        <v>0</v>
      </c>
      <c r="AHZ32" s="28">
        <f t="shared" si="99"/>
        <v>0</v>
      </c>
      <c r="AIA32" s="28">
        <f t="shared" si="99"/>
        <v>0</v>
      </c>
      <c r="AIB32" s="28">
        <f t="shared" si="99"/>
        <v>0</v>
      </c>
      <c r="AIC32" s="28">
        <f t="shared" si="99"/>
        <v>0</v>
      </c>
      <c r="AID32" s="28">
        <f t="shared" si="99"/>
        <v>0</v>
      </c>
      <c r="AIE32" s="28">
        <f t="shared" si="99"/>
        <v>0</v>
      </c>
      <c r="AIF32" s="28">
        <f t="shared" si="99"/>
        <v>0</v>
      </c>
      <c r="AIG32" s="28">
        <f t="shared" si="99"/>
        <v>0</v>
      </c>
      <c r="AIH32" s="28">
        <f t="shared" si="99"/>
        <v>0</v>
      </c>
      <c r="AII32" s="28">
        <f t="shared" si="99"/>
        <v>0</v>
      </c>
      <c r="AIJ32" s="28">
        <f t="shared" si="99"/>
        <v>0</v>
      </c>
      <c r="AIK32" s="28">
        <f t="shared" si="99"/>
        <v>0</v>
      </c>
      <c r="AIL32" s="28">
        <f t="shared" si="99"/>
        <v>0</v>
      </c>
      <c r="AIM32" s="28">
        <f t="shared" si="99"/>
        <v>0</v>
      </c>
      <c r="AIN32" s="28">
        <f t="shared" si="99"/>
        <v>0</v>
      </c>
      <c r="AIO32" s="28">
        <f t="shared" si="99"/>
        <v>0</v>
      </c>
      <c r="AIP32" s="28">
        <f t="shared" si="99"/>
        <v>0</v>
      </c>
      <c r="AIQ32" s="28">
        <f t="shared" si="99"/>
        <v>0</v>
      </c>
      <c r="AIR32" s="28">
        <f t="shared" si="99"/>
        <v>0</v>
      </c>
      <c r="AIS32" s="28">
        <f t="shared" si="99"/>
        <v>0</v>
      </c>
      <c r="AIT32" s="28">
        <f t="shared" si="99"/>
        <v>0</v>
      </c>
      <c r="AIU32" s="28">
        <f t="shared" si="99"/>
        <v>0</v>
      </c>
      <c r="AIV32" s="28">
        <f t="shared" si="99"/>
        <v>0</v>
      </c>
      <c r="AIW32" s="28">
        <f t="shared" si="99"/>
        <v>0</v>
      </c>
      <c r="AIX32" s="28">
        <f t="shared" si="99"/>
        <v>0</v>
      </c>
      <c r="AIY32" s="28">
        <f t="shared" si="99"/>
        <v>0</v>
      </c>
      <c r="AIZ32" s="28">
        <f t="shared" si="99"/>
        <v>0</v>
      </c>
      <c r="AJA32" s="28">
        <f t="shared" si="99"/>
        <v>0</v>
      </c>
      <c r="AJB32" s="28">
        <f t="shared" si="99"/>
        <v>0</v>
      </c>
      <c r="AJC32" s="28">
        <f t="shared" si="99"/>
        <v>0</v>
      </c>
      <c r="AJD32" s="28">
        <f t="shared" si="99"/>
        <v>0</v>
      </c>
      <c r="AJE32" s="28">
        <f t="shared" si="99"/>
        <v>0</v>
      </c>
      <c r="AJF32" s="28">
        <f t="shared" si="99"/>
        <v>0</v>
      </c>
      <c r="AJG32" s="28">
        <f t="shared" si="99"/>
        <v>0</v>
      </c>
      <c r="AJH32" s="28">
        <f t="shared" si="99"/>
        <v>0</v>
      </c>
      <c r="AJI32" s="28">
        <f t="shared" si="99"/>
        <v>0</v>
      </c>
      <c r="AJJ32" s="28">
        <f t="shared" si="99"/>
        <v>0</v>
      </c>
      <c r="AJK32" s="28">
        <f t="shared" si="99"/>
        <v>0</v>
      </c>
      <c r="AJL32" s="28">
        <f t="shared" si="99"/>
        <v>0</v>
      </c>
      <c r="AJM32" s="28">
        <f t="shared" si="99"/>
        <v>0</v>
      </c>
      <c r="AJN32" s="28">
        <f t="shared" si="99"/>
        <v>0</v>
      </c>
      <c r="AJO32" s="28">
        <f t="shared" si="99"/>
        <v>0</v>
      </c>
      <c r="AJP32" s="28">
        <f t="shared" si="99"/>
        <v>0</v>
      </c>
      <c r="AJQ32" s="28">
        <f t="shared" si="99"/>
        <v>0</v>
      </c>
      <c r="AJR32" s="28">
        <f t="shared" si="99"/>
        <v>0</v>
      </c>
      <c r="AJS32" s="28">
        <f t="shared" si="99"/>
        <v>0</v>
      </c>
      <c r="AJT32" s="28">
        <f t="shared" si="99"/>
        <v>0</v>
      </c>
      <c r="AJU32" s="28">
        <f t="shared" si="99"/>
        <v>0</v>
      </c>
      <c r="AJV32" s="28">
        <f t="shared" si="99"/>
        <v>0</v>
      </c>
      <c r="AJW32" s="28">
        <f t="shared" si="99"/>
        <v>0</v>
      </c>
      <c r="AJX32" s="28">
        <f t="shared" si="99"/>
        <v>0</v>
      </c>
      <c r="AJY32" s="28">
        <f t="shared" si="99"/>
        <v>0</v>
      </c>
      <c r="AJZ32" s="28">
        <f t="shared" si="99"/>
        <v>0</v>
      </c>
      <c r="AKA32" s="28">
        <f t="shared" si="99"/>
        <v>0</v>
      </c>
      <c r="AKB32" s="28">
        <f t="shared" si="99"/>
        <v>0</v>
      </c>
      <c r="AKC32" s="28">
        <f t="shared" si="99"/>
        <v>0</v>
      </c>
      <c r="AKD32" s="28">
        <f t="shared" si="99"/>
        <v>0</v>
      </c>
      <c r="AKE32" s="28">
        <f t="shared" si="99"/>
        <v>0</v>
      </c>
      <c r="AKF32" s="28">
        <f t="shared" si="99"/>
        <v>0</v>
      </c>
      <c r="AKG32" s="28">
        <f t="shared" ref="AKG32:AMR32" si="100">IFERROR(AKG31/AKG$4,0)</f>
        <v>0</v>
      </c>
      <c r="AKH32" s="28">
        <f t="shared" si="100"/>
        <v>0</v>
      </c>
      <c r="AKI32" s="28">
        <f t="shared" si="100"/>
        <v>0</v>
      </c>
      <c r="AKJ32" s="28">
        <f t="shared" si="100"/>
        <v>0</v>
      </c>
      <c r="AKK32" s="28">
        <f t="shared" si="100"/>
        <v>0</v>
      </c>
      <c r="AKL32" s="28">
        <f t="shared" si="100"/>
        <v>0</v>
      </c>
      <c r="AKM32" s="28">
        <f t="shared" si="100"/>
        <v>0</v>
      </c>
      <c r="AKN32" s="28">
        <f t="shared" si="100"/>
        <v>0</v>
      </c>
      <c r="AKO32" s="28">
        <f t="shared" si="100"/>
        <v>0</v>
      </c>
      <c r="AKP32" s="28">
        <f t="shared" si="100"/>
        <v>0</v>
      </c>
      <c r="AKQ32" s="28">
        <f t="shared" si="100"/>
        <v>0</v>
      </c>
      <c r="AKR32" s="28">
        <f t="shared" si="100"/>
        <v>0</v>
      </c>
      <c r="AKS32" s="28">
        <f t="shared" si="100"/>
        <v>0</v>
      </c>
      <c r="AKT32" s="28">
        <f t="shared" si="100"/>
        <v>0</v>
      </c>
      <c r="AKU32" s="28">
        <f t="shared" si="100"/>
        <v>0</v>
      </c>
      <c r="AKV32" s="28">
        <f t="shared" si="100"/>
        <v>0</v>
      </c>
      <c r="AKW32" s="28">
        <f t="shared" si="100"/>
        <v>0</v>
      </c>
      <c r="AKX32" s="28">
        <f t="shared" si="100"/>
        <v>0</v>
      </c>
      <c r="AKY32" s="28">
        <f t="shared" si="100"/>
        <v>0</v>
      </c>
      <c r="AKZ32" s="28">
        <f t="shared" si="100"/>
        <v>0</v>
      </c>
      <c r="ALA32" s="28">
        <f t="shared" si="100"/>
        <v>0</v>
      </c>
      <c r="ALB32" s="28">
        <f t="shared" si="100"/>
        <v>0</v>
      </c>
      <c r="ALC32" s="28">
        <f t="shared" si="100"/>
        <v>0</v>
      </c>
      <c r="ALD32" s="28">
        <f t="shared" si="100"/>
        <v>0</v>
      </c>
      <c r="ALE32" s="28">
        <f t="shared" si="100"/>
        <v>0</v>
      </c>
      <c r="ALF32" s="28">
        <f t="shared" si="100"/>
        <v>0</v>
      </c>
      <c r="ALG32" s="28">
        <f t="shared" si="100"/>
        <v>0</v>
      </c>
      <c r="ALH32" s="28">
        <f t="shared" si="100"/>
        <v>0</v>
      </c>
      <c r="ALI32" s="28">
        <f t="shared" si="100"/>
        <v>0</v>
      </c>
      <c r="ALJ32" s="28">
        <f t="shared" si="100"/>
        <v>0</v>
      </c>
      <c r="ALK32" s="28">
        <f t="shared" si="100"/>
        <v>0</v>
      </c>
      <c r="ALL32" s="28">
        <f t="shared" si="100"/>
        <v>0</v>
      </c>
      <c r="ALM32" s="28">
        <f t="shared" si="100"/>
        <v>0</v>
      </c>
      <c r="ALN32" s="28">
        <f t="shared" si="100"/>
        <v>0</v>
      </c>
      <c r="ALO32" s="28">
        <f t="shared" si="100"/>
        <v>0</v>
      </c>
      <c r="ALP32" s="28">
        <f t="shared" si="100"/>
        <v>0</v>
      </c>
      <c r="ALQ32" s="28">
        <f t="shared" si="100"/>
        <v>0</v>
      </c>
      <c r="ALR32" s="28">
        <f t="shared" si="100"/>
        <v>0</v>
      </c>
      <c r="ALS32" s="28">
        <f t="shared" si="100"/>
        <v>0</v>
      </c>
      <c r="ALT32" s="28">
        <f t="shared" si="100"/>
        <v>0</v>
      </c>
      <c r="ALU32" s="28">
        <f t="shared" si="100"/>
        <v>0</v>
      </c>
      <c r="ALV32" s="28">
        <f t="shared" si="100"/>
        <v>0</v>
      </c>
      <c r="ALW32" s="28">
        <f t="shared" si="100"/>
        <v>0</v>
      </c>
      <c r="ALX32" s="28">
        <f t="shared" si="100"/>
        <v>0</v>
      </c>
      <c r="ALY32" s="28">
        <f t="shared" si="100"/>
        <v>0</v>
      </c>
      <c r="ALZ32" s="28">
        <f t="shared" si="100"/>
        <v>0</v>
      </c>
      <c r="AMA32" s="28">
        <f t="shared" si="100"/>
        <v>0</v>
      </c>
      <c r="AMB32" s="28">
        <f t="shared" si="100"/>
        <v>0</v>
      </c>
      <c r="AMC32" s="28">
        <f t="shared" si="100"/>
        <v>0</v>
      </c>
      <c r="AMD32" s="28">
        <f t="shared" si="100"/>
        <v>0</v>
      </c>
      <c r="AME32" s="28">
        <f t="shared" si="100"/>
        <v>0</v>
      </c>
      <c r="AMF32" s="28">
        <f t="shared" si="100"/>
        <v>0</v>
      </c>
      <c r="AMG32" s="28">
        <f t="shared" si="100"/>
        <v>0</v>
      </c>
      <c r="AMH32" s="28">
        <f t="shared" si="100"/>
        <v>0</v>
      </c>
      <c r="AMI32" s="28">
        <f t="shared" si="100"/>
        <v>0</v>
      </c>
      <c r="AMJ32" s="28">
        <f t="shared" si="100"/>
        <v>0</v>
      </c>
      <c r="AMK32" s="28">
        <f t="shared" si="100"/>
        <v>0</v>
      </c>
      <c r="AML32" s="28">
        <f t="shared" si="100"/>
        <v>0</v>
      </c>
      <c r="AMM32" s="28">
        <f t="shared" si="100"/>
        <v>0</v>
      </c>
      <c r="AMN32" s="28">
        <f t="shared" si="100"/>
        <v>0</v>
      </c>
      <c r="AMO32" s="28">
        <f t="shared" si="100"/>
        <v>0</v>
      </c>
      <c r="AMP32" s="28">
        <f t="shared" si="100"/>
        <v>0</v>
      </c>
      <c r="AMQ32" s="28">
        <f t="shared" si="100"/>
        <v>0</v>
      </c>
      <c r="AMR32" s="28">
        <f t="shared" si="100"/>
        <v>0</v>
      </c>
      <c r="AMS32" s="28">
        <f t="shared" ref="AMS32:APD32" si="101">IFERROR(AMS31/AMS$4,0)</f>
        <v>0</v>
      </c>
      <c r="AMT32" s="28">
        <f t="shared" si="101"/>
        <v>0</v>
      </c>
      <c r="AMU32" s="28">
        <f t="shared" si="101"/>
        <v>0</v>
      </c>
      <c r="AMV32" s="28">
        <f t="shared" si="101"/>
        <v>0</v>
      </c>
      <c r="AMW32" s="28">
        <f t="shared" si="101"/>
        <v>0</v>
      </c>
      <c r="AMX32" s="28">
        <f t="shared" si="101"/>
        <v>0</v>
      </c>
      <c r="AMY32" s="28">
        <f t="shared" si="101"/>
        <v>0</v>
      </c>
      <c r="AMZ32" s="28">
        <f t="shared" si="101"/>
        <v>0</v>
      </c>
      <c r="ANA32" s="28">
        <f t="shared" si="101"/>
        <v>0</v>
      </c>
      <c r="ANB32" s="28">
        <f t="shared" si="101"/>
        <v>0</v>
      </c>
      <c r="ANC32" s="28">
        <f t="shared" si="101"/>
        <v>0</v>
      </c>
      <c r="AND32" s="28">
        <f t="shared" si="101"/>
        <v>0</v>
      </c>
      <c r="ANE32" s="28">
        <f t="shared" si="101"/>
        <v>0</v>
      </c>
      <c r="ANF32" s="28">
        <f t="shared" si="101"/>
        <v>0</v>
      </c>
      <c r="ANG32" s="28">
        <f t="shared" si="101"/>
        <v>0</v>
      </c>
      <c r="ANH32" s="28">
        <f t="shared" si="101"/>
        <v>0</v>
      </c>
      <c r="ANI32" s="28">
        <f t="shared" si="101"/>
        <v>0</v>
      </c>
      <c r="ANJ32" s="28">
        <f t="shared" si="101"/>
        <v>0</v>
      </c>
      <c r="ANK32" s="28">
        <f t="shared" si="101"/>
        <v>0</v>
      </c>
      <c r="ANL32" s="28">
        <f t="shared" si="101"/>
        <v>0</v>
      </c>
      <c r="ANM32" s="28">
        <f t="shared" si="101"/>
        <v>0</v>
      </c>
      <c r="ANN32" s="28">
        <f t="shared" si="101"/>
        <v>0</v>
      </c>
      <c r="ANO32" s="28">
        <f t="shared" si="101"/>
        <v>0</v>
      </c>
      <c r="ANP32" s="28">
        <f t="shared" si="101"/>
        <v>0</v>
      </c>
      <c r="ANQ32" s="28">
        <f t="shared" si="101"/>
        <v>0</v>
      </c>
      <c r="ANR32" s="28">
        <f t="shared" si="101"/>
        <v>0</v>
      </c>
      <c r="ANS32" s="28">
        <f t="shared" si="101"/>
        <v>0</v>
      </c>
      <c r="ANT32" s="28">
        <f t="shared" si="101"/>
        <v>0</v>
      </c>
      <c r="ANU32" s="28">
        <f t="shared" si="101"/>
        <v>0</v>
      </c>
      <c r="ANV32" s="28">
        <f t="shared" si="101"/>
        <v>0</v>
      </c>
      <c r="ANW32" s="28">
        <f t="shared" si="101"/>
        <v>0</v>
      </c>
      <c r="ANX32" s="28">
        <f t="shared" si="101"/>
        <v>0</v>
      </c>
      <c r="ANY32" s="28">
        <f t="shared" si="101"/>
        <v>0</v>
      </c>
      <c r="ANZ32" s="28">
        <f t="shared" si="101"/>
        <v>0</v>
      </c>
      <c r="AOA32" s="28">
        <f t="shared" si="101"/>
        <v>0</v>
      </c>
      <c r="AOB32" s="28">
        <f t="shared" si="101"/>
        <v>0</v>
      </c>
      <c r="AOC32" s="28">
        <f t="shared" si="101"/>
        <v>0</v>
      </c>
      <c r="AOD32" s="28">
        <f t="shared" si="101"/>
        <v>0</v>
      </c>
      <c r="AOE32" s="28">
        <f t="shared" si="101"/>
        <v>0</v>
      </c>
      <c r="AOF32" s="28">
        <f t="shared" si="101"/>
        <v>0</v>
      </c>
      <c r="AOG32" s="28">
        <f t="shared" si="101"/>
        <v>0</v>
      </c>
      <c r="AOH32" s="28">
        <f t="shared" si="101"/>
        <v>0</v>
      </c>
      <c r="AOI32" s="28">
        <f t="shared" si="101"/>
        <v>0</v>
      </c>
      <c r="AOJ32" s="28">
        <f t="shared" si="101"/>
        <v>0</v>
      </c>
      <c r="AOK32" s="28">
        <f t="shared" si="101"/>
        <v>0</v>
      </c>
      <c r="AOL32" s="28">
        <f t="shared" si="101"/>
        <v>0</v>
      </c>
      <c r="AOM32" s="28">
        <f t="shared" si="101"/>
        <v>0</v>
      </c>
      <c r="AON32" s="28">
        <f t="shared" si="101"/>
        <v>0</v>
      </c>
      <c r="AOO32" s="28">
        <f t="shared" si="101"/>
        <v>0</v>
      </c>
      <c r="AOP32" s="28">
        <f t="shared" si="101"/>
        <v>0</v>
      </c>
      <c r="AOQ32" s="28">
        <f t="shared" si="101"/>
        <v>0</v>
      </c>
      <c r="AOR32" s="28">
        <f t="shared" si="101"/>
        <v>0</v>
      </c>
      <c r="AOS32" s="28">
        <f t="shared" si="101"/>
        <v>0</v>
      </c>
      <c r="AOT32" s="28">
        <f t="shared" si="101"/>
        <v>0</v>
      </c>
      <c r="AOU32" s="28">
        <f t="shared" si="101"/>
        <v>0</v>
      </c>
      <c r="AOV32" s="28">
        <f t="shared" si="101"/>
        <v>0</v>
      </c>
      <c r="AOW32" s="28">
        <f t="shared" si="101"/>
        <v>0</v>
      </c>
      <c r="AOX32" s="28">
        <f t="shared" si="101"/>
        <v>0</v>
      </c>
      <c r="AOY32" s="28">
        <f t="shared" si="101"/>
        <v>0</v>
      </c>
      <c r="AOZ32" s="28">
        <f t="shared" si="101"/>
        <v>0</v>
      </c>
      <c r="APA32" s="28">
        <f t="shared" si="101"/>
        <v>0</v>
      </c>
      <c r="APB32" s="28">
        <f t="shared" si="101"/>
        <v>0</v>
      </c>
      <c r="APC32" s="28">
        <f t="shared" si="101"/>
        <v>0</v>
      </c>
      <c r="APD32" s="28">
        <f t="shared" si="101"/>
        <v>0</v>
      </c>
      <c r="APE32" s="28">
        <f t="shared" ref="APE32:ARP32" si="102">IFERROR(APE31/APE$4,0)</f>
        <v>0</v>
      </c>
      <c r="APF32" s="28">
        <f t="shared" si="102"/>
        <v>0</v>
      </c>
      <c r="APG32" s="28">
        <f t="shared" si="102"/>
        <v>0</v>
      </c>
      <c r="APH32" s="28">
        <f t="shared" si="102"/>
        <v>0</v>
      </c>
      <c r="API32" s="28">
        <f t="shared" si="102"/>
        <v>0</v>
      </c>
      <c r="APJ32" s="28">
        <f t="shared" si="102"/>
        <v>0</v>
      </c>
      <c r="APK32" s="28">
        <f t="shared" si="102"/>
        <v>0</v>
      </c>
      <c r="APL32" s="28">
        <f t="shared" si="102"/>
        <v>0</v>
      </c>
      <c r="APM32" s="28">
        <f t="shared" si="102"/>
        <v>0</v>
      </c>
      <c r="APN32" s="28">
        <f t="shared" si="102"/>
        <v>0</v>
      </c>
      <c r="APO32" s="28">
        <f t="shared" si="102"/>
        <v>0</v>
      </c>
      <c r="APP32" s="28">
        <f t="shared" si="102"/>
        <v>0</v>
      </c>
      <c r="APQ32" s="28">
        <f t="shared" si="102"/>
        <v>0</v>
      </c>
      <c r="APR32" s="28">
        <f t="shared" si="102"/>
        <v>0</v>
      </c>
      <c r="APS32" s="28">
        <f t="shared" si="102"/>
        <v>0</v>
      </c>
      <c r="APT32" s="28">
        <f t="shared" si="102"/>
        <v>0</v>
      </c>
      <c r="APU32" s="28">
        <f t="shared" si="102"/>
        <v>0</v>
      </c>
      <c r="APV32" s="28">
        <f t="shared" si="102"/>
        <v>0</v>
      </c>
      <c r="APW32" s="28">
        <f t="shared" si="102"/>
        <v>0</v>
      </c>
      <c r="APX32" s="28">
        <f t="shared" si="102"/>
        <v>0</v>
      </c>
      <c r="APY32" s="28">
        <f t="shared" si="102"/>
        <v>0</v>
      </c>
      <c r="APZ32" s="28">
        <f t="shared" si="102"/>
        <v>0</v>
      </c>
      <c r="AQA32" s="28">
        <f t="shared" si="102"/>
        <v>0</v>
      </c>
      <c r="AQB32" s="28">
        <f t="shared" si="102"/>
        <v>0</v>
      </c>
      <c r="AQC32" s="28">
        <f t="shared" si="102"/>
        <v>0</v>
      </c>
      <c r="AQD32" s="28">
        <f t="shared" si="102"/>
        <v>0</v>
      </c>
      <c r="AQE32" s="28">
        <f t="shared" si="102"/>
        <v>0</v>
      </c>
      <c r="AQF32" s="28">
        <f t="shared" si="102"/>
        <v>0</v>
      </c>
      <c r="AQG32" s="28">
        <f t="shared" si="102"/>
        <v>0</v>
      </c>
      <c r="AQH32" s="28">
        <f t="shared" si="102"/>
        <v>0</v>
      </c>
      <c r="AQI32" s="28">
        <f t="shared" si="102"/>
        <v>0</v>
      </c>
      <c r="AQJ32" s="28">
        <f t="shared" si="102"/>
        <v>0</v>
      </c>
      <c r="AQK32" s="28">
        <f t="shared" si="102"/>
        <v>0</v>
      </c>
      <c r="AQL32" s="28">
        <f t="shared" si="102"/>
        <v>0</v>
      </c>
      <c r="AQM32" s="28">
        <f t="shared" si="102"/>
        <v>0</v>
      </c>
      <c r="AQN32" s="28">
        <f t="shared" si="102"/>
        <v>0</v>
      </c>
      <c r="AQO32" s="28">
        <f t="shared" si="102"/>
        <v>0</v>
      </c>
      <c r="AQP32" s="28">
        <f t="shared" si="102"/>
        <v>0</v>
      </c>
      <c r="AQQ32" s="28">
        <f t="shared" si="102"/>
        <v>0</v>
      </c>
      <c r="AQR32" s="28">
        <f t="shared" si="102"/>
        <v>0</v>
      </c>
      <c r="AQS32" s="28">
        <f t="shared" si="102"/>
        <v>0</v>
      </c>
      <c r="AQT32" s="28">
        <f t="shared" si="102"/>
        <v>0</v>
      </c>
      <c r="AQU32" s="28">
        <f t="shared" si="102"/>
        <v>0</v>
      </c>
      <c r="AQV32" s="28">
        <f t="shared" si="102"/>
        <v>0</v>
      </c>
      <c r="AQW32" s="28">
        <f t="shared" si="102"/>
        <v>0</v>
      </c>
      <c r="AQX32" s="28">
        <f t="shared" si="102"/>
        <v>0</v>
      </c>
      <c r="AQY32" s="28">
        <f t="shared" si="102"/>
        <v>0</v>
      </c>
      <c r="AQZ32" s="28">
        <f t="shared" si="102"/>
        <v>0</v>
      </c>
      <c r="ARA32" s="28">
        <f t="shared" si="102"/>
        <v>0</v>
      </c>
      <c r="ARB32" s="28">
        <f t="shared" si="102"/>
        <v>0</v>
      </c>
      <c r="ARC32" s="28">
        <f t="shared" si="102"/>
        <v>0</v>
      </c>
      <c r="ARD32" s="28">
        <f t="shared" si="102"/>
        <v>0</v>
      </c>
      <c r="ARE32" s="28">
        <f t="shared" si="102"/>
        <v>0</v>
      </c>
      <c r="ARF32" s="28">
        <f t="shared" si="102"/>
        <v>0</v>
      </c>
      <c r="ARG32" s="28">
        <f t="shared" si="102"/>
        <v>0</v>
      </c>
      <c r="ARH32" s="28">
        <f t="shared" si="102"/>
        <v>0</v>
      </c>
      <c r="ARI32" s="28">
        <f t="shared" si="102"/>
        <v>0</v>
      </c>
      <c r="ARJ32" s="28">
        <f t="shared" si="102"/>
        <v>0</v>
      </c>
      <c r="ARK32" s="28">
        <f t="shared" si="102"/>
        <v>0</v>
      </c>
      <c r="ARL32" s="28">
        <f t="shared" si="102"/>
        <v>0</v>
      </c>
      <c r="ARM32" s="28">
        <f t="shared" si="102"/>
        <v>0</v>
      </c>
      <c r="ARN32" s="28">
        <f t="shared" si="102"/>
        <v>0</v>
      </c>
      <c r="ARO32" s="28">
        <f t="shared" si="102"/>
        <v>0</v>
      </c>
      <c r="ARP32" s="28">
        <f t="shared" si="102"/>
        <v>0</v>
      </c>
      <c r="ARQ32" s="28">
        <f t="shared" ref="ARQ32:AUB32" si="103">IFERROR(ARQ31/ARQ$4,0)</f>
        <v>0</v>
      </c>
      <c r="ARR32" s="28">
        <f t="shared" si="103"/>
        <v>0</v>
      </c>
      <c r="ARS32" s="28">
        <f t="shared" si="103"/>
        <v>0</v>
      </c>
      <c r="ART32" s="28">
        <f t="shared" si="103"/>
        <v>0</v>
      </c>
      <c r="ARU32" s="28">
        <f t="shared" si="103"/>
        <v>0</v>
      </c>
      <c r="ARV32" s="28">
        <f t="shared" si="103"/>
        <v>0</v>
      </c>
      <c r="ARW32" s="28">
        <f t="shared" si="103"/>
        <v>0</v>
      </c>
      <c r="ARX32" s="28">
        <f t="shared" si="103"/>
        <v>0</v>
      </c>
      <c r="ARY32" s="28">
        <f t="shared" si="103"/>
        <v>0</v>
      </c>
      <c r="ARZ32" s="28">
        <f t="shared" si="103"/>
        <v>0</v>
      </c>
      <c r="ASA32" s="28">
        <f t="shared" si="103"/>
        <v>0</v>
      </c>
      <c r="ASB32" s="28">
        <f t="shared" si="103"/>
        <v>0</v>
      </c>
      <c r="ASC32" s="28">
        <f t="shared" si="103"/>
        <v>0</v>
      </c>
      <c r="ASD32" s="28">
        <f t="shared" si="103"/>
        <v>0</v>
      </c>
      <c r="ASE32" s="28">
        <f t="shared" si="103"/>
        <v>0</v>
      </c>
      <c r="ASF32" s="28">
        <f t="shared" si="103"/>
        <v>0</v>
      </c>
      <c r="ASG32" s="28">
        <f t="shared" si="103"/>
        <v>0</v>
      </c>
      <c r="ASH32" s="28">
        <f t="shared" si="103"/>
        <v>0</v>
      </c>
      <c r="ASI32" s="28">
        <f t="shared" si="103"/>
        <v>0</v>
      </c>
      <c r="ASJ32" s="28">
        <f t="shared" si="103"/>
        <v>0</v>
      </c>
      <c r="ASK32" s="28">
        <f t="shared" si="103"/>
        <v>0</v>
      </c>
      <c r="ASL32" s="28">
        <f t="shared" si="103"/>
        <v>0</v>
      </c>
      <c r="ASM32" s="28">
        <f t="shared" si="103"/>
        <v>0</v>
      </c>
      <c r="ASN32" s="28">
        <f t="shared" si="103"/>
        <v>0</v>
      </c>
      <c r="ASO32" s="28">
        <f t="shared" si="103"/>
        <v>0</v>
      </c>
      <c r="ASP32" s="28">
        <f t="shared" si="103"/>
        <v>0</v>
      </c>
      <c r="ASQ32" s="28">
        <f t="shared" si="103"/>
        <v>0</v>
      </c>
      <c r="ASR32" s="28">
        <f t="shared" si="103"/>
        <v>0</v>
      </c>
      <c r="ASS32" s="28">
        <f t="shared" si="103"/>
        <v>0</v>
      </c>
      <c r="AST32" s="28">
        <f t="shared" si="103"/>
        <v>0</v>
      </c>
      <c r="ASU32" s="28">
        <f t="shared" si="103"/>
        <v>0</v>
      </c>
      <c r="ASV32" s="28">
        <f t="shared" si="103"/>
        <v>0</v>
      </c>
      <c r="ASW32" s="28">
        <f t="shared" si="103"/>
        <v>0</v>
      </c>
      <c r="ASX32" s="28">
        <f t="shared" si="103"/>
        <v>0</v>
      </c>
      <c r="ASY32" s="28">
        <f t="shared" si="103"/>
        <v>0</v>
      </c>
      <c r="ASZ32" s="28">
        <f t="shared" si="103"/>
        <v>0</v>
      </c>
      <c r="ATA32" s="28">
        <f t="shared" si="103"/>
        <v>0</v>
      </c>
      <c r="ATB32" s="28">
        <f t="shared" si="103"/>
        <v>0</v>
      </c>
      <c r="ATC32" s="28">
        <f t="shared" si="103"/>
        <v>0</v>
      </c>
      <c r="ATD32" s="28">
        <f t="shared" si="103"/>
        <v>0</v>
      </c>
      <c r="ATE32" s="28">
        <f t="shared" si="103"/>
        <v>0</v>
      </c>
      <c r="ATF32" s="28">
        <f t="shared" si="103"/>
        <v>0</v>
      </c>
      <c r="ATG32" s="28">
        <f t="shared" si="103"/>
        <v>0</v>
      </c>
      <c r="ATH32" s="28">
        <f t="shared" si="103"/>
        <v>0</v>
      </c>
      <c r="ATI32" s="28">
        <f t="shared" si="103"/>
        <v>0</v>
      </c>
      <c r="ATJ32" s="28">
        <f t="shared" si="103"/>
        <v>0</v>
      </c>
      <c r="ATK32" s="28">
        <f t="shared" si="103"/>
        <v>0</v>
      </c>
      <c r="ATL32" s="28">
        <f t="shared" si="103"/>
        <v>0</v>
      </c>
      <c r="ATM32" s="28">
        <f t="shared" si="103"/>
        <v>0</v>
      </c>
      <c r="ATN32" s="28">
        <f t="shared" si="103"/>
        <v>0</v>
      </c>
      <c r="ATO32" s="28">
        <f t="shared" si="103"/>
        <v>0</v>
      </c>
      <c r="ATP32" s="28">
        <f t="shared" si="103"/>
        <v>0</v>
      </c>
      <c r="ATQ32" s="28">
        <f t="shared" si="103"/>
        <v>0</v>
      </c>
      <c r="ATR32" s="28">
        <f t="shared" si="103"/>
        <v>0</v>
      </c>
      <c r="ATS32" s="28">
        <f t="shared" si="103"/>
        <v>0</v>
      </c>
      <c r="ATT32" s="28">
        <f t="shared" si="103"/>
        <v>0</v>
      </c>
      <c r="ATU32" s="28">
        <f t="shared" si="103"/>
        <v>0</v>
      </c>
      <c r="ATV32" s="28">
        <f t="shared" si="103"/>
        <v>0</v>
      </c>
      <c r="ATW32" s="28">
        <f t="shared" si="103"/>
        <v>0</v>
      </c>
      <c r="ATX32" s="28">
        <f t="shared" si="103"/>
        <v>0</v>
      </c>
      <c r="ATY32" s="28">
        <f t="shared" si="103"/>
        <v>0</v>
      </c>
      <c r="ATZ32" s="28">
        <f t="shared" si="103"/>
        <v>0</v>
      </c>
      <c r="AUA32" s="28">
        <f t="shared" si="103"/>
        <v>0</v>
      </c>
      <c r="AUB32" s="28">
        <f t="shared" si="103"/>
        <v>0</v>
      </c>
      <c r="AUC32" s="28">
        <f t="shared" ref="AUC32:AWN32" si="104">IFERROR(AUC31/AUC$4,0)</f>
        <v>0</v>
      </c>
      <c r="AUD32" s="28">
        <f t="shared" si="104"/>
        <v>0</v>
      </c>
      <c r="AUE32" s="28">
        <f t="shared" si="104"/>
        <v>0</v>
      </c>
      <c r="AUF32" s="28">
        <f t="shared" si="104"/>
        <v>0</v>
      </c>
      <c r="AUG32" s="28">
        <f t="shared" si="104"/>
        <v>0</v>
      </c>
      <c r="AUH32" s="28">
        <f t="shared" si="104"/>
        <v>0</v>
      </c>
      <c r="AUI32" s="28">
        <f t="shared" si="104"/>
        <v>0</v>
      </c>
      <c r="AUJ32" s="28">
        <f t="shared" si="104"/>
        <v>0</v>
      </c>
      <c r="AUK32" s="28">
        <f t="shared" si="104"/>
        <v>0</v>
      </c>
      <c r="AUL32" s="28">
        <f t="shared" si="104"/>
        <v>0</v>
      </c>
      <c r="AUM32" s="28">
        <f t="shared" si="104"/>
        <v>0</v>
      </c>
      <c r="AUN32" s="28">
        <f t="shared" si="104"/>
        <v>0</v>
      </c>
      <c r="AUO32" s="28">
        <f t="shared" si="104"/>
        <v>0</v>
      </c>
      <c r="AUP32" s="28">
        <f t="shared" si="104"/>
        <v>0</v>
      </c>
      <c r="AUQ32" s="28">
        <f t="shared" si="104"/>
        <v>0</v>
      </c>
      <c r="AUR32" s="28">
        <f t="shared" si="104"/>
        <v>0</v>
      </c>
      <c r="AUS32" s="28">
        <f t="shared" si="104"/>
        <v>0</v>
      </c>
      <c r="AUT32" s="28">
        <f t="shared" si="104"/>
        <v>0</v>
      </c>
      <c r="AUU32" s="28">
        <f t="shared" si="104"/>
        <v>0</v>
      </c>
      <c r="AUV32" s="28">
        <f t="shared" si="104"/>
        <v>0</v>
      </c>
      <c r="AUW32" s="28">
        <f t="shared" si="104"/>
        <v>0</v>
      </c>
      <c r="AUX32" s="28">
        <f t="shared" si="104"/>
        <v>0</v>
      </c>
      <c r="AUY32" s="28">
        <f t="shared" si="104"/>
        <v>0</v>
      </c>
      <c r="AUZ32" s="28">
        <f t="shared" si="104"/>
        <v>0</v>
      </c>
      <c r="AVA32" s="28">
        <f t="shared" si="104"/>
        <v>0</v>
      </c>
      <c r="AVB32" s="28">
        <f t="shared" si="104"/>
        <v>0</v>
      </c>
      <c r="AVC32" s="28">
        <f t="shared" si="104"/>
        <v>0</v>
      </c>
      <c r="AVD32" s="28">
        <f t="shared" si="104"/>
        <v>0</v>
      </c>
      <c r="AVE32" s="28">
        <f t="shared" si="104"/>
        <v>0</v>
      </c>
      <c r="AVF32" s="28">
        <f t="shared" si="104"/>
        <v>0</v>
      </c>
      <c r="AVG32" s="28">
        <f t="shared" si="104"/>
        <v>0</v>
      </c>
      <c r="AVH32" s="28">
        <f t="shared" si="104"/>
        <v>0</v>
      </c>
      <c r="AVI32" s="28">
        <f t="shared" si="104"/>
        <v>0</v>
      </c>
      <c r="AVJ32" s="28">
        <f t="shared" si="104"/>
        <v>0</v>
      </c>
      <c r="AVK32" s="28">
        <f t="shared" si="104"/>
        <v>0</v>
      </c>
      <c r="AVL32" s="28">
        <f t="shared" si="104"/>
        <v>0</v>
      </c>
      <c r="AVM32" s="28">
        <f t="shared" si="104"/>
        <v>0</v>
      </c>
      <c r="AVN32" s="28">
        <f t="shared" si="104"/>
        <v>0</v>
      </c>
      <c r="AVO32" s="28">
        <f t="shared" si="104"/>
        <v>0</v>
      </c>
      <c r="AVP32" s="28">
        <f t="shared" si="104"/>
        <v>0</v>
      </c>
      <c r="AVQ32" s="28">
        <f t="shared" si="104"/>
        <v>0</v>
      </c>
      <c r="AVR32" s="28">
        <f t="shared" si="104"/>
        <v>0</v>
      </c>
      <c r="AVS32" s="28">
        <f t="shared" si="104"/>
        <v>0</v>
      </c>
      <c r="AVT32" s="28">
        <f t="shared" si="104"/>
        <v>0</v>
      </c>
      <c r="AVU32" s="28">
        <f t="shared" si="104"/>
        <v>0</v>
      </c>
      <c r="AVV32" s="28">
        <f t="shared" si="104"/>
        <v>0</v>
      </c>
      <c r="AVW32" s="28">
        <f t="shared" si="104"/>
        <v>0</v>
      </c>
      <c r="AVX32" s="28">
        <f t="shared" si="104"/>
        <v>0</v>
      </c>
      <c r="AVY32" s="28">
        <f t="shared" si="104"/>
        <v>0</v>
      </c>
      <c r="AVZ32" s="28">
        <f t="shared" si="104"/>
        <v>0</v>
      </c>
      <c r="AWA32" s="28">
        <f t="shared" si="104"/>
        <v>0</v>
      </c>
      <c r="AWB32" s="28">
        <f t="shared" si="104"/>
        <v>0</v>
      </c>
      <c r="AWC32" s="28">
        <f t="shared" si="104"/>
        <v>0</v>
      </c>
      <c r="AWD32" s="28">
        <f t="shared" si="104"/>
        <v>0</v>
      </c>
      <c r="AWE32" s="28">
        <f t="shared" si="104"/>
        <v>0</v>
      </c>
      <c r="AWF32" s="28">
        <f t="shared" si="104"/>
        <v>0</v>
      </c>
      <c r="AWG32" s="28">
        <f t="shared" si="104"/>
        <v>0</v>
      </c>
      <c r="AWH32" s="28">
        <f t="shared" si="104"/>
        <v>0</v>
      </c>
      <c r="AWI32" s="28">
        <f t="shared" si="104"/>
        <v>0</v>
      </c>
      <c r="AWJ32" s="28">
        <f t="shared" si="104"/>
        <v>0</v>
      </c>
      <c r="AWK32" s="28">
        <f t="shared" si="104"/>
        <v>0</v>
      </c>
      <c r="AWL32" s="28">
        <f t="shared" si="104"/>
        <v>0</v>
      </c>
      <c r="AWM32" s="28">
        <f t="shared" si="104"/>
        <v>0</v>
      </c>
      <c r="AWN32" s="28">
        <f t="shared" si="104"/>
        <v>0</v>
      </c>
      <c r="AWO32" s="28">
        <f t="shared" ref="AWO32:AYZ32" si="105">IFERROR(AWO31/AWO$4,0)</f>
        <v>0</v>
      </c>
      <c r="AWP32" s="28">
        <f t="shared" si="105"/>
        <v>0</v>
      </c>
      <c r="AWQ32" s="28">
        <f t="shared" si="105"/>
        <v>0</v>
      </c>
      <c r="AWR32" s="28">
        <f t="shared" si="105"/>
        <v>0</v>
      </c>
      <c r="AWS32" s="28">
        <f t="shared" si="105"/>
        <v>0</v>
      </c>
      <c r="AWT32" s="28">
        <f t="shared" si="105"/>
        <v>0</v>
      </c>
      <c r="AWU32" s="28">
        <f t="shared" si="105"/>
        <v>0</v>
      </c>
      <c r="AWV32" s="28">
        <f t="shared" si="105"/>
        <v>0</v>
      </c>
      <c r="AWW32" s="28">
        <f t="shared" si="105"/>
        <v>0</v>
      </c>
      <c r="AWX32" s="28">
        <f t="shared" si="105"/>
        <v>0</v>
      </c>
      <c r="AWY32" s="28">
        <f t="shared" si="105"/>
        <v>0</v>
      </c>
      <c r="AWZ32" s="28">
        <f t="shared" si="105"/>
        <v>0</v>
      </c>
      <c r="AXA32" s="28">
        <f t="shared" si="105"/>
        <v>0</v>
      </c>
      <c r="AXB32" s="28">
        <f t="shared" si="105"/>
        <v>0</v>
      </c>
      <c r="AXC32" s="28">
        <f t="shared" si="105"/>
        <v>0</v>
      </c>
      <c r="AXD32" s="28">
        <f t="shared" si="105"/>
        <v>0</v>
      </c>
      <c r="AXE32" s="28">
        <f t="shared" si="105"/>
        <v>0</v>
      </c>
      <c r="AXF32" s="28">
        <f t="shared" si="105"/>
        <v>0</v>
      </c>
      <c r="AXG32" s="28">
        <f t="shared" si="105"/>
        <v>0</v>
      </c>
      <c r="AXH32" s="28">
        <f t="shared" si="105"/>
        <v>0</v>
      </c>
      <c r="AXI32" s="28">
        <f t="shared" si="105"/>
        <v>0</v>
      </c>
      <c r="AXJ32" s="28">
        <f t="shared" si="105"/>
        <v>0</v>
      </c>
      <c r="AXK32" s="28">
        <f t="shared" si="105"/>
        <v>0</v>
      </c>
      <c r="AXL32" s="28">
        <f t="shared" si="105"/>
        <v>0</v>
      </c>
      <c r="AXM32" s="28">
        <f t="shared" si="105"/>
        <v>0</v>
      </c>
      <c r="AXN32" s="28">
        <f t="shared" si="105"/>
        <v>0</v>
      </c>
      <c r="AXO32" s="28">
        <f t="shared" si="105"/>
        <v>0</v>
      </c>
      <c r="AXP32" s="28">
        <f t="shared" si="105"/>
        <v>0</v>
      </c>
      <c r="AXQ32" s="28">
        <f t="shared" si="105"/>
        <v>0</v>
      </c>
      <c r="AXR32" s="28">
        <f t="shared" si="105"/>
        <v>0</v>
      </c>
      <c r="AXS32" s="28">
        <f t="shared" si="105"/>
        <v>0</v>
      </c>
      <c r="AXT32" s="28">
        <f t="shared" si="105"/>
        <v>0</v>
      </c>
      <c r="AXU32" s="28">
        <f t="shared" si="105"/>
        <v>0</v>
      </c>
      <c r="AXV32" s="28">
        <f t="shared" si="105"/>
        <v>0</v>
      </c>
      <c r="AXW32" s="28">
        <f t="shared" si="105"/>
        <v>0</v>
      </c>
      <c r="AXX32" s="28">
        <f t="shared" si="105"/>
        <v>0</v>
      </c>
      <c r="AXY32" s="28">
        <f t="shared" si="105"/>
        <v>0</v>
      </c>
      <c r="AXZ32" s="28">
        <f t="shared" si="105"/>
        <v>0</v>
      </c>
      <c r="AYA32" s="28">
        <f t="shared" si="105"/>
        <v>0</v>
      </c>
      <c r="AYB32" s="28">
        <f t="shared" si="105"/>
        <v>0</v>
      </c>
      <c r="AYC32" s="28">
        <f t="shared" si="105"/>
        <v>0</v>
      </c>
      <c r="AYD32" s="28">
        <f t="shared" si="105"/>
        <v>0</v>
      </c>
      <c r="AYE32" s="28">
        <f t="shared" si="105"/>
        <v>0</v>
      </c>
      <c r="AYF32" s="28">
        <f t="shared" si="105"/>
        <v>0</v>
      </c>
      <c r="AYG32" s="28">
        <f t="shared" si="105"/>
        <v>0</v>
      </c>
      <c r="AYH32" s="28">
        <f t="shared" si="105"/>
        <v>0</v>
      </c>
      <c r="AYI32" s="28">
        <f t="shared" si="105"/>
        <v>0</v>
      </c>
      <c r="AYJ32" s="28">
        <f t="shared" si="105"/>
        <v>0</v>
      </c>
      <c r="AYK32" s="28">
        <f t="shared" si="105"/>
        <v>0</v>
      </c>
      <c r="AYL32" s="28">
        <f t="shared" si="105"/>
        <v>0</v>
      </c>
      <c r="AYM32" s="28">
        <f t="shared" si="105"/>
        <v>0</v>
      </c>
      <c r="AYN32" s="28">
        <f t="shared" si="105"/>
        <v>0</v>
      </c>
      <c r="AYO32" s="28">
        <f t="shared" si="105"/>
        <v>0</v>
      </c>
      <c r="AYP32" s="28">
        <f t="shared" si="105"/>
        <v>0</v>
      </c>
      <c r="AYQ32" s="28">
        <f t="shared" si="105"/>
        <v>0</v>
      </c>
      <c r="AYR32" s="28">
        <f t="shared" si="105"/>
        <v>0</v>
      </c>
      <c r="AYS32" s="28">
        <f t="shared" si="105"/>
        <v>0</v>
      </c>
      <c r="AYT32" s="28">
        <f t="shared" si="105"/>
        <v>0</v>
      </c>
      <c r="AYU32" s="28">
        <f t="shared" si="105"/>
        <v>0</v>
      </c>
      <c r="AYV32" s="28">
        <f t="shared" si="105"/>
        <v>0</v>
      </c>
      <c r="AYW32" s="28">
        <f t="shared" si="105"/>
        <v>0</v>
      </c>
      <c r="AYX32" s="28">
        <f t="shared" si="105"/>
        <v>0</v>
      </c>
      <c r="AYY32" s="28">
        <f t="shared" si="105"/>
        <v>0</v>
      </c>
      <c r="AYZ32" s="28">
        <f t="shared" si="105"/>
        <v>0</v>
      </c>
      <c r="AZA32" s="28">
        <f t="shared" ref="AZA32:BBL32" si="106">IFERROR(AZA31/AZA$4,0)</f>
        <v>0</v>
      </c>
      <c r="AZB32" s="28">
        <f t="shared" si="106"/>
        <v>0</v>
      </c>
      <c r="AZC32" s="28">
        <f t="shared" si="106"/>
        <v>0</v>
      </c>
      <c r="AZD32" s="28">
        <f t="shared" si="106"/>
        <v>0</v>
      </c>
      <c r="AZE32" s="28">
        <f t="shared" si="106"/>
        <v>0</v>
      </c>
      <c r="AZF32" s="28">
        <f t="shared" si="106"/>
        <v>0</v>
      </c>
      <c r="AZG32" s="28">
        <f t="shared" si="106"/>
        <v>0</v>
      </c>
      <c r="AZH32" s="28">
        <f t="shared" si="106"/>
        <v>0</v>
      </c>
      <c r="AZI32" s="28">
        <f t="shared" si="106"/>
        <v>0</v>
      </c>
      <c r="AZJ32" s="28">
        <f t="shared" si="106"/>
        <v>0</v>
      </c>
      <c r="AZK32" s="28">
        <f t="shared" si="106"/>
        <v>0</v>
      </c>
      <c r="AZL32" s="28">
        <f t="shared" si="106"/>
        <v>0</v>
      </c>
      <c r="AZM32" s="28">
        <f t="shared" si="106"/>
        <v>0</v>
      </c>
      <c r="AZN32" s="28">
        <f t="shared" si="106"/>
        <v>0</v>
      </c>
      <c r="AZO32" s="28">
        <f t="shared" si="106"/>
        <v>0</v>
      </c>
      <c r="AZP32" s="28">
        <f t="shared" si="106"/>
        <v>0</v>
      </c>
      <c r="AZQ32" s="28">
        <f t="shared" si="106"/>
        <v>0</v>
      </c>
      <c r="AZR32" s="28">
        <f t="shared" si="106"/>
        <v>0</v>
      </c>
      <c r="AZS32" s="28">
        <f t="shared" si="106"/>
        <v>0</v>
      </c>
      <c r="AZT32" s="28">
        <f t="shared" si="106"/>
        <v>0</v>
      </c>
      <c r="AZU32" s="28">
        <f t="shared" si="106"/>
        <v>0</v>
      </c>
      <c r="AZV32" s="28">
        <f t="shared" si="106"/>
        <v>0</v>
      </c>
      <c r="AZW32" s="28">
        <f t="shared" si="106"/>
        <v>0</v>
      </c>
      <c r="AZX32" s="28">
        <f t="shared" si="106"/>
        <v>0</v>
      </c>
      <c r="AZY32" s="28">
        <f t="shared" si="106"/>
        <v>0</v>
      </c>
      <c r="AZZ32" s="28">
        <f t="shared" si="106"/>
        <v>0</v>
      </c>
      <c r="BAA32" s="28">
        <f t="shared" si="106"/>
        <v>0</v>
      </c>
      <c r="BAB32" s="28">
        <f t="shared" si="106"/>
        <v>0</v>
      </c>
      <c r="BAC32" s="28">
        <f t="shared" si="106"/>
        <v>0</v>
      </c>
      <c r="BAD32" s="28">
        <f t="shared" si="106"/>
        <v>0</v>
      </c>
      <c r="BAE32" s="28">
        <f t="shared" si="106"/>
        <v>0</v>
      </c>
      <c r="BAF32" s="28">
        <f t="shared" si="106"/>
        <v>0</v>
      </c>
      <c r="BAG32" s="28">
        <f t="shared" si="106"/>
        <v>0</v>
      </c>
      <c r="BAH32" s="28">
        <f t="shared" si="106"/>
        <v>0</v>
      </c>
      <c r="BAI32" s="28">
        <f t="shared" si="106"/>
        <v>0</v>
      </c>
      <c r="BAJ32" s="28">
        <f t="shared" si="106"/>
        <v>0</v>
      </c>
      <c r="BAK32" s="28">
        <f t="shared" si="106"/>
        <v>0</v>
      </c>
      <c r="BAL32" s="28">
        <f t="shared" si="106"/>
        <v>0</v>
      </c>
      <c r="BAM32" s="28">
        <f t="shared" si="106"/>
        <v>0</v>
      </c>
      <c r="BAN32" s="28">
        <f t="shared" si="106"/>
        <v>0</v>
      </c>
      <c r="BAO32" s="28">
        <f t="shared" si="106"/>
        <v>0</v>
      </c>
      <c r="BAP32" s="28">
        <f t="shared" si="106"/>
        <v>0</v>
      </c>
      <c r="BAQ32" s="28">
        <f t="shared" si="106"/>
        <v>0</v>
      </c>
      <c r="BAR32" s="28">
        <f t="shared" si="106"/>
        <v>0</v>
      </c>
      <c r="BAS32" s="28">
        <f t="shared" si="106"/>
        <v>0</v>
      </c>
      <c r="BAT32" s="28">
        <f t="shared" si="106"/>
        <v>0</v>
      </c>
      <c r="BAU32" s="28">
        <f t="shared" si="106"/>
        <v>0</v>
      </c>
      <c r="BAV32" s="28">
        <f t="shared" si="106"/>
        <v>0</v>
      </c>
      <c r="BAW32" s="28">
        <f t="shared" si="106"/>
        <v>0</v>
      </c>
      <c r="BAX32" s="28">
        <f t="shared" si="106"/>
        <v>0</v>
      </c>
      <c r="BAY32" s="28">
        <f t="shared" si="106"/>
        <v>0</v>
      </c>
      <c r="BAZ32" s="28">
        <f t="shared" si="106"/>
        <v>0</v>
      </c>
      <c r="BBA32" s="28">
        <f t="shared" si="106"/>
        <v>0</v>
      </c>
      <c r="BBB32" s="28">
        <f t="shared" si="106"/>
        <v>0</v>
      </c>
      <c r="BBC32" s="28">
        <f t="shared" si="106"/>
        <v>0</v>
      </c>
      <c r="BBD32" s="28">
        <f t="shared" si="106"/>
        <v>0</v>
      </c>
      <c r="BBE32" s="28">
        <f t="shared" si="106"/>
        <v>0</v>
      </c>
      <c r="BBF32" s="28">
        <f t="shared" si="106"/>
        <v>0</v>
      </c>
      <c r="BBG32" s="28">
        <f t="shared" si="106"/>
        <v>0</v>
      </c>
      <c r="BBH32" s="28">
        <f t="shared" si="106"/>
        <v>0</v>
      </c>
      <c r="BBI32" s="28">
        <f t="shared" si="106"/>
        <v>0</v>
      </c>
      <c r="BBJ32" s="28">
        <f t="shared" si="106"/>
        <v>0</v>
      </c>
      <c r="BBK32" s="28">
        <f t="shared" si="106"/>
        <v>0</v>
      </c>
      <c r="BBL32" s="28">
        <f t="shared" si="106"/>
        <v>0</v>
      </c>
      <c r="BBM32" s="28">
        <f t="shared" ref="BBM32:BDX32" si="107">IFERROR(BBM31/BBM$4,0)</f>
        <v>0</v>
      </c>
      <c r="BBN32" s="28">
        <f t="shared" si="107"/>
        <v>0</v>
      </c>
      <c r="BBO32" s="28">
        <f t="shared" si="107"/>
        <v>0</v>
      </c>
      <c r="BBP32" s="28">
        <f t="shared" si="107"/>
        <v>0</v>
      </c>
      <c r="BBQ32" s="28">
        <f t="shared" si="107"/>
        <v>0</v>
      </c>
      <c r="BBR32" s="28">
        <f t="shared" si="107"/>
        <v>0</v>
      </c>
      <c r="BBS32" s="28">
        <f t="shared" si="107"/>
        <v>0</v>
      </c>
      <c r="BBT32" s="28">
        <f t="shared" si="107"/>
        <v>0</v>
      </c>
      <c r="BBU32" s="28">
        <f t="shared" si="107"/>
        <v>0</v>
      </c>
      <c r="BBV32" s="28">
        <f t="shared" si="107"/>
        <v>0</v>
      </c>
      <c r="BBW32" s="28">
        <f t="shared" si="107"/>
        <v>0</v>
      </c>
      <c r="BBX32" s="28">
        <f t="shared" si="107"/>
        <v>0</v>
      </c>
      <c r="BBY32" s="28">
        <f t="shared" si="107"/>
        <v>0</v>
      </c>
      <c r="BBZ32" s="28">
        <f t="shared" si="107"/>
        <v>0</v>
      </c>
      <c r="BCA32" s="28">
        <f t="shared" si="107"/>
        <v>0</v>
      </c>
      <c r="BCB32" s="28">
        <f t="shared" si="107"/>
        <v>0</v>
      </c>
      <c r="BCC32" s="28">
        <f t="shared" si="107"/>
        <v>0</v>
      </c>
      <c r="BCD32" s="28">
        <f t="shared" si="107"/>
        <v>0</v>
      </c>
      <c r="BCE32" s="28">
        <f t="shared" si="107"/>
        <v>0</v>
      </c>
      <c r="BCF32" s="28">
        <f t="shared" si="107"/>
        <v>0</v>
      </c>
      <c r="BCG32" s="28">
        <f t="shared" si="107"/>
        <v>0</v>
      </c>
      <c r="BCH32" s="28">
        <f t="shared" si="107"/>
        <v>0</v>
      </c>
      <c r="BCI32" s="28">
        <f t="shared" si="107"/>
        <v>0</v>
      </c>
      <c r="BCJ32" s="28">
        <f t="shared" si="107"/>
        <v>0</v>
      </c>
      <c r="BCK32" s="28">
        <f t="shared" si="107"/>
        <v>0</v>
      </c>
      <c r="BCL32" s="28">
        <f t="shared" si="107"/>
        <v>0</v>
      </c>
      <c r="BCM32" s="28">
        <f t="shared" si="107"/>
        <v>0</v>
      </c>
      <c r="BCN32" s="28">
        <f t="shared" si="107"/>
        <v>0</v>
      </c>
      <c r="BCO32" s="28">
        <f t="shared" si="107"/>
        <v>0</v>
      </c>
      <c r="BCP32" s="28">
        <f t="shared" si="107"/>
        <v>0</v>
      </c>
      <c r="BCQ32" s="28">
        <f t="shared" si="107"/>
        <v>0</v>
      </c>
      <c r="BCR32" s="28">
        <f t="shared" si="107"/>
        <v>0</v>
      </c>
      <c r="BCS32" s="28">
        <f t="shared" si="107"/>
        <v>0</v>
      </c>
      <c r="BCT32" s="28">
        <f t="shared" si="107"/>
        <v>0</v>
      </c>
      <c r="BCU32" s="28">
        <f t="shared" si="107"/>
        <v>0</v>
      </c>
      <c r="BCV32" s="28">
        <f t="shared" si="107"/>
        <v>0</v>
      </c>
      <c r="BCW32" s="28">
        <f t="shared" si="107"/>
        <v>0</v>
      </c>
      <c r="BCX32" s="28">
        <f t="shared" si="107"/>
        <v>0</v>
      </c>
      <c r="BCY32" s="28">
        <f t="shared" si="107"/>
        <v>0</v>
      </c>
      <c r="BCZ32" s="28">
        <f t="shared" si="107"/>
        <v>0</v>
      </c>
      <c r="BDA32" s="28">
        <f t="shared" si="107"/>
        <v>0</v>
      </c>
      <c r="BDB32" s="28">
        <f t="shared" si="107"/>
        <v>0</v>
      </c>
      <c r="BDC32" s="28">
        <f t="shared" si="107"/>
        <v>0</v>
      </c>
      <c r="BDD32" s="28">
        <f t="shared" si="107"/>
        <v>0</v>
      </c>
      <c r="BDE32" s="28">
        <f t="shared" si="107"/>
        <v>0</v>
      </c>
      <c r="BDF32" s="28">
        <f t="shared" si="107"/>
        <v>0</v>
      </c>
      <c r="BDG32" s="28">
        <f t="shared" si="107"/>
        <v>0</v>
      </c>
      <c r="BDH32" s="28">
        <f t="shared" si="107"/>
        <v>0</v>
      </c>
      <c r="BDI32" s="28">
        <f t="shared" si="107"/>
        <v>0</v>
      </c>
      <c r="BDJ32" s="28">
        <f t="shared" si="107"/>
        <v>0</v>
      </c>
      <c r="BDK32" s="28">
        <f t="shared" si="107"/>
        <v>0</v>
      </c>
      <c r="BDL32" s="28">
        <f t="shared" si="107"/>
        <v>0</v>
      </c>
      <c r="BDM32" s="28">
        <f t="shared" si="107"/>
        <v>0</v>
      </c>
      <c r="BDN32" s="28">
        <f t="shared" si="107"/>
        <v>0</v>
      </c>
      <c r="BDO32" s="28">
        <f t="shared" si="107"/>
        <v>0</v>
      </c>
      <c r="BDP32" s="28">
        <f t="shared" si="107"/>
        <v>0</v>
      </c>
      <c r="BDQ32" s="28">
        <f t="shared" si="107"/>
        <v>0</v>
      </c>
      <c r="BDR32" s="28">
        <f t="shared" si="107"/>
        <v>0</v>
      </c>
      <c r="BDS32" s="28">
        <f t="shared" si="107"/>
        <v>0</v>
      </c>
      <c r="BDT32" s="28">
        <f t="shared" si="107"/>
        <v>0</v>
      </c>
      <c r="BDU32" s="28">
        <f t="shared" si="107"/>
        <v>0</v>
      </c>
      <c r="BDV32" s="28">
        <f t="shared" si="107"/>
        <v>0</v>
      </c>
      <c r="BDW32" s="28">
        <f t="shared" si="107"/>
        <v>0</v>
      </c>
      <c r="BDX32" s="28">
        <f t="shared" si="107"/>
        <v>0</v>
      </c>
      <c r="BDY32" s="28">
        <f t="shared" ref="BDY32:BGJ32" si="108">IFERROR(BDY31/BDY$4,0)</f>
        <v>0</v>
      </c>
      <c r="BDZ32" s="28">
        <f t="shared" si="108"/>
        <v>0</v>
      </c>
      <c r="BEA32" s="28">
        <f t="shared" si="108"/>
        <v>0</v>
      </c>
      <c r="BEB32" s="28">
        <f t="shared" si="108"/>
        <v>0</v>
      </c>
      <c r="BEC32" s="28">
        <f t="shared" si="108"/>
        <v>0</v>
      </c>
      <c r="BED32" s="28">
        <f t="shared" si="108"/>
        <v>0</v>
      </c>
      <c r="BEE32" s="28">
        <f t="shared" si="108"/>
        <v>0</v>
      </c>
      <c r="BEF32" s="28">
        <f t="shared" si="108"/>
        <v>0</v>
      </c>
      <c r="BEG32" s="28">
        <f t="shared" si="108"/>
        <v>0</v>
      </c>
      <c r="BEH32" s="28">
        <f t="shared" si="108"/>
        <v>0</v>
      </c>
      <c r="BEI32" s="28">
        <f t="shared" si="108"/>
        <v>0</v>
      </c>
      <c r="BEJ32" s="28">
        <f t="shared" si="108"/>
        <v>0</v>
      </c>
      <c r="BEK32" s="28">
        <f t="shared" si="108"/>
        <v>0</v>
      </c>
      <c r="BEL32" s="28">
        <f t="shared" si="108"/>
        <v>0</v>
      </c>
      <c r="BEM32" s="28">
        <f t="shared" si="108"/>
        <v>0</v>
      </c>
      <c r="BEN32" s="28">
        <f t="shared" si="108"/>
        <v>0</v>
      </c>
      <c r="BEO32" s="28">
        <f t="shared" si="108"/>
        <v>0</v>
      </c>
      <c r="BEP32" s="28">
        <f t="shared" si="108"/>
        <v>0</v>
      </c>
      <c r="BEQ32" s="28">
        <f t="shared" si="108"/>
        <v>0</v>
      </c>
      <c r="BER32" s="28">
        <f t="shared" si="108"/>
        <v>0</v>
      </c>
      <c r="BES32" s="28">
        <f t="shared" si="108"/>
        <v>0</v>
      </c>
      <c r="BET32" s="28">
        <f t="shared" si="108"/>
        <v>0</v>
      </c>
      <c r="BEU32" s="28">
        <f t="shared" si="108"/>
        <v>0</v>
      </c>
      <c r="BEV32" s="28">
        <f t="shared" si="108"/>
        <v>0</v>
      </c>
      <c r="BEW32" s="28">
        <f t="shared" si="108"/>
        <v>0</v>
      </c>
      <c r="BEX32" s="28">
        <f t="shared" si="108"/>
        <v>0</v>
      </c>
      <c r="BEY32" s="28">
        <f t="shared" si="108"/>
        <v>0</v>
      </c>
      <c r="BEZ32" s="28">
        <f t="shared" si="108"/>
        <v>0</v>
      </c>
      <c r="BFA32" s="28">
        <f t="shared" si="108"/>
        <v>0</v>
      </c>
      <c r="BFB32" s="28">
        <f t="shared" si="108"/>
        <v>0</v>
      </c>
      <c r="BFC32" s="28">
        <f t="shared" si="108"/>
        <v>0</v>
      </c>
      <c r="BFD32" s="28">
        <f t="shared" si="108"/>
        <v>0</v>
      </c>
      <c r="BFE32" s="28">
        <f t="shared" si="108"/>
        <v>0</v>
      </c>
      <c r="BFF32" s="28">
        <f t="shared" si="108"/>
        <v>0</v>
      </c>
      <c r="BFG32" s="28">
        <f t="shared" si="108"/>
        <v>0</v>
      </c>
      <c r="BFH32" s="28">
        <f t="shared" si="108"/>
        <v>0</v>
      </c>
      <c r="BFI32" s="28">
        <f t="shared" si="108"/>
        <v>0</v>
      </c>
      <c r="BFJ32" s="28">
        <f t="shared" si="108"/>
        <v>0</v>
      </c>
      <c r="BFK32" s="28">
        <f t="shared" si="108"/>
        <v>0</v>
      </c>
      <c r="BFL32" s="28">
        <f t="shared" si="108"/>
        <v>0</v>
      </c>
      <c r="BFM32" s="28">
        <f t="shared" si="108"/>
        <v>0</v>
      </c>
      <c r="BFN32" s="28">
        <f t="shared" si="108"/>
        <v>0</v>
      </c>
      <c r="BFO32" s="28">
        <f t="shared" si="108"/>
        <v>0</v>
      </c>
      <c r="BFP32" s="28">
        <f t="shared" si="108"/>
        <v>0</v>
      </c>
      <c r="BFQ32" s="28">
        <f t="shared" si="108"/>
        <v>0</v>
      </c>
      <c r="BFR32" s="28">
        <f t="shared" si="108"/>
        <v>0</v>
      </c>
      <c r="BFS32" s="28">
        <f t="shared" si="108"/>
        <v>0</v>
      </c>
      <c r="BFT32" s="28">
        <f t="shared" si="108"/>
        <v>0</v>
      </c>
      <c r="BFU32" s="28">
        <f t="shared" si="108"/>
        <v>0</v>
      </c>
      <c r="BFV32" s="28">
        <f t="shared" si="108"/>
        <v>0</v>
      </c>
      <c r="BFW32" s="28">
        <f t="shared" si="108"/>
        <v>0</v>
      </c>
      <c r="BFX32" s="28">
        <f t="shared" si="108"/>
        <v>0</v>
      </c>
      <c r="BFY32" s="28">
        <f t="shared" si="108"/>
        <v>0</v>
      </c>
      <c r="BFZ32" s="28">
        <f t="shared" si="108"/>
        <v>0</v>
      </c>
      <c r="BGA32" s="28">
        <f t="shared" si="108"/>
        <v>0</v>
      </c>
      <c r="BGB32" s="28">
        <f t="shared" si="108"/>
        <v>0</v>
      </c>
      <c r="BGC32" s="28">
        <f t="shared" si="108"/>
        <v>0</v>
      </c>
      <c r="BGD32" s="28">
        <f t="shared" si="108"/>
        <v>0</v>
      </c>
      <c r="BGE32" s="28">
        <f t="shared" si="108"/>
        <v>0</v>
      </c>
      <c r="BGF32" s="28">
        <f t="shared" si="108"/>
        <v>0</v>
      </c>
      <c r="BGG32" s="28">
        <f t="shared" si="108"/>
        <v>0</v>
      </c>
      <c r="BGH32" s="28">
        <f t="shared" si="108"/>
        <v>0</v>
      </c>
      <c r="BGI32" s="28">
        <f t="shared" si="108"/>
        <v>0</v>
      </c>
      <c r="BGJ32" s="28">
        <f t="shared" si="108"/>
        <v>0</v>
      </c>
      <c r="BGK32" s="28">
        <f t="shared" ref="BGK32:BIV32" si="109">IFERROR(BGK31/BGK$4,0)</f>
        <v>0</v>
      </c>
      <c r="BGL32" s="28">
        <f t="shared" si="109"/>
        <v>0</v>
      </c>
      <c r="BGM32" s="28">
        <f t="shared" si="109"/>
        <v>0</v>
      </c>
      <c r="BGN32" s="28">
        <f t="shared" si="109"/>
        <v>0</v>
      </c>
      <c r="BGO32" s="28">
        <f t="shared" si="109"/>
        <v>0</v>
      </c>
      <c r="BGP32" s="28">
        <f t="shared" si="109"/>
        <v>0</v>
      </c>
      <c r="BGQ32" s="28">
        <f t="shared" si="109"/>
        <v>0</v>
      </c>
      <c r="BGR32" s="28">
        <f t="shared" si="109"/>
        <v>0</v>
      </c>
      <c r="BGS32" s="28">
        <f t="shared" si="109"/>
        <v>0</v>
      </c>
      <c r="BGT32" s="28">
        <f t="shared" si="109"/>
        <v>0</v>
      </c>
      <c r="BGU32" s="28">
        <f t="shared" si="109"/>
        <v>0</v>
      </c>
      <c r="BGV32" s="28">
        <f t="shared" si="109"/>
        <v>0</v>
      </c>
      <c r="BGW32" s="28">
        <f t="shared" si="109"/>
        <v>0</v>
      </c>
      <c r="BGX32" s="28">
        <f t="shared" si="109"/>
        <v>0</v>
      </c>
      <c r="BGY32" s="28">
        <f t="shared" si="109"/>
        <v>0</v>
      </c>
      <c r="BGZ32" s="28">
        <f t="shared" si="109"/>
        <v>0</v>
      </c>
      <c r="BHA32" s="28">
        <f t="shared" si="109"/>
        <v>0</v>
      </c>
      <c r="BHB32" s="28">
        <f t="shared" si="109"/>
        <v>0</v>
      </c>
      <c r="BHC32" s="28">
        <f t="shared" si="109"/>
        <v>0</v>
      </c>
      <c r="BHD32" s="28">
        <f t="shared" si="109"/>
        <v>0</v>
      </c>
      <c r="BHE32" s="28">
        <f t="shared" si="109"/>
        <v>0</v>
      </c>
      <c r="BHF32" s="28">
        <f t="shared" si="109"/>
        <v>0</v>
      </c>
      <c r="BHG32" s="28">
        <f t="shared" si="109"/>
        <v>0</v>
      </c>
      <c r="BHH32" s="28">
        <f t="shared" si="109"/>
        <v>0</v>
      </c>
      <c r="BHI32" s="28">
        <f t="shared" si="109"/>
        <v>0</v>
      </c>
      <c r="BHJ32" s="28">
        <f t="shared" si="109"/>
        <v>0</v>
      </c>
      <c r="BHK32" s="28">
        <f t="shared" si="109"/>
        <v>0</v>
      </c>
      <c r="BHL32" s="28">
        <f t="shared" si="109"/>
        <v>0</v>
      </c>
      <c r="BHM32" s="28">
        <f t="shared" si="109"/>
        <v>0</v>
      </c>
      <c r="BHN32" s="28">
        <f t="shared" si="109"/>
        <v>0</v>
      </c>
      <c r="BHO32" s="28">
        <f t="shared" si="109"/>
        <v>0</v>
      </c>
      <c r="BHP32" s="28">
        <f t="shared" si="109"/>
        <v>0</v>
      </c>
      <c r="BHQ32" s="28">
        <f t="shared" si="109"/>
        <v>0</v>
      </c>
      <c r="BHR32" s="28">
        <f t="shared" si="109"/>
        <v>0</v>
      </c>
      <c r="BHS32" s="28">
        <f t="shared" si="109"/>
        <v>0</v>
      </c>
      <c r="BHT32" s="28">
        <f t="shared" si="109"/>
        <v>0</v>
      </c>
      <c r="BHU32" s="28">
        <f t="shared" si="109"/>
        <v>0</v>
      </c>
      <c r="BHV32" s="28">
        <f t="shared" si="109"/>
        <v>0</v>
      </c>
      <c r="BHW32" s="28">
        <f t="shared" si="109"/>
        <v>0</v>
      </c>
      <c r="BHX32" s="28">
        <f t="shared" si="109"/>
        <v>0</v>
      </c>
      <c r="BHY32" s="28">
        <f t="shared" si="109"/>
        <v>0</v>
      </c>
      <c r="BHZ32" s="28">
        <f t="shared" si="109"/>
        <v>0</v>
      </c>
      <c r="BIA32" s="28">
        <f t="shared" si="109"/>
        <v>0</v>
      </c>
      <c r="BIB32" s="28">
        <f t="shared" si="109"/>
        <v>0</v>
      </c>
      <c r="BIC32" s="28">
        <f t="shared" si="109"/>
        <v>0</v>
      </c>
      <c r="BID32" s="28">
        <f t="shared" si="109"/>
        <v>0</v>
      </c>
      <c r="BIE32" s="28">
        <f t="shared" si="109"/>
        <v>0</v>
      </c>
      <c r="BIF32" s="28">
        <f t="shared" si="109"/>
        <v>0</v>
      </c>
      <c r="BIG32" s="28">
        <f t="shared" si="109"/>
        <v>0</v>
      </c>
      <c r="BIH32" s="28">
        <f t="shared" si="109"/>
        <v>0</v>
      </c>
      <c r="BII32" s="28">
        <f t="shared" si="109"/>
        <v>0</v>
      </c>
      <c r="BIJ32" s="28">
        <f t="shared" si="109"/>
        <v>0</v>
      </c>
      <c r="BIK32" s="28">
        <f t="shared" si="109"/>
        <v>0</v>
      </c>
      <c r="BIL32" s="28">
        <f t="shared" si="109"/>
        <v>0</v>
      </c>
      <c r="BIM32" s="28">
        <f t="shared" si="109"/>
        <v>0</v>
      </c>
      <c r="BIN32" s="28">
        <f t="shared" si="109"/>
        <v>0</v>
      </c>
      <c r="BIO32" s="28">
        <f t="shared" si="109"/>
        <v>0</v>
      </c>
      <c r="BIP32" s="28">
        <f t="shared" si="109"/>
        <v>0</v>
      </c>
      <c r="BIQ32" s="28">
        <f t="shared" si="109"/>
        <v>0</v>
      </c>
      <c r="BIR32" s="28">
        <f t="shared" si="109"/>
        <v>0</v>
      </c>
      <c r="BIS32" s="28">
        <f t="shared" si="109"/>
        <v>0</v>
      </c>
      <c r="BIT32" s="28">
        <f t="shared" si="109"/>
        <v>0</v>
      </c>
      <c r="BIU32" s="28">
        <f t="shared" si="109"/>
        <v>0</v>
      </c>
      <c r="BIV32" s="28">
        <f t="shared" si="109"/>
        <v>0</v>
      </c>
      <c r="BIW32" s="28">
        <f t="shared" ref="BIW32:BLH32" si="110">IFERROR(BIW31/BIW$4,0)</f>
        <v>0</v>
      </c>
      <c r="BIX32" s="28">
        <f t="shared" si="110"/>
        <v>0</v>
      </c>
      <c r="BIY32" s="28">
        <f t="shared" si="110"/>
        <v>0</v>
      </c>
      <c r="BIZ32" s="28">
        <f t="shared" si="110"/>
        <v>0</v>
      </c>
      <c r="BJA32" s="28">
        <f t="shared" si="110"/>
        <v>0</v>
      </c>
      <c r="BJB32" s="28">
        <f t="shared" si="110"/>
        <v>0</v>
      </c>
      <c r="BJC32" s="28">
        <f t="shared" si="110"/>
        <v>0</v>
      </c>
      <c r="BJD32" s="28">
        <f t="shared" si="110"/>
        <v>0</v>
      </c>
      <c r="BJE32" s="28">
        <f t="shared" si="110"/>
        <v>0</v>
      </c>
      <c r="BJF32" s="28">
        <f t="shared" si="110"/>
        <v>0</v>
      </c>
      <c r="BJG32" s="28">
        <f t="shared" si="110"/>
        <v>0</v>
      </c>
      <c r="BJH32" s="28">
        <f t="shared" si="110"/>
        <v>0</v>
      </c>
      <c r="BJI32" s="28">
        <f t="shared" si="110"/>
        <v>0</v>
      </c>
      <c r="BJJ32" s="28">
        <f t="shared" si="110"/>
        <v>0</v>
      </c>
      <c r="BJK32" s="28">
        <f t="shared" si="110"/>
        <v>0</v>
      </c>
      <c r="BJL32" s="28">
        <f t="shared" si="110"/>
        <v>0</v>
      </c>
      <c r="BJM32" s="28">
        <f t="shared" si="110"/>
        <v>0</v>
      </c>
      <c r="BJN32" s="28">
        <f t="shared" si="110"/>
        <v>0</v>
      </c>
      <c r="BJO32" s="28">
        <f t="shared" si="110"/>
        <v>0</v>
      </c>
      <c r="BJP32" s="28">
        <f t="shared" si="110"/>
        <v>0</v>
      </c>
      <c r="BJQ32" s="28">
        <f t="shared" si="110"/>
        <v>0</v>
      </c>
      <c r="BJR32" s="28">
        <f t="shared" si="110"/>
        <v>0</v>
      </c>
      <c r="BJS32" s="28">
        <f t="shared" si="110"/>
        <v>0</v>
      </c>
      <c r="BJT32" s="28">
        <f t="shared" si="110"/>
        <v>0</v>
      </c>
      <c r="BJU32" s="28">
        <f t="shared" si="110"/>
        <v>0</v>
      </c>
      <c r="BJV32" s="28">
        <f t="shared" si="110"/>
        <v>0</v>
      </c>
      <c r="BJW32" s="28">
        <f t="shared" si="110"/>
        <v>0</v>
      </c>
      <c r="BJX32" s="28">
        <f t="shared" si="110"/>
        <v>0</v>
      </c>
      <c r="BJY32" s="28">
        <f t="shared" si="110"/>
        <v>0</v>
      </c>
      <c r="BJZ32" s="28">
        <f t="shared" si="110"/>
        <v>0</v>
      </c>
      <c r="BKA32" s="28">
        <f t="shared" si="110"/>
        <v>0</v>
      </c>
      <c r="BKB32" s="28">
        <f t="shared" si="110"/>
        <v>0</v>
      </c>
      <c r="BKC32" s="28">
        <f t="shared" si="110"/>
        <v>0</v>
      </c>
      <c r="BKD32" s="28">
        <f t="shared" si="110"/>
        <v>0</v>
      </c>
      <c r="BKE32" s="28">
        <f t="shared" si="110"/>
        <v>0</v>
      </c>
      <c r="BKF32" s="28">
        <f t="shared" si="110"/>
        <v>0</v>
      </c>
      <c r="BKG32" s="28">
        <f t="shared" si="110"/>
        <v>0</v>
      </c>
      <c r="BKH32" s="28">
        <f t="shared" si="110"/>
        <v>0</v>
      </c>
      <c r="BKI32" s="28">
        <f t="shared" si="110"/>
        <v>0</v>
      </c>
      <c r="BKJ32" s="28">
        <f t="shared" si="110"/>
        <v>0</v>
      </c>
      <c r="BKK32" s="28">
        <f t="shared" si="110"/>
        <v>0</v>
      </c>
      <c r="BKL32" s="28">
        <f t="shared" si="110"/>
        <v>0</v>
      </c>
      <c r="BKM32" s="28">
        <f t="shared" si="110"/>
        <v>0</v>
      </c>
      <c r="BKN32" s="28">
        <f t="shared" si="110"/>
        <v>0</v>
      </c>
      <c r="BKO32" s="28">
        <f t="shared" si="110"/>
        <v>0</v>
      </c>
      <c r="BKP32" s="28">
        <f t="shared" si="110"/>
        <v>0</v>
      </c>
      <c r="BKQ32" s="28">
        <f t="shared" si="110"/>
        <v>0</v>
      </c>
      <c r="BKR32" s="28">
        <f t="shared" si="110"/>
        <v>0</v>
      </c>
      <c r="BKS32" s="28">
        <f t="shared" si="110"/>
        <v>0</v>
      </c>
      <c r="BKT32" s="28">
        <f t="shared" si="110"/>
        <v>0</v>
      </c>
      <c r="BKU32" s="28">
        <f t="shared" si="110"/>
        <v>0</v>
      </c>
      <c r="BKV32" s="28">
        <f t="shared" si="110"/>
        <v>0</v>
      </c>
      <c r="BKW32" s="28">
        <f t="shared" si="110"/>
        <v>0</v>
      </c>
      <c r="BKX32" s="28">
        <f t="shared" si="110"/>
        <v>0</v>
      </c>
      <c r="BKY32" s="28">
        <f t="shared" si="110"/>
        <v>0</v>
      </c>
      <c r="BKZ32" s="28">
        <f t="shared" si="110"/>
        <v>0</v>
      </c>
      <c r="BLA32" s="28">
        <f t="shared" si="110"/>
        <v>0</v>
      </c>
      <c r="BLB32" s="28">
        <f t="shared" si="110"/>
        <v>0</v>
      </c>
      <c r="BLC32" s="28">
        <f t="shared" si="110"/>
        <v>0</v>
      </c>
      <c r="BLD32" s="28">
        <f t="shared" si="110"/>
        <v>0</v>
      </c>
      <c r="BLE32" s="28">
        <f t="shared" si="110"/>
        <v>0</v>
      </c>
      <c r="BLF32" s="28">
        <f t="shared" si="110"/>
        <v>0</v>
      </c>
      <c r="BLG32" s="28">
        <f t="shared" si="110"/>
        <v>0</v>
      </c>
      <c r="BLH32" s="28">
        <f t="shared" si="110"/>
        <v>0</v>
      </c>
      <c r="BLI32" s="28">
        <f t="shared" ref="BLI32:BNT32" si="111">IFERROR(BLI31/BLI$4,0)</f>
        <v>0</v>
      </c>
      <c r="BLJ32" s="28">
        <f t="shared" si="111"/>
        <v>0</v>
      </c>
      <c r="BLK32" s="28">
        <f t="shared" si="111"/>
        <v>0</v>
      </c>
      <c r="BLL32" s="28">
        <f t="shared" si="111"/>
        <v>0</v>
      </c>
      <c r="BLM32" s="28">
        <f t="shared" si="111"/>
        <v>0</v>
      </c>
      <c r="BLN32" s="28">
        <f t="shared" si="111"/>
        <v>0</v>
      </c>
      <c r="BLO32" s="28">
        <f t="shared" si="111"/>
        <v>0</v>
      </c>
      <c r="BLP32" s="28">
        <f t="shared" si="111"/>
        <v>0</v>
      </c>
      <c r="BLQ32" s="28">
        <f t="shared" si="111"/>
        <v>0</v>
      </c>
      <c r="BLR32" s="28">
        <f t="shared" si="111"/>
        <v>0</v>
      </c>
      <c r="BLS32" s="28">
        <f t="shared" si="111"/>
        <v>0</v>
      </c>
      <c r="BLT32" s="28">
        <f t="shared" si="111"/>
        <v>0</v>
      </c>
      <c r="BLU32" s="28">
        <f t="shared" si="111"/>
        <v>0</v>
      </c>
      <c r="BLV32" s="28">
        <f t="shared" si="111"/>
        <v>0</v>
      </c>
      <c r="BLW32" s="28">
        <f t="shared" si="111"/>
        <v>0</v>
      </c>
      <c r="BLX32" s="28">
        <f t="shared" si="111"/>
        <v>0</v>
      </c>
      <c r="BLY32" s="28">
        <f t="shared" si="111"/>
        <v>0</v>
      </c>
      <c r="BLZ32" s="28">
        <f t="shared" si="111"/>
        <v>0</v>
      </c>
      <c r="BMA32" s="28">
        <f t="shared" si="111"/>
        <v>0</v>
      </c>
      <c r="BMB32" s="28">
        <f t="shared" si="111"/>
        <v>0</v>
      </c>
      <c r="BMC32" s="28">
        <f t="shared" si="111"/>
        <v>0</v>
      </c>
      <c r="BMD32" s="28">
        <f t="shared" si="111"/>
        <v>0</v>
      </c>
      <c r="BME32" s="28">
        <f t="shared" si="111"/>
        <v>0</v>
      </c>
      <c r="BMF32" s="28">
        <f t="shared" si="111"/>
        <v>0</v>
      </c>
      <c r="BMG32" s="28">
        <f t="shared" si="111"/>
        <v>0</v>
      </c>
      <c r="BMH32" s="28">
        <f t="shared" si="111"/>
        <v>0</v>
      </c>
      <c r="BMI32" s="28">
        <f t="shared" si="111"/>
        <v>0</v>
      </c>
      <c r="BMJ32" s="28">
        <f t="shared" si="111"/>
        <v>0</v>
      </c>
      <c r="BMK32" s="28">
        <f t="shared" si="111"/>
        <v>0</v>
      </c>
      <c r="BML32" s="28">
        <f t="shared" si="111"/>
        <v>0</v>
      </c>
      <c r="BMM32" s="28">
        <f t="shared" si="111"/>
        <v>0</v>
      </c>
      <c r="BMN32" s="28">
        <f t="shared" si="111"/>
        <v>0</v>
      </c>
      <c r="BMO32" s="28">
        <f t="shared" si="111"/>
        <v>0</v>
      </c>
      <c r="BMP32" s="28">
        <f t="shared" si="111"/>
        <v>0</v>
      </c>
      <c r="BMQ32" s="28">
        <f t="shared" si="111"/>
        <v>0</v>
      </c>
      <c r="BMR32" s="28">
        <f t="shared" si="111"/>
        <v>0</v>
      </c>
      <c r="BMS32" s="28">
        <f t="shared" si="111"/>
        <v>0</v>
      </c>
      <c r="BMT32" s="28">
        <f t="shared" si="111"/>
        <v>0</v>
      </c>
      <c r="BMU32" s="28">
        <f t="shared" si="111"/>
        <v>0</v>
      </c>
      <c r="BMV32" s="28">
        <f t="shared" si="111"/>
        <v>0</v>
      </c>
      <c r="BMW32" s="28">
        <f t="shared" si="111"/>
        <v>0</v>
      </c>
      <c r="BMX32" s="28">
        <f t="shared" si="111"/>
        <v>0</v>
      </c>
      <c r="BMY32" s="28">
        <f t="shared" si="111"/>
        <v>0</v>
      </c>
      <c r="BMZ32" s="28">
        <f t="shared" si="111"/>
        <v>0</v>
      </c>
      <c r="BNA32" s="28">
        <f t="shared" si="111"/>
        <v>0</v>
      </c>
      <c r="BNB32" s="28">
        <f t="shared" si="111"/>
        <v>0</v>
      </c>
      <c r="BNC32" s="28">
        <f t="shared" si="111"/>
        <v>0</v>
      </c>
      <c r="BND32" s="28">
        <f t="shared" si="111"/>
        <v>0</v>
      </c>
      <c r="BNE32" s="28">
        <f t="shared" si="111"/>
        <v>0</v>
      </c>
      <c r="BNF32" s="28">
        <f t="shared" si="111"/>
        <v>0</v>
      </c>
      <c r="BNG32" s="28">
        <f t="shared" si="111"/>
        <v>0</v>
      </c>
      <c r="BNH32" s="28">
        <f t="shared" si="111"/>
        <v>0</v>
      </c>
      <c r="BNI32" s="28">
        <f t="shared" si="111"/>
        <v>0</v>
      </c>
      <c r="BNJ32" s="28">
        <f t="shared" si="111"/>
        <v>0</v>
      </c>
      <c r="BNK32" s="28">
        <f t="shared" si="111"/>
        <v>0</v>
      </c>
      <c r="BNL32" s="28">
        <f t="shared" si="111"/>
        <v>0</v>
      </c>
      <c r="BNM32" s="28">
        <f t="shared" si="111"/>
        <v>0</v>
      </c>
      <c r="BNN32" s="28">
        <f t="shared" si="111"/>
        <v>0</v>
      </c>
      <c r="BNO32" s="28">
        <f t="shared" si="111"/>
        <v>0</v>
      </c>
      <c r="BNP32" s="28">
        <f t="shared" si="111"/>
        <v>0</v>
      </c>
      <c r="BNQ32" s="28">
        <f t="shared" si="111"/>
        <v>0</v>
      </c>
      <c r="BNR32" s="28">
        <f t="shared" si="111"/>
        <v>0</v>
      </c>
      <c r="BNS32" s="28">
        <f t="shared" si="111"/>
        <v>0</v>
      </c>
      <c r="BNT32" s="28">
        <f t="shared" si="111"/>
        <v>0</v>
      </c>
      <c r="BNU32" s="28">
        <f t="shared" ref="BNU32:BQF32" si="112">IFERROR(BNU31/BNU$4,0)</f>
        <v>0</v>
      </c>
      <c r="BNV32" s="28">
        <f t="shared" si="112"/>
        <v>0</v>
      </c>
      <c r="BNW32" s="28">
        <f t="shared" si="112"/>
        <v>0</v>
      </c>
      <c r="BNX32" s="28">
        <f t="shared" si="112"/>
        <v>0</v>
      </c>
      <c r="BNY32" s="28">
        <f t="shared" si="112"/>
        <v>0</v>
      </c>
      <c r="BNZ32" s="28">
        <f t="shared" si="112"/>
        <v>0</v>
      </c>
      <c r="BOA32" s="28">
        <f t="shared" si="112"/>
        <v>0</v>
      </c>
      <c r="BOB32" s="28">
        <f t="shared" si="112"/>
        <v>0</v>
      </c>
      <c r="BOC32" s="28">
        <f t="shared" si="112"/>
        <v>0</v>
      </c>
      <c r="BOD32" s="28">
        <f t="shared" si="112"/>
        <v>0</v>
      </c>
      <c r="BOE32" s="28">
        <f t="shared" si="112"/>
        <v>0</v>
      </c>
      <c r="BOF32" s="28">
        <f t="shared" si="112"/>
        <v>0</v>
      </c>
      <c r="BOG32" s="28">
        <f t="shared" si="112"/>
        <v>0</v>
      </c>
      <c r="BOH32" s="28">
        <f t="shared" si="112"/>
        <v>0</v>
      </c>
      <c r="BOI32" s="28">
        <f t="shared" si="112"/>
        <v>0</v>
      </c>
      <c r="BOJ32" s="28">
        <f t="shared" si="112"/>
        <v>0</v>
      </c>
      <c r="BOK32" s="28">
        <f t="shared" si="112"/>
        <v>0</v>
      </c>
      <c r="BOL32" s="28">
        <f t="shared" si="112"/>
        <v>0</v>
      </c>
      <c r="BOM32" s="28">
        <f t="shared" si="112"/>
        <v>0</v>
      </c>
      <c r="BON32" s="28">
        <f t="shared" si="112"/>
        <v>0</v>
      </c>
      <c r="BOO32" s="28">
        <f t="shared" si="112"/>
        <v>0</v>
      </c>
      <c r="BOP32" s="28">
        <f t="shared" si="112"/>
        <v>0</v>
      </c>
      <c r="BOQ32" s="28">
        <f t="shared" si="112"/>
        <v>0</v>
      </c>
      <c r="BOR32" s="28">
        <f t="shared" si="112"/>
        <v>0</v>
      </c>
      <c r="BOS32" s="28">
        <f t="shared" si="112"/>
        <v>0</v>
      </c>
      <c r="BOT32" s="28">
        <f t="shared" si="112"/>
        <v>0</v>
      </c>
      <c r="BOU32" s="28">
        <f t="shared" si="112"/>
        <v>0</v>
      </c>
      <c r="BOV32" s="28">
        <f t="shared" si="112"/>
        <v>0</v>
      </c>
      <c r="BOW32" s="28">
        <f t="shared" si="112"/>
        <v>0</v>
      </c>
      <c r="BOX32" s="28">
        <f t="shared" si="112"/>
        <v>0</v>
      </c>
      <c r="BOY32" s="28">
        <f t="shared" si="112"/>
        <v>0</v>
      </c>
      <c r="BOZ32" s="28">
        <f t="shared" si="112"/>
        <v>0</v>
      </c>
      <c r="BPA32" s="28">
        <f t="shared" si="112"/>
        <v>0</v>
      </c>
      <c r="BPB32" s="28">
        <f t="shared" si="112"/>
        <v>0</v>
      </c>
      <c r="BPC32" s="28">
        <f t="shared" si="112"/>
        <v>0</v>
      </c>
      <c r="BPD32" s="28">
        <f t="shared" si="112"/>
        <v>0</v>
      </c>
      <c r="BPE32" s="28">
        <f t="shared" si="112"/>
        <v>0</v>
      </c>
      <c r="BPF32" s="28">
        <f t="shared" si="112"/>
        <v>0</v>
      </c>
      <c r="BPG32" s="28">
        <f t="shared" si="112"/>
        <v>0</v>
      </c>
      <c r="BPH32" s="28">
        <f t="shared" si="112"/>
        <v>0</v>
      </c>
      <c r="BPI32" s="28">
        <f t="shared" si="112"/>
        <v>0</v>
      </c>
      <c r="BPJ32" s="28">
        <f t="shared" si="112"/>
        <v>0</v>
      </c>
      <c r="BPK32" s="28">
        <f t="shared" si="112"/>
        <v>0</v>
      </c>
      <c r="BPL32" s="28">
        <f t="shared" si="112"/>
        <v>0</v>
      </c>
      <c r="BPM32" s="28">
        <f t="shared" si="112"/>
        <v>0</v>
      </c>
      <c r="BPN32" s="28">
        <f t="shared" si="112"/>
        <v>0</v>
      </c>
      <c r="BPO32" s="28">
        <f t="shared" si="112"/>
        <v>0</v>
      </c>
      <c r="BPP32" s="28">
        <f t="shared" si="112"/>
        <v>0</v>
      </c>
      <c r="BPQ32" s="28">
        <f t="shared" si="112"/>
        <v>0</v>
      </c>
      <c r="BPR32" s="28">
        <f t="shared" si="112"/>
        <v>0</v>
      </c>
      <c r="BPS32" s="28">
        <f t="shared" si="112"/>
        <v>0</v>
      </c>
      <c r="BPT32" s="28">
        <f t="shared" si="112"/>
        <v>0</v>
      </c>
      <c r="BPU32" s="28">
        <f t="shared" si="112"/>
        <v>0</v>
      </c>
      <c r="BPV32" s="28">
        <f t="shared" si="112"/>
        <v>0</v>
      </c>
      <c r="BPW32" s="28">
        <f t="shared" si="112"/>
        <v>0</v>
      </c>
      <c r="BPX32" s="28">
        <f t="shared" si="112"/>
        <v>0</v>
      </c>
      <c r="BPY32" s="28">
        <f t="shared" si="112"/>
        <v>0</v>
      </c>
      <c r="BPZ32" s="28">
        <f t="shared" si="112"/>
        <v>0</v>
      </c>
      <c r="BQA32" s="28">
        <f t="shared" si="112"/>
        <v>0</v>
      </c>
      <c r="BQB32" s="28">
        <f t="shared" si="112"/>
        <v>0</v>
      </c>
      <c r="BQC32" s="28">
        <f t="shared" si="112"/>
        <v>0</v>
      </c>
      <c r="BQD32" s="28">
        <f t="shared" si="112"/>
        <v>0</v>
      </c>
      <c r="BQE32" s="28">
        <f t="shared" si="112"/>
        <v>0</v>
      </c>
      <c r="BQF32" s="28">
        <f t="shared" si="112"/>
        <v>0</v>
      </c>
      <c r="BQG32" s="28">
        <f t="shared" ref="BQG32:BSR32" si="113">IFERROR(BQG31/BQG$4,0)</f>
        <v>0</v>
      </c>
      <c r="BQH32" s="28">
        <f t="shared" si="113"/>
        <v>0</v>
      </c>
      <c r="BQI32" s="28">
        <f t="shared" si="113"/>
        <v>0</v>
      </c>
      <c r="BQJ32" s="28">
        <f t="shared" si="113"/>
        <v>0</v>
      </c>
      <c r="BQK32" s="28">
        <f t="shared" si="113"/>
        <v>0</v>
      </c>
      <c r="BQL32" s="28">
        <f t="shared" si="113"/>
        <v>0</v>
      </c>
      <c r="BQM32" s="28">
        <f t="shared" si="113"/>
        <v>0</v>
      </c>
      <c r="BQN32" s="28">
        <f t="shared" si="113"/>
        <v>0</v>
      </c>
      <c r="BQO32" s="28">
        <f t="shared" si="113"/>
        <v>0</v>
      </c>
      <c r="BQP32" s="28">
        <f t="shared" si="113"/>
        <v>0</v>
      </c>
      <c r="BQQ32" s="28">
        <f t="shared" si="113"/>
        <v>0</v>
      </c>
      <c r="BQR32" s="28">
        <f t="shared" si="113"/>
        <v>0</v>
      </c>
      <c r="BQS32" s="28">
        <f t="shared" si="113"/>
        <v>0</v>
      </c>
      <c r="BQT32" s="28">
        <f t="shared" si="113"/>
        <v>0</v>
      </c>
      <c r="BQU32" s="28">
        <f t="shared" si="113"/>
        <v>0</v>
      </c>
      <c r="BQV32" s="28">
        <f t="shared" si="113"/>
        <v>0</v>
      </c>
      <c r="BQW32" s="28">
        <f t="shared" si="113"/>
        <v>0</v>
      </c>
      <c r="BQX32" s="28">
        <f t="shared" si="113"/>
        <v>0</v>
      </c>
      <c r="BQY32" s="28">
        <f t="shared" si="113"/>
        <v>0</v>
      </c>
      <c r="BQZ32" s="28">
        <f t="shared" si="113"/>
        <v>0</v>
      </c>
      <c r="BRA32" s="28">
        <f t="shared" si="113"/>
        <v>0</v>
      </c>
      <c r="BRB32" s="28">
        <f t="shared" si="113"/>
        <v>0</v>
      </c>
      <c r="BRC32" s="28">
        <f t="shared" si="113"/>
        <v>0</v>
      </c>
      <c r="BRD32" s="28">
        <f t="shared" si="113"/>
        <v>0</v>
      </c>
      <c r="BRE32" s="28">
        <f t="shared" si="113"/>
        <v>0</v>
      </c>
      <c r="BRF32" s="28">
        <f t="shared" si="113"/>
        <v>0</v>
      </c>
      <c r="BRG32" s="28">
        <f t="shared" si="113"/>
        <v>0</v>
      </c>
      <c r="BRH32" s="28">
        <f t="shared" si="113"/>
        <v>0</v>
      </c>
      <c r="BRI32" s="28">
        <f t="shared" si="113"/>
        <v>0</v>
      </c>
      <c r="BRJ32" s="28">
        <f t="shared" si="113"/>
        <v>0</v>
      </c>
      <c r="BRK32" s="28">
        <f t="shared" si="113"/>
        <v>0</v>
      </c>
      <c r="BRL32" s="28">
        <f t="shared" si="113"/>
        <v>0</v>
      </c>
      <c r="BRM32" s="28">
        <f t="shared" si="113"/>
        <v>0</v>
      </c>
      <c r="BRN32" s="28">
        <f t="shared" si="113"/>
        <v>0</v>
      </c>
      <c r="BRO32" s="28">
        <f t="shared" si="113"/>
        <v>0</v>
      </c>
      <c r="BRP32" s="28">
        <f t="shared" si="113"/>
        <v>0</v>
      </c>
      <c r="BRQ32" s="28">
        <f t="shared" si="113"/>
        <v>0</v>
      </c>
      <c r="BRR32" s="28">
        <f t="shared" si="113"/>
        <v>0</v>
      </c>
      <c r="BRS32" s="28">
        <f t="shared" si="113"/>
        <v>0</v>
      </c>
      <c r="BRT32" s="28">
        <f t="shared" si="113"/>
        <v>0</v>
      </c>
      <c r="BRU32" s="28">
        <f t="shared" si="113"/>
        <v>0</v>
      </c>
      <c r="BRV32" s="28">
        <f t="shared" si="113"/>
        <v>0</v>
      </c>
      <c r="BRW32" s="28">
        <f t="shared" si="113"/>
        <v>0</v>
      </c>
      <c r="BRX32" s="28">
        <f t="shared" si="113"/>
        <v>0</v>
      </c>
      <c r="BRY32" s="28">
        <f t="shared" si="113"/>
        <v>0</v>
      </c>
      <c r="BRZ32" s="28">
        <f t="shared" si="113"/>
        <v>0</v>
      </c>
      <c r="BSA32" s="28">
        <f t="shared" si="113"/>
        <v>0</v>
      </c>
      <c r="BSB32" s="28">
        <f t="shared" si="113"/>
        <v>0</v>
      </c>
      <c r="BSC32" s="28">
        <f t="shared" si="113"/>
        <v>0</v>
      </c>
      <c r="BSD32" s="28">
        <f t="shared" si="113"/>
        <v>0</v>
      </c>
      <c r="BSE32" s="28">
        <f t="shared" si="113"/>
        <v>0</v>
      </c>
      <c r="BSF32" s="28">
        <f t="shared" si="113"/>
        <v>0</v>
      </c>
      <c r="BSG32" s="28">
        <f t="shared" si="113"/>
        <v>0</v>
      </c>
      <c r="BSH32" s="28">
        <f t="shared" si="113"/>
        <v>0</v>
      </c>
      <c r="BSI32" s="28">
        <f t="shared" si="113"/>
        <v>0</v>
      </c>
      <c r="BSJ32" s="28">
        <f t="shared" si="113"/>
        <v>0</v>
      </c>
      <c r="BSK32" s="28">
        <f t="shared" si="113"/>
        <v>0</v>
      </c>
      <c r="BSL32" s="28">
        <f t="shared" si="113"/>
        <v>0</v>
      </c>
      <c r="BSM32" s="28">
        <f t="shared" si="113"/>
        <v>0</v>
      </c>
      <c r="BSN32" s="28">
        <f t="shared" si="113"/>
        <v>0</v>
      </c>
      <c r="BSO32" s="28">
        <f t="shared" si="113"/>
        <v>0</v>
      </c>
      <c r="BSP32" s="28">
        <f t="shared" si="113"/>
        <v>0</v>
      </c>
      <c r="BSQ32" s="28">
        <f t="shared" si="113"/>
        <v>0</v>
      </c>
      <c r="BSR32" s="28">
        <f t="shared" si="113"/>
        <v>0</v>
      </c>
      <c r="BSS32" s="28">
        <f t="shared" ref="BSS32:BVD32" si="114">IFERROR(BSS31/BSS$4,0)</f>
        <v>0</v>
      </c>
      <c r="BST32" s="28">
        <f t="shared" si="114"/>
        <v>0</v>
      </c>
      <c r="BSU32" s="28">
        <f t="shared" si="114"/>
        <v>0</v>
      </c>
      <c r="BSV32" s="28">
        <f t="shared" si="114"/>
        <v>0</v>
      </c>
      <c r="BSW32" s="28">
        <f t="shared" si="114"/>
        <v>0</v>
      </c>
      <c r="BSX32" s="28">
        <f t="shared" si="114"/>
        <v>0</v>
      </c>
      <c r="BSY32" s="28">
        <f t="shared" si="114"/>
        <v>0</v>
      </c>
      <c r="BSZ32" s="28">
        <f t="shared" si="114"/>
        <v>0</v>
      </c>
      <c r="BTA32" s="28">
        <f t="shared" si="114"/>
        <v>0</v>
      </c>
      <c r="BTB32" s="28">
        <f t="shared" si="114"/>
        <v>0</v>
      </c>
      <c r="BTC32" s="28">
        <f t="shared" si="114"/>
        <v>0</v>
      </c>
      <c r="BTD32" s="28">
        <f t="shared" si="114"/>
        <v>0</v>
      </c>
      <c r="BTE32" s="28">
        <f t="shared" si="114"/>
        <v>0</v>
      </c>
      <c r="BTF32" s="28">
        <f t="shared" si="114"/>
        <v>0</v>
      </c>
      <c r="BTG32" s="28">
        <f t="shared" si="114"/>
        <v>0</v>
      </c>
      <c r="BTH32" s="28">
        <f t="shared" si="114"/>
        <v>0</v>
      </c>
      <c r="BTI32" s="28">
        <f t="shared" si="114"/>
        <v>0</v>
      </c>
      <c r="BTJ32" s="28">
        <f t="shared" si="114"/>
        <v>0</v>
      </c>
      <c r="BTK32" s="28">
        <f t="shared" si="114"/>
        <v>0</v>
      </c>
      <c r="BTL32" s="28">
        <f t="shared" si="114"/>
        <v>0</v>
      </c>
      <c r="BTM32" s="28">
        <f t="shared" si="114"/>
        <v>0</v>
      </c>
      <c r="BTN32" s="28">
        <f t="shared" si="114"/>
        <v>0</v>
      </c>
      <c r="BTO32" s="28">
        <f t="shared" si="114"/>
        <v>0</v>
      </c>
      <c r="BTP32" s="28">
        <f t="shared" si="114"/>
        <v>0</v>
      </c>
      <c r="BTQ32" s="28">
        <f t="shared" si="114"/>
        <v>0</v>
      </c>
      <c r="BTR32" s="28">
        <f t="shared" si="114"/>
        <v>0</v>
      </c>
      <c r="BTS32" s="28">
        <f t="shared" si="114"/>
        <v>0</v>
      </c>
      <c r="BTT32" s="28">
        <f t="shared" si="114"/>
        <v>0</v>
      </c>
      <c r="BTU32" s="28">
        <f t="shared" si="114"/>
        <v>0</v>
      </c>
      <c r="BTV32" s="28">
        <f t="shared" si="114"/>
        <v>0</v>
      </c>
      <c r="BTW32" s="28">
        <f t="shared" si="114"/>
        <v>0</v>
      </c>
      <c r="BTX32" s="28">
        <f t="shared" si="114"/>
        <v>0</v>
      </c>
      <c r="BTY32" s="28">
        <f t="shared" si="114"/>
        <v>0</v>
      </c>
      <c r="BTZ32" s="28">
        <f t="shared" si="114"/>
        <v>0</v>
      </c>
      <c r="BUA32" s="28">
        <f t="shared" si="114"/>
        <v>0</v>
      </c>
      <c r="BUB32" s="28">
        <f t="shared" si="114"/>
        <v>0</v>
      </c>
      <c r="BUC32" s="28">
        <f t="shared" si="114"/>
        <v>0</v>
      </c>
      <c r="BUD32" s="28">
        <f t="shared" si="114"/>
        <v>0</v>
      </c>
      <c r="BUE32" s="28">
        <f t="shared" si="114"/>
        <v>0</v>
      </c>
      <c r="BUF32" s="28">
        <f t="shared" si="114"/>
        <v>0</v>
      </c>
      <c r="BUG32" s="28">
        <f t="shared" si="114"/>
        <v>0</v>
      </c>
      <c r="BUH32" s="28">
        <f t="shared" si="114"/>
        <v>0</v>
      </c>
      <c r="BUI32" s="28">
        <f t="shared" si="114"/>
        <v>0</v>
      </c>
      <c r="BUJ32" s="28">
        <f t="shared" si="114"/>
        <v>0</v>
      </c>
      <c r="BUK32" s="28">
        <f t="shared" si="114"/>
        <v>0</v>
      </c>
      <c r="BUL32" s="28">
        <f t="shared" si="114"/>
        <v>0</v>
      </c>
      <c r="BUM32" s="28">
        <f t="shared" si="114"/>
        <v>0</v>
      </c>
      <c r="BUN32" s="28">
        <f t="shared" si="114"/>
        <v>0</v>
      </c>
      <c r="BUO32" s="28">
        <f t="shared" si="114"/>
        <v>0</v>
      </c>
      <c r="BUP32" s="28">
        <f t="shared" si="114"/>
        <v>0</v>
      </c>
      <c r="BUQ32" s="28">
        <f t="shared" si="114"/>
        <v>0</v>
      </c>
      <c r="BUR32" s="28">
        <f t="shared" si="114"/>
        <v>0</v>
      </c>
      <c r="BUS32" s="28">
        <f t="shared" si="114"/>
        <v>0</v>
      </c>
      <c r="BUT32" s="28">
        <f t="shared" si="114"/>
        <v>0</v>
      </c>
      <c r="BUU32" s="28">
        <f t="shared" si="114"/>
        <v>0</v>
      </c>
      <c r="BUV32" s="28">
        <f t="shared" si="114"/>
        <v>0</v>
      </c>
      <c r="BUW32" s="28">
        <f t="shared" si="114"/>
        <v>0</v>
      </c>
      <c r="BUX32" s="28">
        <f t="shared" si="114"/>
        <v>0</v>
      </c>
      <c r="BUY32" s="28">
        <f t="shared" si="114"/>
        <v>0</v>
      </c>
      <c r="BUZ32" s="28">
        <f t="shared" si="114"/>
        <v>0</v>
      </c>
      <c r="BVA32" s="28">
        <f t="shared" si="114"/>
        <v>0</v>
      </c>
      <c r="BVB32" s="28">
        <f t="shared" si="114"/>
        <v>0</v>
      </c>
      <c r="BVC32" s="28">
        <f t="shared" si="114"/>
        <v>0</v>
      </c>
      <c r="BVD32" s="28">
        <f t="shared" si="114"/>
        <v>0</v>
      </c>
      <c r="BVE32" s="28">
        <f t="shared" ref="BVE32:BXP32" si="115">IFERROR(BVE31/BVE$4,0)</f>
        <v>0</v>
      </c>
      <c r="BVF32" s="28">
        <f t="shared" si="115"/>
        <v>0</v>
      </c>
      <c r="BVG32" s="28">
        <f t="shared" si="115"/>
        <v>0</v>
      </c>
      <c r="BVH32" s="28">
        <f t="shared" si="115"/>
        <v>0</v>
      </c>
      <c r="BVI32" s="28">
        <f t="shared" si="115"/>
        <v>0</v>
      </c>
      <c r="BVJ32" s="28">
        <f t="shared" si="115"/>
        <v>0</v>
      </c>
      <c r="BVK32" s="28">
        <f t="shared" si="115"/>
        <v>0</v>
      </c>
      <c r="BVL32" s="28">
        <f t="shared" si="115"/>
        <v>0</v>
      </c>
      <c r="BVM32" s="28">
        <f t="shared" si="115"/>
        <v>0</v>
      </c>
      <c r="BVN32" s="28">
        <f t="shared" si="115"/>
        <v>0</v>
      </c>
      <c r="BVO32" s="28">
        <f t="shared" si="115"/>
        <v>0</v>
      </c>
      <c r="BVP32" s="28">
        <f t="shared" si="115"/>
        <v>0</v>
      </c>
      <c r="BVQ32" s="28">
        <f t="shared" si="115"/>
        <v>0</v>
      </c>
      <c r="BVR32" s="28">
        <f t="shared" si="115"/>
        <v>0</v>
      </c>
      <c r="BVS32" s="28">
        <f t="shared" si="115"/>
        <v>0</v>
      </c>
      <c r="BVT32" s="28">
        <f t="shared" si="115"/>
        <v>0</v>
      </c>
      <c r="BVU32" s="28">
        <f t="shared" si="115"/>
        <v>0</v>
      </c>
      <c r="BVV32" s="28">
        <f t="shared" si="115"/>
        <v>0</v>
      </c>
      <c r="BVW32" s="28">
        <f t="shared" si="115"/>
        <v>0</v>
      </c>
      <c r="BVX32" s="28">
        <f t="shared" si="115"/>
        <v>0</v>
      </c>
      <c r="BVY32" s="28">
        <f t="shared" si="115"/>
        <v>0</v>
      </c>
      <c r="BVZ32" s="28">
        <f t="shared" si="115"/>
        <v>0</v>
      </c>
      <c r="BWA32" s="28">
        <f t="shared" si="115"/>
        <v>0</v>
      </c>
      <c r="BWB32" s="28">
        <f t="shared" si="115"/>
        <v>0</v>
      </c>
      <c r="BWC32" s="28">
        <f t="shared" si="115"/>
        <v>0</v>
      </c>
      <c r="BWD32" s="28">
        <f t="shared" si="115"/>
        <v>0</v>
      </c>
      <c r="BWE32" s="28">
        <f t="shared" si="115"/>
        <v>0</v>
      </c>
      <c r="BWF32" s="28">
        <f t="shared" si="115"/>
        <v>0</v>
      </c>
      <c r="BWG32" s="28">
        <f t="shared" si="115"/>
        <v>0</v>
      </c>
      <c r="BWH32" s="28">
        <f t="shared" si="115"/>
        <v>0</v>
      </c>
      <c r="BWI32" s="28">
        <f t="shared" si="115"/>
        <v>0</v>
      </c>
      <c r="BWJ32" s="28">
        <f t="shared" si="115"/>
        <v>0</v>
      </c>
      <c r="BWK32" s="28">
        <f t="shared" si="115"/>
        <v>0</v>
      </c>
      <c r="BWL32" s="28">
        <f t="shared" si="115"/>
        <v>0</v>
      </c>
      <c r="BWM32" s="28">
        <f t="shared" si="115"/>
        <v>0</v>
      </c>
      <c r="BWN32" s="28">
        <f t="shared" si="115"/>
        <v>0</v>
      </c>
      <c r="BWO32" s="28">
        <f t="shared" si="115"/>
        <v>0</v>
      </c>
      <c r="BWP32" s="28">
        <f t="shared" si="115"/>
        <v>0</v>
      </c>
      <c r="BWQ32" s="28">
        <f t="shared" si="115"/>
        <v>0</v>
      </c>
      <c r="BWR32" s="28">
        <f t="shared" si="115"/>
        <v>0</v>
      </c>
      <c r="BWS32" s="28">
        <f t="shared" si="115"/>
        <v>0</v>
      </c>
      <c r="BWT32" s="28">
        <f t="shared" si="115"/>
        <v>0</v>
      </c>
      <c r="BWU32" s="28">
        <f t="shared" si="115"/>
        <v>0</v>
      </c>
      <c r="BWV32" s="28">
        <f t="shared" si="115"/>
        <v>0</v>
      </c>
      <c r="BWW32" s="28">
        <f t="shared" si="115"/>
        <v>0</v>
      </c>
      <c r="BWX32" s="28">
        <f t="shared" si="115"/>
        <v>0</v>
      </c>
      <c r="BWY32" s="28">
        <f t="shared" si="115"/>
        <v>0</v>
      </c>
      <c r="BWZ32" s="28">
        <f t="shared" si="115"/>
        <v>0</v>
      </c>
      <c r="BXA32" s="28">
        <f t="shared" si="115"/>
        <v>0</v>
      </c>
      <c r="BXB32" s="28">
        <f t="shared" si="115"/>
        <v>0</v>
      </c>
      <c r="BXC32" s="28">
        <f t="shared" si="115"/>
        <v>0</v>
      </c>
      <c r="BXD32" s="28">
        <f t="shared" si="115"/>
        <v>0</v>
      </c>
      <c r="BXE32" s="28">
        <f t="shared" si="115"/>
        <v>0</v>
      </c>
      <c r="BXF32" s="28">
        <f t="shared" si="115"/>
        <v>0</v>
      </c>
      <c r="BXG32" s="28">
        <f t="shared" si="115"/>
        <v>0</v>
      </c>
      <c r="BXH32" s="28">
        <f t="shared" si="115"/>
        <v>0</v>
      </c>
      <c r="BXI32" s="28">
        <f t="shared" si="115"/>
        <v>0</v>
      </c>
      <c r="BXJ32" s="28">
        <f t="shared" si="115"/>
        <v>0</v>
      </c>
      <c r="BXK32" s="28">
        <f t="shared" si="115"/>
        <v>0</v>
      </c>
      <c r="BXL32" s="28">
        <f t="shared" si="115"/>
        <v>0</v>
      </c>
      <c r="BXM32" s="28">
        <f t="shared" si="115"/>
        <v>0</v>
      </c>
      <c r="BXN32" s="28">
        <f t="shared" si="115"/>
        <v>0</v>
      </c>
      <c r="BXO32" s="28">
        <f t="shared" si="115"/>
        <v>0</v>
      </c>
      <c r="BXP32" s="28">
        <f t="shared" si="115"/>
        <v>0</v>
      </c>
      <c r="BXQ32" s="28">
        <f t="shared" ref="BXQ32:CAB32" si="116">IFERROR(BXQ31/BXQ$4,0)</f>
        <v>0</v>
      </c>
      <c r="BXR32" s="28">
        <f t="shared" si="116"/>
        <v>0</v>
      </c>
      <c r="BXS32" s="28">
        <f t="shared" si="116"/>
        <v>0</v>
      </c>
      <c r="BXT32" s="28">
        <f t="shared" si="116"/>
        <v>0</v>
      </c>
      <c r="BXU32" s="28">
        <f t="shared" si="116"/>
        <v>0</v>
      </c>
      <c r="BXV32" s="28">
        <f t="shared" si="116"/>
        <v>0</v>
      </c>
      <c r="BXW32" s="28">
        <f t="shared" si="116"/>
        <v>0</v>
      </c>
      <c r="BXX32" s="28">
        <f t="shared" si="116"/>
        <v>0</v>
      </c>
      <c r="BXY32" s="28">
        <f t="shared" si="116"/>
        <v>0</v>
      </c>
      <c r="BXZ32" s="28">
        <f t="shared" si="116"/>
        <v>0</v>
      </c>
      <c r="BYA32" s="28">
        <f t="shared" si="116"/>
        <v>0</v>
      </c>
      <c r="BYB32" s="28">
        <f t="shared" si="116"/>
        <v>0</v>
      </c>
      <c r="BYC32" s="28">
        <f t="shared" si="116"/>
        <v>0</v>
      </c>
      <c r="BYD32" s="28">
        <f t="shared" si="116"/>
        <v>0</v>
      </c>
      <c r="BYE32" s="28">
        <f t="shared" si="116"/>
        <v>0</v>
      </c>
      <c r="BYF32" s="28">
        <f t="shared" si="116"/>
        <v>0</v>
      </c>
      <c r="BYG32" s="28">
        <f t="shared" si="116"/>
        <v>0</v>
      </c>
      <c r="BYH32" s="28">
        <f t="shared" si="116"/>
        <v>0</v>
      </c>
      <c r="BYI32" s="28">
        <f t="shared" si="116"/>
        <v>0</v>
      </c>
      <c r="BYJ32" s="28">
        <f t="shared" si="116"/>
        <v>0</v>
      </c>
      <c r="BYK32" s="28">
        <f t="shared" si="116"/>
        <v>0</v>
      </c>
      <c r="BYL32" s="28">
        <f t="shared" si="116"/>
        <v>0</v>
      </c>
      <c r="BYM32" s="28">
        <f t="shared" si="116"/>
        <v>0</v>
      </c>
      <c r="BYN32" s="28">
        <f t="shared" si="116"/>
        <v>0</v>
      </c>
      <c r="BYO32" s="28">
        <f t="shared" si="116"/>
        <v>0</v>
      </c>
      <c r="BYP32" s="28">
        <f t="shared" si="116"/>
        <v>0</v>
      </c>
      <c r="BYQ32" s="28">
        <f t="shared" si="116"/>
        <v>0</v>
      </c>
      <c r="BYR32" s="28">
        <f t="shared" si="116"/>
        <v>0</v>
      </c>
      <c r="BYS32" s="28">
        <f t="shared" si="116"/>
        <v>0</v>
      </c>
      <c r="BYT32" s="28">
        <f t="shared" si="116"/>
        <v>0</v>
      </c>
      <c r="BYU32" s="28">
        <f t="shared" si="116"/>
        <v>0</v>
      </c>
      <c r="BYV32" s="28">
        <f t="shared" si="116"/>
        <v>0</v>
      </c>
      <c r="BYW32" s="28">
        <f t="shared" si="116"/>
        <v>0</v>
      </c>
      <c r="BYX32" s="28">
        <f t="shared" si="116"/>
        <v>0</v>
      </c>
      <c r="BYY32" s="28">
        <f t="shared" si="116"/>
        <v>0</v>
      </c>
      <c r="BYZ32" s="28">
        <f t="shared" si="116"/>
        <v>0</v>
      </c>
      <c r="BZA32" s="28">
        <f t="shared" si="116"/>
        <v>0</v>
      </c>
      <c r="BZB32" s="28">
        <f t="shared" si="116"/>
        <v>0</v>
      </c>
      <c r="BZC32" s="28">
        <f t="shared" si="116"/>
        <v>0</v>
      </c>
      <c r="BZD32" s="28">
        <f t="shared" si="116"/>
        <v>0</v>
      </c>
      <c r="BZE32" s="28">
        <f t="shared" si="116"/>
        <v>0</v>
      </c>
      <c r="BZF32" s="28">
        <f t="shared" si="116"/>
        <v>0</v>
      </c>
      <c r="BZG32" s="28">
        <f t="shared" si="116"/>
        <v>0</v>
      </c>
      <c r="BZH32" s="28">
        <f t="shared" si="116"/>
        <v>0</v>
      </c>
      <c r="BZI32" s="28">
        <f t="shared" si="116"/>
        <v>0</v>
      </c>
      <c r="BZJ32" s="28">
        <f t="shared" si="116"/>
        <v>0</v>
      </c>
      <c r="BZK32" s="28">
        <f t="shared" si="116"/>
        <v>0</v>
      </c>
      <c r="BZL32" s="28">
        <f t="shared" si="116"/>
        <v>0</v>
      </c>
      <c r="BZM32" s="28">
        <f t="shared" si="116"/>
        <v>0</v>
      </c>
      <c r="BZN32" s="28">
        <f t="shared" si="116"/>
        <v>0</v>
      </c>
      <c r="BZO32" s="28">
        <f t="shared" si="116"/>
        <v>0</v>
      </c>
      <c r="BZP32" s="28">
        <f t="shared" si="116"/>
        <v>0</v>
      </c>
      <c r="BZQ32" s="28">
        <f t="shared" si="116"/>
        <v>0</v>
      </c>
      <c r="BZR32" s="28">
        <f t="shared" si="116"/>
        <v>0</v>
      </c>
      <c r="BZS32" s="28">
        <f t="shared" si="116"/>
        <v>0</v>
      </c>
      <c r="BZT32" s="28">
        <f t="shared" si="116"/>
        <v>0</v>
      </c>
      <c r="BZU32" s="28">
        <f t="shared" si="116"/>
        <v>0</v>
      </c>
      <c r="BZV32" s="28">
        <f t="shared" si="116"/>
        <v>0</v>
      </c>
      <c r="BZW32" s="28">
        <f t="shared" si="116"/>
        <v>0</v>
      </c>
      <c r="BZX32" s="28">
        <f t="shared" si="116"/>
        <v>0</v>
      </c>
      <c r="BZY32" s="28">
        <f t="shared" si="116"/>
        <v>0</v>
      </c>
      <c r="BZZ32" s="28">
        <f t="shared" si="116"/>
        <v>0</v>
      </c>
      <c r="CAA32" s="28">
        <f t="shared" si="116"/>
        <v>0</v>
      </c>
      <c r="CAB32" s="28">
        <f t="shared" si="116"/>
        <v>0</v>
      </c>
      <c r="CAC32" s="28">
        <f t="shared" ref="CAC32:CCN32" si="117">IFERROR(CAC31/CAC$4,0)</f>
        <v>0</v>
      </c>
      <c r="CAD32" s="28">
        <f t="shared" si="117"/>
        <v>0</v>
      </c>
      <c r="CAE32" s="28">
        <f t="shared" si="117"/>
        <v>0</v>
      </c>
      <c r="CAF32" s="28">
        <f t="shared" si="117"/>
        <v>0</v>
      </c>
      <c r="CAG32" s="28">
        <f t="shared" si="117"/>
        <v>0</v>
      </c>
      <c r="CAH32" s="28">
        <f t="shared" si="117"/>
        <v>0</v>
      </c>
      <c r="CAI32" s="28">
        <f t="shared" si="117"/>
        <v>0</v>
      </c>
      <c r="CAJ32" s="28">
        <f t="shared" si="117"/>
        <v>0</v>
      </c>
      <c r="CAK32" s="28">
        <f t="shared" si="117"/>
        <v>0</v>
      </c>
      <c r="CAL32" s="28">
        <f t="shared" si="117"/>
        <v>0</v>
      </c>
      <c r="CAM32" s="28">
        <f t="shared" si="117"/>
        <v>0</v>
      </c>
      <c r="CAN32" s="28">
        <f t="shared" si="117"/>
        <v>0</v>
      </c>
      <c r="CAO32" s="28">
        <f t="shared" si="117"/>
        <v>0</v>
      </c>
      <c r="CAP32" s="28">
        <f t="shared" si="117"/>
        <v>0</v>
      </c>
      <c r="CAQ32" s="28">
        <f t="shared" si="117"/>
        <v>0</v>
      </c>
      <c r="CAR32" s="28">
        <f t="shared" si="117"/>
        <v>0</v>
      </c>
      <c r="CAS32" s="28">
        <f t="shared" si="117"/>
        <v>0</v>
      </c>
      <c r="CAT32" s="28">
        <f t="shared" si="117"/>
        <v>0</v>
      </c>
      <c r="CAU32" s="28">
        <f t="shared" si="117"/>
        <v>0</v>
      </c>
      <c r="CAV32" s="28">
        <f t="shared" si="117"/>
        <v>0</v>
      </c>
      <c r="CAW32" s="28">
        <f t="shared" si="117"/>
        <v>0</v>
      </c>
      <c r="CAX32" s="28">
        <f t="shared" si="117"/>
        <v>0</v>
      </c>
      <c r="CAY32" s="28">
        <f t="shared" si="117"/>
        <v>0</v>
      </c>
      <c r="CAZ32" s="28">
        <f t="shared" si="117"/>
        <v>0</v>
      </c>
      <c r="CBA32" s="28">
        <f t="shared" si="117"/>
        <v>0</v>
      </c>
      <c r="CBB32" s="28">
        <f t="shared" si="117"/>
        <v>0</v>
      </c>
      <c r="CBC32" s="28">
        <f t="shared" si="117"/>
        <v>0</v>
      </c>
      <c r="CBD32" s="28">
        <f t="shared" si="117"/>
        <v>0</v>
      </c>
      <c r="CBE32" s="28">
        <f t="shared" si="117"/>
        <v>0</v>
      </c>
      <c r="CBF32" s="28">
        <f t="shared" si="117"/>
        <v>0</v>
      </c>
      <c r="CBG32" s="28">
        <f t="shared" si="117"/>
        <v>0</v>
      </c>
      <c r="CBH32" s="28">
        <f t="shared" si="117"/>
        <v>0</v>
      </c>
      <c r="CBI32" s="28">
        <f t="shared" si="117"/>
        <v>0</v>
      </c>
      <c r="CBJ32" s="28">
        <f t="shared" si="117"/>
        <v>0</v>
      </c>
      <c r="CBK32" s="28">
        <f t="shared" si="117"/>
        <v>0</v>
      </c>
      <c r="CBL32" s="28">
        <f t="shared" si="117"/>
        <v>0</v>
      </c>
      <c r="CBM32" s="28">
        <f t="shared" si="117"/>
        <v>0</v>
      </c>
      <c r="CBN32" s="28">
        <f t="shared" si="117"/>
        <v>0</v>
      </c>
      <c r="CBO32" s="28">
        <f t="shared" si="117"/>
        <v>0</v>
      </c>
      <c r="CBP32" s="28">
        <f t="shared" si="117"/>
        <v>0</v>
      </c>
      <c r="CBQ32" s="28">
        <f t="shared" si="117"/>
        <v>0</v>
      </c>
      <c r="CBR32" s="28">
        <f t="shared" si="117"/>
        <v>0</v>
      </c>
      <c r="CBS32" s="28">
        <f t="shared" si="117"/>
        <v>0</v>
      </c>
      <c r="CBT32" s="28">
        <f t="shared" si="117"/>
        <v>0</v>
      </c>
      <c r="CBU32" s="28">
        <f t="shared" si="117"/>
        <v>0</v>
      </c>
      <c r="CBV32" s="28">
        <f t="shared" si="117"/>
        <v>0</v>
      </c>
      <c r="CBW32" s="28">
        <f t="shared" si="117"/>
        <v>0</v>
      </c>
      <c r="CBX32" s="28">
        <f t="shared" si="117"/>
        <v>0</v>
      </c>
      <c r="CBY32" s="28">
        <f t="shared" si="117"/>
        <v>0</v>
      </c>
      <c r="CBZ32" s="28">
        <f t="shared" si="117"/>
        <v>0</v>
      </c>
      <c r="CCA32" s="28">
        <f t="shared" si="117"/>
        <v>0</v>
      </c>
      <c r="CCB32" s="28">
        <f t="shared" si="117"/>
        <v>0</v>
      </c>
      <c r="CCC32" s="28">
        <f t="shared" si="117"/>
        <v>0</v>
      </c>
      <c r="CCD32" s="28">
        <f t="shared" si="117"/>
        <v>0</v>
      </c>
      <c r="CCE32" s="28">
        <f t="shared" si="117"/>
        <v>0</v>
      </c>
      <c r="CCF32" s="28">
        <f t="shared" si="117"/>
        <v>0</v>
      </c>
      <c r="CCG32" s="28">
        <f t="shared" si="117"/>
        <v>0</v>
      </c>
      <c r="CCH32" s="28">
        <f t="shared" si="117"/>
        <v>0</v>
      </c>
      <c r="CCI32" s="28">
        <f t="shared" si="117"/>
        <v>0</v>
      </c>
      <c r="CCJ32" s="28">
        <f t="shared" si="117"/>
        <v>0</v>
      </c>
      <c r="CCK32" s="28">
        <f t="shared" si="117"/>
        <v>0</v>
      </c>
      <c r="CCL32" s="28">
        <f t="shared" si="117"/>
        <v>0</v>
      </c>
      <c r="CCM32" s="28">
        <f t="shared" si="117"/>
        <v>0</v>
      </c>
      <c r="CCN32" s="28">
        <f t="shared" si="117"/>
        <v>0</v>
      </c>
      <c r="CCO32" s="28">
        <f t="shared" ref="CCO32:CEZ32" si="118">IFERROR(CCO31/CCO$4,0)</f>
        <v>0</v>
      </c>
      <c r="CCP32" s="28">
        <f t="shared" si="118"/>
        <v>0</v>
      </c>
      <c r="CCQ32" s="28">
        <f t="shared" si="118"/>
        <v>0</v>
      </c>
      <c r="CCR32" s="28">
        <f t="shared" si="118"/>
        <v>0</v>
      </c>
      <c r="CCS32" s="28">
        <f t="shared" si="118"/>
        <v>0</v>
      </c>
      <c r="CCT32" s="28">
        <f t="shared" si="118"/>
        <v>0</v>
      </c>
      <c r="CCU32" s="28">
        <f t="shared" si="118"/>
        <v>0</v>
      </c>
      <c r="CCV32" s="28">
        <f t="shared" si="118"/>
        <v>0</v>
      </c>
      <c r="CCW32" s="28">
        <f t="shared" si="118"/>
        <v>0</v>
      </c>
      <c r="CCX32" s="28">
        <f t="shared" si="118"/>
        <v>0</v>
      </c>
      <c r="CCY32" s="28">
        <f t="shared" si="118"/>
        <v>0</v>
      </c>
      <c r="CCZ32" s="28">
        <f t="shared" si="118"/>
        <v>0</v>
      </c>
      <c r="CDA32" s="28">
        <f t="shared" si="118"/>
        <v>0</v>
      </c>
      <c r="CDB32" s="28">
        <f t="shared" si="118"/>
        <v>0</v>
      </c>
      <c r="CDC32" s="28">
        <f t="shared" si="118"/>
        <v>0</v>
      </c>
      <c r="CDD32" s="28">
        <f t="shared" si="118"/>
        <v>0</v>
      </c>
      <c r="CDE32" s="28">
        <f t="shared" si="118"/>
        <v>0</v>
      </c>
      <c r="CDF32" s="28">
        <f t="shared" si="118"/>
        <v>0</v>
      </c>
      <c r="CDG32" s="28">
        <f t="shared" si="118"/>
        <v>0</v>
      </c>
      <c r="CDH32" s="28">
        <f t="shared" si="118"/>
        <v>0</v>
      </c>
      <c r="CDI32" s="28">
        <f t="shared" si="118"/>
        <v>0</v>
      </c>
      <c r="CDJ32" s="28">
        <f t="shared" si="118"/>
        <v>0</v>
      </c>
      <c r="CDK32" s="28">
        <f t="shared" si="118"/>
        <v>0</v>
      </c>
      <c r="CDL32" s="28">
        <f t="shared" si="118"/>
        <v>0</v>
      </c>
      <c r="CDM32" s="28">
        <f t="shared" si="118"/>
        <v>0</v>
      </c>
      <c r="CDN32" s="28">
        <f t="shared" si="118"/>
        <v>0</v>
      </c>
      <c r="CDO32" s="28">
        <f t="shared" si="118"/>
        <v>0</v>
      </c>
      <c r="CDP32" s="28">
        <f t="shared" si="118"/>
        <v>0</v>
      </c>
      <c r="CDQ32" s="28">
        <f t="shared" si="118"/>
        <v>0</v>
      </c>
      <c r="CDR32" s="28">
        <f t="shared" si="118"/>
        <v>0</v>
      </c>
      <c r="CDS32" s="28">
        <f t="shared" si="118"/>
        <v>0</v>
      </c>
      <c r="CDT32" s="28">
        <f t="shared" si="118"/>
        <v>0</v>
      </c>
      <c r="CDU32" s="28">
        <f t="shared" si="118"/>
        <v>0</v>
      </c>
      <c r="CDV32" s="28">
        <f t="shared" si="118"/>
        <v>0</v>
      </c>
      <c r="CDW32" s="28">
        <f t="shared" si="118"/>
        <v>0</v>
      </c>
      <c r="CDX32" s="28">
        <f t="shared" si="118"/>
        <v>0</v>
      </c>
      <c r="CDY32" s="28">
        <f t="shared" si="118"/>
        <v>0</v>
      </c>
      <c r="CDZ32" s="28">
        <f t="shared" si="118"/>
        <v>0</v>
      </c>
      <c r="CEA32" s="28">
        <f t="shared" si="118"/>
        <v>0</v>
      </c>
      <c r="CEB32" s="28">
        <f t="shared" si="118"/>
        <v>0</v>
      </c>
      <c r="CEC32" s="28">
        <f t="shared" si="118"/>
        <v>0</v>
      </c>
      <c r="CED32" s="28">
        <f t="shared" si="118"/>
        <v>0</v>
      </c>
      <c r="CEE32" s="28">
        <f t="shared" si="118"/>
        <v>0</v>
      </c>
      <c r="CEF32" s="28">
        <f t="shared" si="118"/>
        <v>0</v>
      </c>
      <c r="CEG32" s="28">
        <f t="shared" si="118"/>
        <v>0</v>
      </c>
      <c r="CEH32" s="28">
        <f t="shared" si="118"/>
        <v>0</v>
      </c>
      <c r="CEI32" s="28">
        <f t="shared" si="118"/>
        <v>0</v>
      </c>
      <c r="CEJ32" s="28">
        <f t="shared" si="118"/>
        <v>0</v>
      </c>
      <c r="CEK32" s="28">
        <f t="shared" si="118"/>
        <v>0</v>
      </c>
      <c r="CEL32" s="28">
        <f t="shared" si="118"/>
        <v>0</v>
      </c>
      <c r="CEM32" s="28">
        <f t="shared" si="118"/>
        <v>0</v>
      </c>
      <c r="CEN32" s="28">
        <f t="shared" si="118"/>
        <v>0</v>
      </c>
      <c r="CEO32" s="28">
        <f t="shared" si="118"/>
        <v>0</v>
      </c>
      <c r="CEP32" s="28">
        <f t="shared" si="118"/>
        <v>0</v>
      </c>
      <c r="CEQ32" s="28">
        <f t="shared" si="118"/>
        <v>0</v>
      </c>
      <c r="CER32" s="28">
        <f t="shared" si="118"/>
        <v>0</v>
      </c>
      <c r="CES32" s="28">
        <f t="shared" si="118"/>
        <v>0</v>
      </c>
      <c r="CET32" s="28">
        <f t="shared" si="118"/>
        <v>0</v>
      </c>
      <c r="CEU32" s="28">
        <f t="shared" si="118"/>
        <v>0</v>
      </c>
      <c r="CEV32" s="28">
        <f t="shared" si="118"/>
        <v>0</v>
      </c>
      <c r="CEW32" s="28">
        <f t="shared" si="118"/>
        <v>0</v>
      </c>
      <c r="CEX32" s="28">
        <f t="shared" si="118"/>
        <v>0</v>
      </c>
      <c r="CEY32" s="28">
        <f t="shared" si="118"/>
        <v>0</v>
      </c>
      <c r="CEZ32" s="28">
        <f t="shared" si="118"/>
        <v>0</v>
      </c>
      <c r="CFA32" s="28">
        <f t="shared" ref="CFA32:CHL32" si="119">IFERROR(CFA31/CFA$4,0)</f>
        <v>0</v>
      </c>
      <c r="CFB32" s="28">
        <f t="shared" si="119"/>
        <v>0</v>
      </c>
      <c r="CFC32" s="28">
        <f t="shared" si="119"/>
        <v>0</v>
      </c>
      <c r="CFD32" s="28">
        <f t="shared" si="119"/>
        <v>0</v>
      </c>
      <c r="CFE32" s="28">
        <f t="shared" si="119"/>
        <v>0</v>
      </c>
      <c r="CFF32" s="28">
        <f t="shared" si="119"/>
        <v>0</v>
      </c>
      <c r="CFG32" s="28">
        <f t="shared" si="119"/>
        <v>0</v>
      </c>
      <c r="CFH32" s="28">
        <f t="shared" si="119"/>
        <v>0</v>
      </c>
      <c r="CFI32" s="28">
        <f t="shared" si="119"/>
        <v>0</v>
      </c>
      <c r="CFJ32" s="28">
        <f t="shared" si="119"/>
        <v>0</v>
      </c>
      <c r="CFK32" s="28">
        <f t="shared" si="119"/>
        <v>0</v>
      </c>
      <c r="CFL32" s="28">
        <f t="shared" si="119"/>
        <v>0</v>
      </c>
      <c r="CFM32" s="28">
        <f t="shared" si="119"/>
        <v>0</v>
      </c>
      <c r="CFN32" s="28">
        <f t="shared" si="119"/>
        <v>0</v>
      </c>
      <c r="CFO32" s="28">
        <f t="shared" si="119"/>
        <v>0</v>
      </c>
      <c r="CFP32" s="28">
        <f t="shared" si="119"/>
        <v>0</v>
      </c>
      <c r="CFQ32" s="28">
        <f t="shared" si="119"/>
        <v>0</v>
      </c>
      <c r="CFR32" s="28">
        <f t="shared" si="119"/>
        <v>0</v>
      </c>
      <c r="CFS32" s="28">
        <f t="shared" si="119"/>
        <v>0</v>
      </c>
      <c r="CFT32" s="28">
        <f t="shared" si="119"/>
        <v>0</v>
      </c>
      <c r="CFU32" s="28">
        <f t="shared" si="119"/>
        <v>0</v>
      </c>
      <c r="CFV32" s="28">
        <f t="shared" si="119"/>
        <v>0</v>
      </c>
      <c r="CFW32" s="28">
        <f t="shared" si="119"/>
        <v>0</v>
      </c>
      <c r="CFX32" s="28">
        <f t="shared" si="119"/>
        <v>0</v>
      </c>
      <c r="CFY32" s="28">
        <f t="shared" si="119"/>
        <v>0</v>
      </c>
      <c r="CFZ32" s="28">
        <f t="shared" si="119"/>
        <v>0</v>
      </c>
      <c r="CGA32" s="28">
        <f t="shared" si="119"/>
        <v>0</v>
      </c>
      <c r="CGB32" s="28">
        <f t="shared" si="119"/>
        <v>0</v>
      </c>
      <c r="CGC32" s="28">
        <f t="shared" si="119"/>
        <v>0</v>
      </c>
      <c r="CGD32" s="28">
        <f t="shared" si="119"/>
        <v>0</v>
      </c>
      <c r="CGE32" s="28">
        <f t="shared" si="119"/>
        <v>0</v>
      </c>
      <c r="CGF32" s="28">
        <f t="shared" si="119"/>
        <v>0</v>
      </c>
      <c r="CGG32" s="28">
        <f t="shared" si="119"/>
        <v>0</v>
      </c>
      <c r="CGH32" s="28">
        <f t="shared" si="119"/>
        <v>0</v>
      </c>
      <c r="CGI32" s="28">
        <f t="shared" si="119"/>
        <v>0</v>
      </c>
      <c r="CGJ32" s="28">
        <f t="shared" si="119"/>
        <v>0</v>
      </c>
      <c r="CGK32" s="28">
        <f t="shared" si="119"/>
        <v>0</v>
      </c>
      <c r="CGL32" s="28">
        <f t="shared" si="119"/>
        <v>0</v>
      </c>
      <c r="CGM32" s="28">
        <f t="shared" si="119"/>
        <v>0</v>
      </c>
      <c r="CGN32" s="28">
        <f t="shared" si="119"/>
        <v>0</v>
      </c>
      <c r="CGO32" s="28">
        <f t="shared" si="119"/>
        <v>0</v>
      </c>
      <c r="CGP32" s="28">
        <f t="shared" si="119"/>
        <v>0</v>
      </c>
      <c r="CGQ32" s="28">
        <f t="shared" si="119"/>
        <v>0</v>
      </c>
      <c r="CGR32" s="28">
        <f t="shared" si="119"/>
        <v>0</v>
      </c>
      <c r="CGS32" s="28">
        <f t="shared" si="119"/>
        <v>0</v>
      </c>
      <c r="CGT32" s="28">
        <f t="shared" si="119"/>
        <v>0</v>
      </c>
      <c r="CGU32" s="28">
        <f t="shared" si="119"/>
        <v>0</v>
      </c>
      <c r="CGV32" s="28">
        <f t="shared" si="119"/>
        <v>0</v>
      </c>
      <c r="CGW32" s="28">
        <f t="shared" si="119"/>
        <v>0</v>
      </c>
      <c r="CGX32" s="28">
        <f t="shared" si="119"/>
        <v>0</v>
      </c>
      <c r="CGY32" s="28">
        <f t="shared" si="119"/>
        <v>0</v>
      </c>
      <c r="CGZ32" s="28">
        <f t="shared" si="119"/>
        <v>0</v>
      </c>
      <c r="CHA32" s="28">
        <f t="shared" si="119"/>
        <v>0</v>
      </c>
      <c r="CHB32" s="28">
        <f t="shared" si="119"/>
        <v>0</v>
      </c>
      <c r="CHC32" s="28">
        <f t="shared" si="119"/>
        <v>0</v>
      </c>
      <c r="CHD32" s="28">
        <f t="shared" si="119"/>
        <v>0</v>
      </c>
      <c r="CHE32" s="28">
        <f t="shared" si="119"/>
        <v>0</v>
      </c>
      <c r="CHF32" s="28">
        <f t="shared" si="119"/>
        <v>0</v>
      </c>
      <c r="CHG32" s="28">
        <f t="shared" si="119"/>
        <v>0</v>
      </c>
      <c r="CHH32" s="28">
        <f t="shared" si="119"/>
        <v>0</v>
      </c>
      <c r="CHI32" s="28">
        <f t="shared" si="119"/>
        <v>0</v>
      </c>
      <c r="CHJ32" s="28">
        <f t="shared" si="119"/>
        <v>0</v>
      </c>
      <c r="CHK32" s="28">
        <f t="shared" si="119"/>
        <v>0</v>
      </c>
      <c r="CHL32" s="28">
        <f t="shared" si="119"/>
        <v>0</v>
      </c>
      <c r="CHM32" s="28">
        <f t="shared" ref="CHM32:CJX32" si="120">IFERROR(CHM31/CHM$4,0)</f>
        <v>0</v>
      </c>
      <c r="CHN32" s="28">
        <f t="shared" si="120"/>
        <v>0</v>
      </c>
      <c r="CHO32" s="28">
        <f t="shared" si="120"/>
        <v>0</v>
      </c>
      <c r="CHP32" s="28">
        <f t="shared" si="120"/>
        <v>0</v>
      </c>
      <c r="CHQ32" s="28">
        <f t="shared" si="120"/>
        <v>0</v>
      </c>
      <c r="CHR32" s="28">
        <f t="shared" si="120"/>
        <v>0</v>
      </c>
      <c r="CHS32" s="28">
        <f t="shared" si="120"/>
        <v>0</v>
      </c>
      <c r="CHT32" s="28">
        <f t="shared" si="120"/>
        <v>0</v>
      </c>
      <c r="CHU32" s="28">
        <f t="shared" si="120"/>
        <v>0</v>
      </c>
      <c r="CHV32" s="28">
        <f t="shared" si="120"/>
        <v>0</v>
      </c>
      <c r="CHW32" s="28">
        <f t="shared" si="120"/>
        <v>0</v>
      </c>
      <c r="CHX32" s="28">
        <f t="shared" si="120"/>
        <v>0</v>
      </c>
      <c r="CHY32" s="28">
        <f t="shared" si="120"/>
        <v>0</v>
      </c>
      <c r="CHZ32" s="28">
        <f t="shared" si="120"/>
        <v>0</v>
      </c>
      <c r="CIA32" s="28">
        <f t="shared" si="120"/>
        <v>0</v>
      </c>
      <c r="CIB32" s="28">
        <f t="shared" si="120"/>
        <v>0</v>
      </c>
      <c r="CIC32" s="28">
        <f t="shared" si="120"/>
        <v>0</v>
      </c>
      <c r="CID32" s="28">
        <f t="shared" si="120"/>
        <v>0</v>
      </c>
      <c r="CIE32" s="28">
        <f t="shared" si="120"/>
        <v>0</v>
      </c>
      <c r="CIF32" s="28">
        <f t="shared" si="120"/>
        <v>0</v>
      </c>
      <c r="CIG32" s="28">
        <f t="shared" si="120"/>
        <v>0</v>
      </c>
      <c r="CIH32" s="28">
        <f t="shared" si="120"/>
        <v>0</v>
      </c>
      <c r="CII32" s="28">
        <f t="shared" si="120"/>
        <v>0</v>
      </c>
      <c r="CIJ32" s="28">
        <f t="shared" si="120"/>
        <v>0</v>
      </c>
      <c r="CIK32" s="28">
        <f t="shared" si="120"/>
        <v>0</v>
      </c>
      <c r="CIL32" s="28">
        <f t="shared" si="120"/>
        <v>0</v>
      </c>
      <c r="CIM32" s="28">
        <f t="shared" si="120"/>
        <v>0</v>
      </c>
      <c r="CIN32" s="28">
        <f t="shared" si="120"/>
        <v>0</v>
      </c>
      <c r="CIO32" s="28">
        <f t="shared" si="120"/>
        <v>0</v>
      </c>
      <c r="CIP32" s="28">
        <f t="shared" si="120"/>
        <v>0</v>
      </c>
      <c r="CIQ32" s="28">
        <f t="shared" si="120"/>
        <v>0</v>
      </c>
      <c r="CIR32" s="28">
        <f t="shared" si="120"/>
        <v>0</v>
      </c>
      <c r="CIS32" s="28">
        <f t="shared" si="120"/>
        <v>0</v>
      </c>
      <c r="CIT32" s="28">
        <f t="shared" si="120"/>
        <v>0</v>
      </c>
      <c r="CIU32" s="28">
        <f t="shared" si="120"/>
        <v>0</v>
      </c>
      <c r="CIV32" s="28">
        <f t="shared" si="120"/>
        <v>0</v>
      </c>
      <c r="CIW32" s="28">
        <f t="shared" si="120"/>
        <v>0</v>
      </c>
      <c r="CIX32" s="28">
        <f t="shared" si="120"/>
        <v>0</v>
      </c>
      <c r="CIY32" s="28">
        <f t="shared" si="120"/>
        <v>0</v>
      </c>
      <c r="CIZ32" s="28">
        <f t="shared" si="120"/>
        <v>0</v>
      </c>
      <c r="CJA32" s="28">
        <f t="shared" si="120"/>
        <v>0</v>
      </c>
      <c r="CJB32" s="28">
        <f t="shared" si="120"/>
        <v>0</v>
      </c>
      <c r="CJC32" s="28">
        <f t="shared" si="120"/>
        <v>0</v>
      </c>
      <c r="CJD32" s="28">
        <f t="shared" si="120"/>
        <v>0</v>
      </c>
      <c r="CJE32" s="28">
        <f t="shared" si="120"/>
        <v>0</v>
      </c>
      <c r="CJF32" s="28">
        <f t="shared" si="120"/>
        <v>0</v>
      </c>
      <c r="CJG32" s="28">
        <f t="shared" si="120"/>
        <v>0</v>
      </c>
      <c r="CJH32" s="28">
        <f t="shared" si="120"/>
        <v>0</v>
      </c>
      <c r="CJI32" s="28">
        <f t="shared" si="120"/>
        <v>0</v>
      </c>
      <c r="CJJ32" s="28">
        <f t="shared" si="120"/>
        <v>0</v>
      </c>
      <c r="CJK32" s="28">
        <f t="shared" si="120"/>
        <v>0</v>
      </c>
      <c r="CJL32" s="28">
        <f t="shared" si="120"/>
        <v>0</v>
      </c>
      <c r="CJM32" s="28">
        <f t="shared" si="120"/>
        <v>0</v>
      </c>
      <c r="CJN32" s="28">
        <f t="shared" si="120"/>
        <v>0</v>
      </c>
      <c r="CJO32" s="28">
        <f t="shared" si="120"/>
        <v>0</v>
      </c>
      <c r="CJP32" s="28">
        <f t="shared" si="120"/>
        <v>0</v>
      </c>
      <c r="CJQ32" s="28">
        <f t="shared" si="120"/>
        <v>0</v>
      </c>
      <c r="CJR32" s="28">
        <f t="shared" si="120"/>
        <v>0</v>
      </c>
      <c r="CJS32" s="28">
        <f t="shared" si="120"/>
        <v>0</v>
      </c>
      <c r="CJT32" s="28">
        <f t="shared" si="120"/>
        <v>0</v>
      </c>
      <c r="CJU32" s="28">
        <f t="shared" si="120"/>
        <v>0</v>
      </c>
      <c r="CJV32" s="28">
        <f t="shared" si="120"/>
        <v>0</v>
      </c>
      <c r="CJW32" s="28">
        <f t="shared" si="120"/>
        <v>0</v>
      </c>
      <c r="CJX32" s="28">
        <f t="shared" si="120"/>
        <v>0</v>
      </c>
      <c r="CJY32" s="28">
        <f t="shared" ref="CJY32:CMJ32" si="121">IFERROR(CJY31/CJY$4,0)</f>
        <v>0</v>
      </c>
      <c r="CJZ32" s="28">
        <f t="shared" si="121"/>
        <v>0</v>
      </c>
      <c r="CKA32" s="28">
        <f t="shared" si="121"/>
        <v>0</v>
      </c>
      <c r="CKB32" s="28">
        <f t="shared" si="121"/>
        <v>0</v>
      </c>
      <c r="CKC32" s="28">
        <f t="shared" si="121"/>
        <v>0</v>
      </c>
      <c r="CKD32" s="28">
        <f t="shared" si="121"/>
        <v>0</v>
      </c>
      <c r="CKE32" s="28">
        <f t="shared" si="121"/>
        <v>0</v>
      </c>
      <c r="CKF32" s="28">
        <f t="shared" si="121"/>
        <v>0</v>
      </c>
      <c r="CKG32" s="28">
        <f t="shared" si="121"/>
        <v>0</v>
      </c>
      <c r="CKH32" s="28">
        <f t="shared" si="121"/>
        <v>0</v>
      </c>
      <c r="CKI32" s="28">
        <f t="shared" si="121"/>
        <v>0</v>
      </c>
      <c r="CKJ32" s="28">
        <f t="shared" si="121"/>
        <v>0</v>
      </c>
      <c r="CKK32" s="28">
        <f t="shared" si="121"/>
        <v>0</v>
      </c>
      <c r="CKL32" s="28">
        <f t="shared" si="121"/>
        <v>0</v>
      </c>
      <c r="CKM32" s="28">
        <f t="shared" si="121"/>
        <v>0</v>
      </c>
      <c r="CKN32" s="28">
        <f t="shared" si="121"/>
        <v>0</v>
      </c>
      <c r="CKO32" s="28">
        <f t="shared" si="121"/>
        <v>0</v>
      </c>
      <c r="CKP32" s="28">
        <f t="shared" si="121"/>
        <v>0</v>
      </c>
      <c r="CKQ32" s="28">
        <f t="shared" si="121"/>
        <v>0</v>
      </c>
      <c r="CKR32" s="28">
        <f t="shared" si="121"/>
        <v>0</v>
      </c>
      <c r="CKS32" s="28">
        <f t="shared" si="121"/>
        <v>0</v>
      </c>
      <c r="CKT32" s="28">
        <f t="shared" si="121"/>
        <v>0</v>
      </c>
      <c r="CKU32" s="28">
        <f t="shared" si="121"/>
        <v>0</v>
      </c>
      <c r="CKV32" s="28">
        <f t="shared" si="121"/>
        <v>0</v>
      </c>
      <c r="CKW32" s="28">
        <f t="shared" si="121"/>
        <v>0</v>
      </c>
      <c r="CKX32" s="28">
        <f t="shared" si="121"/>
        <v>0</v>
      </c>
      <c r="CKY32" s="28">
        <f t="shared" si="121"/>
        <v>0</v>
      </c>
      <c r="CKZ32" s="28">
        <f t="shared" si="121"/>
        <v>0</v>
      </c>
      <c r="CLA32" s="28">
        <f t="shared" si="121"/>
        <v>0</v>
      </c>
      <c r="CLB32" s="28">
        <f t="shared" si="121"/>
        <v>0</v>
      </c>
      <c r="CLC32" s="28">
        <f t="shared" si="121"/>
        <v>0</v>
      </c>
      <c r="CLD32" s="28">
        <f t="shared" si="121"/>
        <v>0</v>
      </c>
      <c r="CLE32" s="28">
        <f t="shared" si="121"/>
        <v>0</v>
      </c>
      <c r="CLF32" s="28">
        <f t="shared" si="121"/>
        <v>0</v>
      </c>
      <c r="CLG32" s="28">
        <f t="shared" si="121"/>
        <v>0</v>
      </c>
      <c r="CLH32" s="28">
        <f t="shared" si="121"/>
        <v>0</v>
      </c>
      <c r="CLI32" s="28">
        <f t="shared" si="121"/>
        <v>0</v>
      </c>
      <c r="CLJ32" s="28">
        <f t="shared" si="121"/>
        <v>0</v>
      </c>
      <c r="CLK32" s="28">
        <f t="shared" si="121"/>
        <v>0</v>
      </c>
      <c r="CLL32" s="28">
        <f t="shared" si="121"/>
        <v>0</v>
      </c>
      <c r="CLM32" s="28">
        <f t="shared" si="121"/>
        <v>0</v>
      </c>
      <c r="CLN32" s="28">
        <f t="shared" si="121"/>
        <v>0</v>
      </c>
      <c r="CLO32" s="28">
        <f t="shared" si="121"/>
        <v>0</v>
      </c>
      <c r="CLP32" s="28">
        <f t="shared" si="121"/>
        <v>0</v>
      </c>
      <c r="CLQ32" s="28">
        <f t="shared" si="121"/>
        <v>0</v>
      </c>
      <c r="CLR32" s="28">
        <f t="shared" si="121"/>
        <v>0</v>
      </c>
      <c r="CLS32" s="28">
        <f t="shared" si="121"/>
        <v>0</v>
      </c>
      <c r="CLT32" s="28">
        <f t="shared" si="121"/>
        <v>0</v>
      </c>
      <c r="CLU32" s="28">
        <f t="shared" si="121"/>
        <v>0</v>
      </c>
      <c r="CLV32" s="28">
        <f t="shared" si="121"/>
        <v>0</v>
      </c>
      <c r="CLW32" s="28">
        <f t="shared" si="121"/>
        <v>0</v>
      </c>
      <c r="CLX32" s="28">
        <f t="shared" si="121"/>
        <v>0</v>
      </c>
      <c r="CLY32" s="28">
        <f t="shared" si="121"/>
        <v>0</v>
      </c>
      <c r="CLZ32" s="28">
        <f t="shared" si="121"/>
        <v>0</v>
      </c>
      <c r="CMA32" s="28">
        <f t="shared" si="121"/>
        <v>0</v>
      </c>
      <c r="CMB32" s="28">
        <f t="shared" si="121"/>
        <v>0</v>
      </c>
      <c r="CMC32" s="28">
        <f t="shared" si="121"/>
        <v>0</v>
      </c>
      <c r="CMD32" s="28">
        <f t="shared" si="121"/>
        <v>0</v>
      </c>
      <c r="CME32" s="28">
        <f t="shared" si="121"/>
        <v>0</v>
      </c>
      <c r="CMF32" s="28">
        <f t="shared" si="121"/>
        <v>0</v>
      </c>
      <c r="CMG32" s="28">
        <f t="shared" si="121"/>
        <v>0</v>
      </c>
      <c r="CMH32" s="28">
        <f t="shared" si="121"/>
        <v>0</v>
      </c>
      <c r="CMI32" s="28">
        <f t="shared" si="121"/>
        <v>0</v>
      </c>
      <c r="CMJ32" s="28">
        <f t="shared" si="121"/>
        <v>0</v>
      </c>
      <c r="CMK32" s="28">
        <f t="shared" ref="CMK32:COV32" si="122">IFERROR(CMK31/CMK$4,0)</f>
        <v>0</v>
      </c>
      <c r="CML32" s="28">
        <f t="shared" si="122"/>
        <v>0</v>
      </c>
      <c r="CMM32" s="28">
        <f t="shared" si="122"/>
        <v>0</v>
      </c>
      <c r="CMN32" s="28">
        <f t="shared" si="122"/>
        <v>0</v>
      </c>
      <c r="CMO32" s="28">
        <f t="shared" si="122"/>
        <v>0</v>
      </c>
      <c r="CMP32" s="28">
        <f t="shared" si="122"/>
        <v>0</v>
      </c>
      <c r="CMQ32" s="28">
        <f t="shared" si="122"/>
        <v>0</v>
      </c>
      <c r="CMR32" s="28">
        <f t="shared" si="122"/>
        <v>0</v>
      </c>
      <c r="CMS32" s="28">
        <f t="shared" si="122"/>
        <v>0</v>
      </c>
      <c r="CMT32" s="28">
        <f t="shared" si="122"/>
        <v>0</v>
      </c>
      <c r="CMU32" s="28">
        <f t="shared" si="122"/>
        <v>0</v>
      </c>
      <c r="CMV32" s="28">
        <f t="shared" si="122"/>
        <v>0</v>
      </c>
      <c r="CMW32" s="28">
        <f t="shared" si="122"/>
        <v>0</v>
      </c>
      <c r="CMX32" s="28">
        <f t="shared" si="122"/>
        <v>0</v>
      </c>
      <c r="CMY32" s="28">
        <f t="shared" si="122"/>
        <v>0</v>
      </c>
      <c r="CMZ32" s="28">
        <f t="shared" si="122"/>
        <v>0</v>
      </c>
      <c r="CNA32" s="28">
        <f t="shared" si="122"/>
        <v>0</v>
      </c>
      <c r="CNB32" s="28">
        <f t="shared" si="122"/>
        <v>0</v>
      </c>
      <c r="CNC32" s="28">
        <f t="shared" si="122"/>
        <v>0</v>
      </c>
      <c r="CND32" s="28">
        <f t="shared" si="122"/>
        <v>0</v>
      </c>
      <c r="CNE32" s="28">
        <f t="shared" si="122"/>
        <v>0</v>
      </c>
      <c r="CNF32" s="28">
        <f t="shared" si="122"/>
        <v>0</v>
      </c>
      <c r="CNG32" s="28">
        <f t="shared" si="122"/>
        <v>0</v>
      </c>
      <c r="CNH32" s="28">
        <f t="shared" si="122"/>
        <v>0</v>
      </c>
      <c r="CNI32" s="28">
        <f t="shared" si="122"/>
        <v>0</v>
      </c>
      <c r="CNJ32" s="28">
        <f t="shared" si="122"/>
        <v>0</v>
      </c>
      <c r="CNK32" s="28">
        <f t="shared" si="122"/>
        <v>0</v>
      </c>
      <c r="CNL32" s="28">
        <f t="shared" si="122"/>
        <v>0</v>
      </c>
      <c r="CNM32" s="28">
        <f t="shared" si="122"/>
        <v>0</v>
      </c>
      <c r="CNN32" s="28">
        <f t="shared" si="122"/>
        <v>0</v>
      </c>
      <c r="CNO32" s="28">
        <f t="shared" si="122"/>
        <v>0</v>
      </c>
      <c r="CNP32" s="28">
        <f t="shared" si="122"/>
        <v>0</v>
      </c>
      <c r="CNQ32" s="28">
        <f t="shared" si="122"/>
        <v>0</v>
      </c>
      <c r="CNR32" s="28">
        <f t="shared" si="122"/>
        <v>0</v>
      </c>
      <c r="CNS32" s="28">
        <f t="shared" si="122"/>
        <v>0</v>
      </c>
      <c r="CNT32" s="28">
        <f t="shared" si="122"/>
        <v>0</v>
      </c>
      <c r="CNU32" s="28">
        <f t="shared" si="122"/>
        <v>0</v>
      </c>
      <c r="CNV32" s="28">
        <f t="shared" si="122"/>
        <v>0</v>
      </c>
      <c r="CNW32" s="28">
        <f t="shared" si="122"/>
        <v>0</v>
      </c>
      <c r="CNX32" s="28">
        <f t="shared" si="122"/>
        <v>0</v>
      </c>
      <c r="CNY32" s="28">
        <f t="shared" si="122"/>
        <v>0</v>
      </c>
      <c r="CNZ32" s="28">
        <f t="shared" si="122"/>
        <v>0</v>
      </c>
      <c r="COA32" s="28">
        <f t="shared" si="122"/>
        <v>0</v>
      </c>
      <c r="COB32" s="28">
        <f t="shared" si="122"/>
        <v>0</v>
      </c>
      <c r="COC32" s="28">
        <f t="shared" si="122"/>
        <v>0</v>
      </c>
      <c r="COD32" s="28">
        <f t="shared" si="122"/>
        <v>0</v>
      </c>
      <c r="COE32" s="28">
        <f t="shared" si="122"/>
        <v>0</v>
      </c>
      <c r="COF32" s="28">
        <f t="shared" si="122"/>
        <v>0</v>
      </c>
      <c r="COG32" s="28">
        <f t="shared" si="122"/>
        <v>0</v>
      </c>
      <c r="COH32" s="28">
        <f t="shared" si="122"/>
        <v>0</v>
      </c>
      <c r="COI32" s="28">
        <f t="shared" si="122"/>
        <v>0</v>
      </c>
      <c r="COJ32" s="28">
        <f t="shared" si="122"/>
        <v>0</v>
      </c>
      <c r="COK32" s="28">
        <f t="shared" si="122"/>
        <v>0</v>
      </c>
      <c r="COL32" s="28">
        <f t="shared" si="122"/>
        <v>0</v>
      </c>
      <c r="COM32" s="28">
        <f t="shared" si="122"/>
        <v>0</v>
      </c>
      <c r="CON32" s="28">
        <f t="shared" si="122"/>
        <v>0</v>
      </c>
      <c r="COO32" s="28">
        <f t="shared" si="122"/>
        <v>0</v>
      </c>
      <c r="COP32" s="28">
        <f t="shared" si="122"/>
        <v>0</v>
      </c>
      <c r="COQ32" s="28">
        <f t="shared" si="122"/>
        <v>0</v>
      </c>
      <c r="COR32" s="28">
        <f t="shared" si="122"/>
        <v>0</v>
      </c>
      <c r="COS32" s="28">
        <f t="shared" si="122"/>
        <v>0</v>
      </c>
      <c r="COT32" s="28">
        <f t="shared" si="122"/>
        <v>0</v>
      </c>
      <c r="COU32" s="28">
        <f t="shared" si="122"/>
        <v>0</v>
      </c>
      <c r="COV32" s="28">
        <f t="shared" si="122"/>
        <v>0</v>
      </c>
      <c r="COW32" s="28">
        <f t="shared" ref="COW32:CRH32" si="123">IFERROR(COW31/COW$4,0)</f>
        <v>0</v>
      </c>
      <c r="COX32" s="28">
        <f t="shared" si="123"/>
        <v>0</v>
      </c>
      <c r="COY32" s="28">
        <f t="shared" si="123"/>
        <v>0</v>
      </c>
      <c r="COZ32" s="28">
        <f t="shared" si="123"/>
        <v>0</v>
      </c>
      <c r="CPA32" s="28">
        <f t="shared" si="123"/>
        <v>0</v>
      </c>
      <c r="CPB32" s="28">
        <f t="shared" si="123"/>
        <v>0</v>
      </c>
      <c r="CPC32" s="28">
        <f t="shared" si="123"/>
        <v>0</v>
      </c>
      <c r="CPD32" s="28">
        <f t="shared" si="123"/>
        <v>0</v>
      </c>
      <c r="CPE32" s="28">
        <f t="shared" si="123"/>
        <v>0</v>
      </c>
      <c r="CPF32" s="28">
        <f t="shared" si="123"/>
        <v>0</v>
      </c>
      <c r="CPG32" s="28">
        <f t="shared" si="123"/>
        <v>0</v>
      </c>
      <c r="CPH32" s="28">
        <f t="shared" si="123"/>
        <v>0</v>
      </c>
      <c r="CPI32" s="28">
        <f t="shared" si="123"/>
        <v>0</v>
      </c>
      <c r="CPJ32" s="28">
        <f t="shared" si="123"/>
        <v>0</v>
      </c>
      <c r="CPK32" s="28">
        <f t="shared" si="123"/>
        <v>0</v>
      </c>
      <c r="CPL32" s="28">
        <f t="shared" si="123"/>
        <v>0</v>
      </c>
      <c r="CPM32" s="28">
        <f t="shared" si="123"/>
        <v>0</v>
      </c>
      <c r="CPN32" s="28">
        <f t="shared" si="123"/>
        <v>0</v>
      </c>
      <c r="CPO32" s="28">
        <f t="shared" si="123"/>
        <v>0</v>
      </c>
      <c r="CPP32" s="28">
        <f t="shared" si="123"/>
        <v>0</v>
      </c>
      <c r="CPQ32" s="28">
        <f t="shared" si="123"/>
        <v>0</v>
      </c>
      <c r="CPR32" s="28">
        <f t="shared" si="123"/>
        <v>0</v>
      </c>
      <c r="CPS32" s="28">
        <f t="shared" si="123"/>
        <v>0</v>
      </c>
      <c r="CPT32" s="28">
        <f t="shared" si="123"/>
        <v>0</v>
      </c>
      <c r="CPU32" s="28">
        <f t="shared" si="123"/>
        <v>0</v>
      </c>
      <c r="CPV32" s="28">
        <f t="shared" si="123"/>
        <v>0</v>
      </c>
      <c r="CPW32" s="28">
        <f t="shared" si="123"/>
        <v>0</v>
      </c>
      <c r="CPX32" s="28">
        <f t="shared" si="123"/>
        <v>0</v>
      </c>
      <c r="CPY32" s="28">
        <f t="shared" si="123"/>
        <v>0</v>
      </c>
      <c r="CPZ32" s="28">
        <f t="shared" si="123"/>
        <v>0</v>
      </c>
      <c r="CQA32" s="28">
        <f t="shared" si="123"/>
        <v>0</v>
      </c>
      <c r="CQB32" s="28">
        <f t="shared" si="123"/>
        <v>0</v>
      </c>
      <c r="CQC32" s="28">
        <f t="shared" si="123"/>
        <v>0</v>
      </c>
      <c r="CQD32" s="28">
        <f t="shared" si="123"/>
        <v>0</v>
      </c>
      <c r="CQE32" s="28">
        <f t="shared" si="123"/>
        <v>0</v>
      </c>
      <c r="CQF32" s="28">
        <f t="shared" si="123"/>
        <v>0</v>
      </c>
      <c r="CQG32" s="28">
        <f t="shared" si="123"/>
        <v>0</v>
      </c>
      <c r="CQH32" s="28">
        <f t="shared" si="123"/>
        <v>0</v>
      </c>
      <c r="CQI32" s="28">
        <f t="shared" si="123"/>
        <v>0</v>
      </c>
      <c r="CQJ32" s="28">
        <f t="shared" si="123"/>
        <v>0</v>
      </c>
      <c r="CQK32" s="28">
        <f t="shared" si="123"/>
        <v>0</v>
      </c>
      <c r="CQL32" s="28">
        <f t="shared" si="123"/>
        <v>0</v>
      </c>
      <c r="CQM32" s="28">
        <f t="shared" si="123"/>
        <v>0</v>
      </c>
      <c r="CQN32" s="28">
        <f t="shared" si="123"/>
        <v>0</v>
      </c>
      <c r="CQO32" s="28">
        <f t="shared" si="123"/>
        <v>0</v>
      </c>
      <c r="CQP32" s="28">
        <f t="shared" si="123"/>
        <v>0</v>
      </c>
      <c r="CQQ32" s="28">
        <f t="shared" si="123"/>
        <v>0</v>
      </c>
      <c r="CQR32" s="28">
        <f t="shared" si="123"/>
        <v>0</v>
      </c>
      <c r="CQS32" s="28">
        <f t="shared" si="123"/>
        <v>0</v>
      </c>
      <c r="CQT32" s="28">
        <f t="shared" si="123"/>
        <v>0</v>
      </c>
      <c r="CQU32" s="28">
        <f t="shared" si="123"/>
        <v>0</v>
      </c>
      <c r="CQV32" s="28">
        <f t="shared" si="123"/>
        <v>0</v>
      </c>
      <c r="CQW32" s="28">
        <f t="shared" si="123"/>
        <v>0</v>
      </c>
      <c r="CQX32" s="28">
        <f t="shared" si="123"/>
        <v>0</v>
      </c>
      <c r="CQY32" s="28">
        <f t="shared" si="123"/>
        <v>0</v>
      </c>
      <c r="CQZ32" s="28">
        <f t="shared" si="123"/>
        <v>0</v>
      </c>
      <c r="CRA32" s="28">
        <f t="shared" si="123"/>
        <v>0</v>
      </c>
      <c r="CRB32" s="28">
        <f t="shared" si="123"/>
        <v>0</v>
      </c>
      <c r="CRC32" s="28">
        <f t="shared" si="123"/>
        <v>0</v>
      </c>
      <c r="CRD32" s="28">
        <f t="shared" si="123"/>
        <v>0</v>
      </c>
      <c r="CRE32" s="28">
        <f t="shared" si="123"/>
        <v>0</v>
      </c>
      <c r="CRF32" s="28">
        <f t="shared" si="123"/>
        <v>0</v>
      </c>
      <c r="CRG32" s="28">
        <f t="shared" si="123"/>
        <v>0</v>
      </c>
      <c r="CRH32" s="28">
        <f t="shared" si="123"/>
        <v>0</v>
      </c>
      <c r="CRI32" s="28">
        <f t="shared" ref="CRI32:CTT32" si="124">IFERROR(CRI31/CRI$4,0)</f>
        <v>0</v>
      </c>
      <c r="CRJ32" s="28">
        <f t="shared" si="124"/>
        <v>0</v>
      </c>
      <c r="CRK32" s="28">
        <f t="shared" si="124"/>
        <v>0</v>
      </c>
      <c r="CRL32" s="28">
        <f t="shared" si="124"/>
        <v>0</v>
      </c>
      <c r="CRM32" s="28">
        <f t="shared" si="124"/>
        <v>0</v>
      </c>
      <c r="CRN32" s="28">
        <f t="shared" si="124"/>
        <v>0</v>
      </c>
      <c r="CRO32" s="28">
        <f t="shared" si="124"/>
        <v>0</v>
      </c>
      <c r="CRP32" s="28">
        <f t="shared" si="124"/>
        <v>0</v>
      </c>
      <c r="CRQ32" s="28">
        <f t="shared" si="124"/>
        <v>0</v>
      </c>
      <c r="CRR32" s="28">
        <f t="shared" si="124"/>
        <v>0</v>
      </c>
      <c r="CRS32" s="28">
        <f t="shared" si="124"/>
        <v>0</v>
      </c>
      <c r="CRT32" s="28">
        <f t="shared" si="124"/>
        <v>0</v>
      </c>
      <c r="CRU32" s="28">
        <f t="shared" si="124"/>
        <v>0</v>
      </c>
      <c r="CRV32" s="28">
        <f t="shared" si="124"/>
        <v>0</v>
      </c>
      <c r="CRW32" s="28">
        <f t="shared" si="124"/>
        <v>0</v>
      </c>
      <c r="CRX32" s="28">
        <f t="shared" si="124"/>
        <v>0</v>
      </c>
      <c r="CRY32" s="28">
        <f t="shared" si="124"/>
        <v>0</v>
      </c>
      <c r="CRZ32" s="28">
        <f t="shared" si="124"/>
        <v>0</v>
      </c>
      <c r="CSA32" s="28">
        <f t="shared" si="124"/>
        <v>0</v>
      </c>
      <c r="CSB32" s="28">
        <f t="shared" si="124"/>
        <v>0</v>
      </c>
      <c r="CSC32" s="28">
        <f t="shared" si="124"/>
        <v>0</v>
      </c>
      <c r="CSD32" s="28">
        <f t="shared" si="124"/>
        <v>0</v>
      </c>
      <c r="CSE32" s="28">
        <f t="shared" si="124"/>
        <v>0</v>
      </c>
      <c r="CSF32" s="28">
        <f t="shared" si="124"/>
        <v>0</v>
      </c>
      <c r="CSG32" s="28">
        <f t="shared" si="124"/>
        <v>0</v>
      </c>
      <c r="CSH32" s="28">
        <f t="shared" si="124"/>
        <v>0</v>
      </c>
      <c r="CSI32" s="28">
        <f t="shared" si="124"/>
        <v>0</v>
      </c>
      <c r="CSJ32" s="28">
        <f t="shared" si="124"/>
        <v>0</v>
      </c>
      <c r="CSK32" s="28">
        <f t="shared" si="124"/>
        <v>0</v>
      </c>
      <c r="CSL32" s="28">
        <f t="shared" si="124"/>
        <v>0</v>
      </c>
      <c r="CSM32" s="28">
        <f t="shared" si="124"/>
        <v>0</v>
      </c>
      <c r="CSN32" s="28">
        <f t="shared" si="124"/>
        <v>0</v>
      </c>
      <c r="CSO32" s="28">
        <f t="shared" si="124"/>
        <v>0</v>
      </c>
      <c r="CSP32" s="28">
        <f t="shared" si="124"/>
        <v>0</v>
      </c>
      <c r="CSQ32" s="28">
        <f t="shared" si="124"/>
        <v>0</v>
      </c>
      <c r="CSR32" s="28">
        <f t="shared" si="124"/>
        <v>0</v>
      </c>
      <c r="CSS32" s="28">
        <f t="shared" si="124"/>
        <v>0</v>
      </c>
      <c r="CST32" s="28">
        <f t="shared" si="124"/>
        <v>0</v>
      </c>
      <c r="CSU32" s="28">
        <f t="shared" si="124"/>
        <v>0</v>
      </c>
      <c r="CSV32" s="28">
        <f t="shared" si="124"/>
        <v>0</v>
      </c>
      <c r="CSW32" s="28">
        <f t="shared" si="124"/>
        <v>0</v>
      </c>
      <c r="CSX32" s="28">
        <f t="shared" si="124"/>
        <v>0</v>
      </c>
      <c r="CSY32" s="28">
        <f t="shared" si="124"/>
        <v>0</v>
      </c>
      <c r="CSZ32" s="28">
        <f t="shared" si="124"/>
        <v>0</v>
      </c>
      <c r="CTA32" s="28">
        <f t="shared" si="124"/>
        <v>0</v>
      </c>
      <c r="CTB32" s="28">
        <f t="shared" si="124"/>
        <v>0</v>
      </c>
      <c r="CTC32" s="28">
        <f t="shared" si="124"/>
        <v>0</v>
      </c>
      <c r="CTD32" s="28">
        <f t="shared" si="124"/>
        <v>0</v>
      </c>
      <c r="CTE32" s="28">
        <f t="shared" si="124"/>
        <v>0</v>
      </c>
      <c r="CTF32" s="28">
        <f t="shared" si="124"/>
        <v>0</v>
      </c>
      <c r="CTG32" s="28">
        <f t="shared" si="124"/>
        <v>0</v>
      </c>
      <c r="CTH32" s="28">
        <f t="shared" si="124"/>
        <v>0</v>
      </c>
      <c r="CTI32" s="28">
        <f t="shared" si="124"/>
        <v>0</v>
      </c>
      <c r="CTJ32" s="28">
        <f t="shared" si="124"/>
        <v>0</v>
      </c>
      <c r="CTK32" s="28">
        <f t="shared" si="124"/>
        <v>0</v>
      </c>
      <c r="CTL32" s="28">
        <f t="shared" si="124"/>
        <v>0</v>
      </c>
      <c r="CTM32" s="28">
        <f t="shared" si="124"/>
        <v>0</v>
      </c>
      <c r="CTN32" s="28">
        <f t="shared" si="124"/>
        <v>0</v>
      </c>
      <c r="CTO32" s="28">
        <f t="shared" si="124"/>
        <v>0</v>
      </c>
      <c r="CTP32" s="28">
        <f t="shared" si="124"/>
        <v>0</v>
      </c>
      <c r="CTQ32" s="28">
        <f t="shared" si="124"/>
        <v>0</v>
      </c>
      <c r="CTR32" s="28">
        <f t="shared" si="124"/>
        <v>0</v>
      </c>
      <c r="CTS32" s="28">
        <f t="shared" si="124"/>
        <v>0</v>
      </c>
      <c r="CTT32" s="28">
        <f t="shared" si="124"/>
        <v>0</v>
      </c>
      <c r="CTU32" s="28">
        <f t="shared" ref="CTU32:CWF32" si="125">IFERROR(CTU31/CTU$4,0)</f>
        <v>0</v>
      </c>
      <c r="CTV32" s="28">
        <f t="shared" si="125"/>
        <v>0</v>
      </c>
      <c r="CTW32" s="28">
        <f t="shared" si="125"/>
        <v>0</v>
      </c>
      <c r="CTX32" s="28">
        <f t="shared" si="125"/>
        <v>0</v>
      </c>
      <c r="CTY32" s="28">
        <f t="shared" si="125"/>
        <v>0</v>
      </c>
      <c r="CTZ32" s="28">
        <f t="shared" si="125"/>
        <v>0</v>
      </c>
      <c r="CUA32" s="28">
        <f t="shared" si="125"/>
        <v>0</v>
      </c>
      <c r="CUB32" s="28">
        <f t="shared" si="125"/>
        <v>0</v>
      </c>
      <c r="CUC32" s="28">
        <f t="shared" si="125"/>
        <v>0</v>
      </c>
      <c r="CUD32" s="28">
        <f t="shared" si="125"/>
        <v>0</v>
      </c>
      <c r="CUE32" s="28">
        <f t="shared" si="125"/>
        <v>0</v>
      </c>
      <c r="CUF32" s="28">
        <f t="shared" si="125"/>
        <v>0</v>
      </c>
      <c r="CUG32" s="28">
        <f t="shared" si="125"/>
        <v>0</v>
      </c>
      <c r="CUH32" s="28">
        <f t="shared" si="125"/>
        <v>0</v>
      </c>
      <c r="CUI32" s="28">
        <f t="shared" si="125"/>
        <v>0</v>
      </c>
      <c r="CUJ32" s="28">
        <f t="shared" si="125"/>
        <v>0</v>
      </c>
      <c r="CUK32" s="28">
        <f t="shared" si="125"/>
        <v>0</v>
      </c>
      <c r="CUL32" s="28">
        <f t="shared" si="125"/>
        <v>0</v>
      </c>
      <c r="CUM32" s="28">
        <f t="shared" si="125"/>
        <v>0</v>
      </c>
      <c r="CUN32" s="28">
        <f t="shared" si="125"/>
        <v>0</v>
      </c>
      <c r="CUO32" s="28">
        <f t="shared" si="125"/>
        <v>0</v>
      </c>
      <c r="CUP32" s="28">
        <f t="shared" si="125"/>
        <v>0</v>
      </c>
      <c r="CUQ32" s="28">
        <f t="shared" si="125"/>
        <v>0</v>
      </c>
      <c r="CUR32" s="28">
        <f t="shared" si="125"/>
        <v>0</v>
      </c>
      <c r="CUS32" s="28">
        <f t="shared" si="125"/>
        <v>0</v>
      </c>
      <c r="CUT32" s="28">
        <f t="shared" si="125"/>
        <v>0</v>
      </c>
      <c r="CUU32" s="28">
        <f t="shared" si="125"/>
        <v>0</v>
      </c>
      <c r="CUV32" s="28">
        <f t="shared" si="125"/>
        <v>0</v>
      </c>
      <c r="CUW32" s="28">
        <f t="shared" si="125"/>
        <v>0</v>
      </c>
      <c r="CUX32" s="28">
        <f t="shared" si="125"/>
        <v>0</v>
      </c>
      <c r="CUY32" s="28">
        <f t="shared" si="125"/>
        <v>0</v>
      </c>
      <c r="CUZ32" s="28">
        <f t="shared" si="125"/>
        <v>0</v>
      </c>
      <c r="CVA32" s="28">
        <f t="shared" si="125"/>
        <v>0</v>
      </c>
      <c r="CVB32" s="28">
        <f t="shared" si="125"/>
        <v>0</v>
      </c>
      <c r="CVC32" s="28">
        <f t="shared" si="125"/>
        <v>0</v>
      </c>
      <c r="CVD32" s="28">
        <f t="shared" si="125"/>
        <v>0</v>
      </c>
      <c r="CVE32" s="28">
        <f t="shared" si="125"/>
        <v>0</v>
      </c>
      <c r="CVF32" s="28">
        <f t="shared" si="125"/>
        <v>0</v>
      </c>
      <c r="CVG32" s="28">
        <f t="shared" si="125"/>
        <v>0</v>
      </c>
      <c r="CVH32" s="28">
        <f t="shared" si="125"/>
        <v>0</v>
      </c>
      <c r="CVI32" s="28">
        <f t="shared" si="125"/>
        <v>0</v>
      </c>
      <c r="CVJ32" s="28">
        <f t="shared" si="125"/>
        <v>0</v>
      </c>
      <c r="CVK32" s="28">
        <f t="shared" si="125"/>
        <v>0</v>
      </c>
      <c r="CVL32" s="28">
        <f t="shared" si="125"/>
        <v>0</v>
      </c>
      <c r="CVM32" s="28">
        <f t="shared" si="125"/>
        <v>0</v>
      </c>
      <c r="CVN32" s="28">
        <f t="shared" si="125"/>
        <v>0</v>
      </c>
      <c r="CVO32" s="28">
        <f t="shared" si="125"/>
        <v>0</v>
      </c>
      <c r="CVP32" s="28">
        <f t="shared" si="125"/>
        <v>0</v>
      </c>
      <c r="CVQ32" s="28">
        <f t="shared" si="125"/>
        <v>0</v>
      </c>
      <c r="CVR32" s="28">
        <f t="shared" si="125"/>
        <v>0</v>
      </c>
      <c r="CVS32" s="28">
        <f t="shared" si="125"/>
        <v>0</v>
      </c>
      <c r="CVT32" s="28">
        <f t="shared" si="125"/>
        <v>0</v>
      </c>
      <c r="CVU32" s="28">
        <f t="shared" si="125"/>
        <v>0</v>
      </c>
      <c r="CVV32" s="28">
        <f t="shared" si="125"/>
        <v>0</v>
      </c>
      <c r="CVW32" s="28">
        <f t="shared" si="125"/>
        <v>0</v>
      </c>
      <c r="CVX32" s="28">
        <f t="shared" si="125"/>
        <v>0</v>
      </c>
      <c r="CVY32" s="28">
        <f t="shared" si="125"/>
        <v>0</v>
      </c>
      <c r="CVZ32" s="28">
        <f t="shared" si="125"/>
        <v>0</v>
      </c>
      <c r="CWA32" s="28">
        <f t="shared" si="125"/>
        <v>0</v>
      </c>
      <c r="CWB32" s="28">
        <f t="shared" si="125"/>
        <v>0</v>
      </c>
      <c r="CWC32" s="28">
        <f t="shared" si="125"/>
        <v>0</v>
      </c>
      <c r="CWD32" s="28">
        <f t="shared" si="125"/>
        <v>0</v>
      </c>
      <c r="CWE32" s="28">
        <f t="shared" si="125"/>
        <v>0</v>
      </c>
      <c r="CWF32" s="28">
        <f t="shared" si="125"/>
        <v>0</v>
      </c>
      <c r="CWG32" s="28">
        <f t="shared" ref="CWG32:CYR32" si="126">IFERROR(CWG31/CWG$4,0)</f>
        <v>0</v>
      </c>
      <c r="CWH32" s="28">
        <f t="shared" si="126"/>
        <v>0</v>
      </c>
      <c r="CWI32" s="28">
        <f t="shared" si="126"/>
        <v>0</v>
      </c>
      <c r="CWJ32" s="28">
        <f t="shared" si="126"/>
        <v>0</v>
      </c>
      <c r="CWK32" s="28">
        <f t="shared" si="126"/>
        <v>0</v>
      </c>
      <c r="CWL32" s="28">
        <f t="shared" si="126"/>
        <v>0</v>
      </c>
      <c r="CWM32" s="28">
        <f t="shared" si="126"/>
        <v>0</v>
      </c>
      <c r="CWN32" s="28">
        <f t="shared" si="126"/>
        <v>0</v>
      </c>
      <c r="CWO32" s="28">
        <f t="shared" si="126"/>
        <v>0</v>
      </c>
      <c r="CWP32" s="28">
        <f t="shared" si="126"/>
        <v>0</v>
      </c>
      <c r="CWQ32" s="28">
        <f t="shared" si="126"/>
        <v>0</v>
      </c>
      <c r="CWR32" s="28">
        <f t="shared" si="126"/>
        <v>0</v>
      </c>
      <c r="CWS32" s="28">
        <f t="shared" si="126"/>
        <v>0</v>
      </c>
      <c r="CWT32" s="28">
        <f t="shared" si="126"/>
        <v>0</v>
      </c>
      <c r="CWU32" s="28">
        <f t="shared" si="126"/>
        <v>0</v>
      </c>
      <c r="CWV32" s="28">
        <f t="shared" si="126"/>
        <v>0</v>
      </c>
      <c r="CWW32" s="28">
        <f t="shared" si="126"/>
        <v>0</v>
      </c>
      <c r="CWX32" s="28">
        <f t="shared" si="126"/>
        <v>0</v>
      </c>
      <c r="CWY32" s="28">
        <f t="shared" si="126"/>
        <v>0</v>
      </c>
      <c r="CWZ32" s="28">
        <f t="shared" si="126"/>
        <v>0</v>
      </c>
      <c r="CXA32" s="28">
        <f t="shared" si="126"/>
        <v>0</v>
      </c>
      <c r="CXB32" s="28">
        <f t="shared" si="126"/>
        <v>0</v>
      </c>
      <c r="CXC32" s="28">
        <f t="shared" si="126"/>
        <v>0</v>
      </c>
      <c r="CXD32" s="28">
        <f t="shared" si="126"/>
        <v>0</v>
      </c>
      <c r="CXE32" s="28">
        <f t="shared" si="126"/>
        <v>0</v>
      </c>
      <c r="CXF32" s="28">
        <f t="shared" si="126"/>
        <v>0</v>
      </c>
      <c r="CXG32" s="28">
        <f t="shared" si="126"/>
        <v>0</v>
      </c>
      <c r="CXH32" s="28">
        <f t="shared" si="126"/>
        <v>0</v>
      </c>
      <c r="CXI32" s="28">
        <f t="shared" si="126"/>
        <v>0</v>
      </c>
      <c r="CXJ32" s="28">
        <f t="shared" si="126"/>
        <v>0</v>
      </c>
      <c r="CXK32" s="28">
        <f t="shared" si="126"/>
        <v>0</v>
      </c>
      <c r="CXL32" s="28">
        <f t="shared" si="126"/>
        <v>0</v>
      </c>
      <c r="CXM32" s="28">
        <f t="shared" si="126"/>
        <v>0</v>
      </c>
      <c r="CXN32" s="28">
        <f t="shared" si="126"/>
        <v>0</v>
      </c>
      <c r="CXO32" s="28">
        <f t="shared" si="126"/>
        <v>0</v>
      </c>
      <c r="CXP32" s="28">
        <f t="shared" si="126"/>
        <v>0</v>
      </c>
      <c r="CXQ32" s="28">
        <f t="shared" si="126"/>
        <v>0</v>
      </c>
      <c r="CXR32" s="28">
        <f t="shared" si="126"/>
        <v>0</v>
      </c>
      <c r="CXS32" s="28">
        <f t="shared" si="126"/>
        <v>0</v>
      </c>
      <c r="CXT32" s="28">
        <f t="shared" si="126"/>
        <v>0</v>
      </c>
      <c r="CXU32" s="28">
        <f t="shared" si="126"/>
        <v>0</v>
      </c>
      <c r="CXV32" s="28">
        <f t="shared" si="126"/>
        <v>0</v>
      </c>
      <c r="CXW32" s="28">
        <f t="shared" si="126"/>
        <v>0</v>
      </c>
      <c r="CXX32" s="28">
        <f t="shared" si="126"/>
        <v>0</v>
      </c>
      <c r="CXY32" s="28">
        <f t="shared" si="126"/>
        <v>0</v>
      </c>
      <c r="CXZ32" s="28">
        <f t="shared" si="126"/>
        <v>0</v>
      </c>
      <c r="CYA32" s="28">
        <f t="shared" si="126"/>
        <v>0</v>
      </c>
      <c r="CYB32" s="28">
        <f t="shared" si="126"/>
        <v>0</v>
      </c>
      <c r="CYC32" s="28">
        <f t="shared" si="126"/>
        <v>0</v>
      </c>
      <c r="CYD32" s="28">
        <f t="shared" si="126"/>
        <v>0</v>
      </c>
      <c r="CYE32" s="28">
        <f t="shared" si="126"/>
        <v>0</v>
      </c>
      <c r="CYF32" s="28">
        <f t="shared" si="126"/>
        <v>0</v>
      </c>
      <c r="CYG32" s="28">
        <f t="shared" si="126"/>
        <v>0</v>
      </c>
      <c r="CYH32" s="28">
        <f t="shared" si="126"/>
        <v>0</v>
      </c>
      <c r="CYI32" s="28">
        <f t="shared" si="126"/>
        <v>0</v>
      </c>
      <c r="CYJ32" s="28">
        <f t="shared" si="126"/>
        <v>0</v>
      </c>
      <c r="CYK32" s="28">
        <f t="shared" si="126"/>
        <v>0</v>
      </c>
      <c r="CYL32" s="28">
        <f t="shared" si="126"/>
        <v>0</v>
      </c>
      <c r="CYM32" s="28">
        <f t="shared" si="126"/>
        <v>0</v>
      </c>
      <c r="CYN32" s="28">
        <f t="shared" si="126"/>
        <v>0</v>
      </c>
      <c r="CYO32" s="28">
        <f t="shared" si="126"/>
        <v>0</v>
      </c>
      <c r="CYP32" s="28">
        <f t="shared" si="126"/>
        <v>0</v>
      </c>
      <c r="CYQ32" s="28">
        <f t="shared" si="126"/>
        <v>0</v>
      </c>
      <c r="CYR32" s="28">
        <f t="shared" si="126"/>
        <v>0</v>
      </c>
      <c r="CYS32" s="28">
        <f t="shared" ref="CYS32:DBD32" si="127">IFERROR(CYS31/CYS$4,0)</f>
        <v>0</v>
      </c>
      <c r="CYT32" s="28">
        <f t="shared" si="127"/>
        <v>0</v>
      </c>
      <c r="CYU32" s="28">
        <f t="shared" si="127"/>
        <v>0</v>
      </c>
      <c r="CYV32" s="28">
        <f t="shared" si="127"/>
        <v>0</v>
      </c>
      <c r="CYW32" s="28">
        <f t="shared" si="127"/>
        <v>0</v>
      </c>
      <c r="CYX32" s="28">
        <f t="shared" si="127"/>
        <v>0</v>
      </c>
      <c r="CYY32" s="28">
        <f t="shared" si="127"/>
        <v>0</v>
      </c>
      <c r="CYZ32" s="28">
        <f t="shared" si="127"/>
        <v>0</v>
      </c>
      <c r="CZA32" s="28">
        <f t="shared" si="127"/>
        <v>0</v>
      </c>
      <c r="CZB32" s="28">
        <f t="shared" si="127"/>
        <v>0</v>
      </c>
      <c r="CZC32" s="28">
        <f t="shared" si="127"/>
        <v>0</v>
      </c>
      <c r="CZD32" s="28">
        <f t="shared" si="127"/>
        <v>0</v>
      </c>
      <c r="CZE32" s="28">
        <f t="shared" si="127"/>
        <v>0</v>
      </c>
      <c r="CZF32" s="28">
        <f t="shared" si="127"/>
        <v>0</v>
      </c>
      <c r="CZG32" s="28">
        <f t="shared" si="127"/>
        <v>0</v>
      </c>
      <c r="CZH32" s="28">
        <f t="shared" si="127"/>
        <v>0</v>
      </c>
      <c r="CZI32" s="28">
        <f t="shared" si="127"/>
        <v>0</v>
      </c>
      <c r="CZJ32" s="28">
        <f t="shared" si="127"/>
        <v>0</v>
      </c>
      <c r="CZK32" s="28">
        <f t="shared" si="127"/>
        <v>0</v>
      </c>
      <c r="CZL32" s="28">
        <f t="shared" si="127"/>
        <v>0</v>
      </c>
      <c r="CZM32" s="28">
        <f t="shared" si="127"/>
        <v>0</v>
      </c>
      <c r="CZN32" s="28">
        <f t="shared" si="127"/>
        <v>0</v>
      </c>
      <c r="CZO32" s="28">
        <f t="shared" si="127"/>
        <v>0</v>
      </c>
      <c r="CZP32" s="28">
        <f t="shared" si="127"/>
        <v>0</v>
      </c>
      <c r="CZQ32" s="28">
        <f t="shared" si="127"/>
        <v>0</v>
      </c>
      <c r="CZR32" s="28">
        <f t="shared" si="127"/>
        <v>0</v>
      </c>
      <c r="CZS32" s="28">
        <f t="shared" si="127"/>
        <v>0</v>
      </c>
      <c r="CZT32" s="28">
        <f t="shared" si="127"/>
        <v>0</v>
      </c>
      <c r="CZU32" s="28">
        <f t="shared" si="127"/>
        <v>0</v>
      </c>
      <c r="CZV32" s="28">
        <f t="shared" si="127"/>
        <v>0</v>
      </c>
      <c r="CZW32" s="28">
        <f t="shared" si="127"/>
        <v>0</v>
      </c>
      <c r="CZX32" s="28">
        <f t="shared" si="127"/>
        <v>0</v>
      </c>
      <c r="CZY32" s="28">
        <f t="shared" si="127"/>
        <v>0</v>
      </c>
      <c r="CZZ32" s="28">
        <f t="shared" si="127"/>
        <v>0</v>
      </c>
      <c r="DAA32" s="28">
        <f t="shared" si="127"/>
        <v>0</v>
      </c>
      <c r="DAB32" s="28">
        <f t="shared" si="127"/>
        <v>0</v>
      </c>
      <c r="DAC32" s="28">
        <f t="shared" si="127"/>
        <v>0</v>
      </c>
      <c r="DAD32" s="28">
        <f t="shared" si="127"/>
        <v>0</v>
      </c>
      <c r="DAE32" s="28">
        <f t="shared" si="127"/>
        <v>0</v>
      </c>
      <c r="DAF32" s="28">
        <f t="shared" si="127"/>
        <v>0</v>
      </c>
      <c r="DAG32" s="28">
        <f t="shared" si="127"/>
        <v>0</v>
      </c>
      <c r="DAH32" s="28">
        <f t="shared" si="127"/>
        <v>0</v>
      </c>
      <c r="DAI32" s="28">
        <f t="shared" si="127"/>
        <v>0</v>
      </c>
      <c r="DAJ32" s="28">
        <f t="shared" si="127"/>
        <v>0</v>
      </c>
      <c r="DAK32" s="28">
        <f t="shared" si="127"/>
        <v>0</v>
      </c>
      <c r="DAL32" s="28">
        <f t="shared" si="127"/>
        <v>0</v>
      </c>
      <c r="DAM32" s="28">
        <f t="shared" si="127"/>
        <v>0</v>
      </c>
      <c r="DAN32" s="28">
        <f t="shared" si="127"/>
        <v>0</v>
      </c>
      <c r="DAO32" s="28">
        <f t="shared" si="127"/>
        <v>0</v>
      </c>
      <c r="DAP32" s="28">
        <f t="shared" si="127"/>
        <v>0</v>
      </c>
      <c r="DAQ32" s="28">
        <f t="shared" si="127"/>
        <v>0</v>
      </c>
      <c r="DAR32" s="28">
        <f t="shared" si="127"/>
        <v>0</v>
      </c>
      <c r="DAS32" s="28">
        <f t="shared" si="127"/>
        <v>0</v>
      </c>
      <c r="DAT32" s="28">
        <f t="shared" si="127"/>
        <v>0</v>
      </c>
      <c r="DAU32" s="28">
        <f t="shared" si="127"/>
        <v>0</v>
      </c>
      <c r="DAV32" s="28">
        <f t="shared" si="127"/>
        <v>0</v>
      </c>
      <c r="DAW32" s="28">
        <f t="shared" si="127"/>
        <v>0</v>
      </c>
      <c r="DAX32" s="28">
        <f t="shared" si="127"/>
        <v>0</v>
      </c>
      <c r="DAY32" s="28">
        <f t="shared" si="127"/>
        <v>0</v>
      </c>
      <c r="DAZ32" s="28">
        <f t="shared" si="127"/>
        <v>0</v>
      </c>
      <c r="DBA32" s="28">
        <f t="shared" si="127"/>
        <v>0</v>
      </c>
      <c r="DBB32" s="28">
        <f t="shared" si="127"/>
        <v>0</v>
      </c>
      <c r="DBC32" s="28">
        <f t="shared" si="127"/>
        <v>0</v>
      </c>
      <c r="DBD32" s="28">
        <f t="shared" si="127"/>
        <v>0</v>
      </c>
      <c r="DBE32" s="28">
        <f t="shared" ref="DBE32:DDP32" si="128">IFERROR(DBE31/DBE$4,0)</f>
        <v>0</v>
      </c>
      <c r="DBF32" s="28">
        <f t="shared" si="128"/>
        <v>0</v>
      </c>
      <c r="DBG32" s="28">
        <f t="shared" si="128"/>
        <v>0</v>
      </c>
      <c r="DBH32" s="28">
        <f t="shared" si="128"/>
        <v>0</v>
      </c>
      <c r="DBI32" s="28">
        <f t="shared" si="128"/>
        <v>0</v>
      </c>
      <c r="DBJ32" s="28">
        <f t="shared" si="128"/>
        <v>0</v>
      </c>
      <c r="DBK32" s="28">
        <f t="shared" si="128"/>
        <v>0</v>
      </c>
      <c r="DBL32" s="28">
        <f t="shared" si="128"/>
        <v>0</v>
      </c>
      <c r="DBM32" s="28">
        <f t="shared" si="128"/>
        <v>0</v>
      </c>
      <c r="DBN32" s="28">
        <f t="shared" si="128"/>
        <v>0</v>
      </c>
      <c r="DBO32" s="28">
        <f t="shared" si="128"/>
        <v>0</v>
      </c>
      <c r="DBP32" s="28">
        <f t="shared" si="128"/>
        <v>0</v>
      </c>
      <c r="DBQ32" s="28">
        <f t="shared" si="128"/>
        <v>0</v>
      </c>
      <c r="DBR32" s="28">
        <f t="shared" si="128"/>
        <v>0</v>
      </c>
      <c r="DBS32" s="28">
        <f t="shared" si="128"/>
        <v>0</v>
      </c>
      <c r="DBT32" s="28">
        <f t="shared" si="128"/>
        <v>0</v>
      </c>
      <c r="DBU32" s="28">
        <f t="shared" si="128"/>
        <v>0</v>
      </c>
      <c r="DBV32" s="28">
        <f t="shared" si="128"/>
        <v>0</v>
      </c>
      <c r="DBW32" s="28">
        <f t="shared" si="128"/>
        <v>0</v>
      </c>
      <c r="DBX32" s="28">
        <f t="shared" si="128"/>
        <v>0</v>
      </c>
      <c r="DBY32" s="28">
        <f t="shared" si="128"/>
        <v>0</v>
      </c>
      <c r="DBZ32" s="28">
        <f t="shared" si="128"/>
        <v>0</v>
      </c>
      <c r="DCA32" s="28">
        <f t="shared" si="128"/>
        <v>0</v>
      </c>
      <c r="DCB32" s="28">
        <f t="shared" si="128"/>
        <v>0</v>
      </c>
      <c r="DCC32" s="28">
        <f t="shared" si="128"/>
        <v>0</v>
      </c>
      <c r="DCD32" s="28">
        <f t="shared" si="128"/>
        <v>0</v>
      </c>
      <c r="DCE32" s="28">
        <f t="shared" si="128"/>
        <v>0</v>
      </c>
      <c r="DCF32" s="28">
        <f t="shared" si="128"/>
        <v>0</v>
      </c>
      <c r="DCG32" s="28">
        <f t="shared" si="128"/>
        <v>0</v>
      </c>
      <c r="DCH32" s="28">
        <f t="shared" si="128"/>
        <v>0</v>
      </c>
      <c r="DCI32" s="28">
        <f t="shared" si="128"/>
        <v>0</v>
      </c>
      <c r="DCJ32" s="28">
        <f t="shared" si="128"/>
        <v>0</v>
      </c>
      <c r="DCK32" s="28">
        <f t="shared" si="128"/>
        <v>0</v>
      </c>
      <c r="DCL32" s="28">
        <f t="shared" si="128"/>
        <v>0</v>
      </c>
      <c r="DCM32" s="28">
        <f t="shared" si="128"/>
        <v>0</v>
      </c>
      <c r="DCN32" s="28">
        <f t="shared" si="128"/>
        <v>0</v>
      </c>
      <c r="DCO32" s="28">
        <f t="shared" si="128"/>
        <v>0</v>
      </c>
      <c r="DCP32" s="28">
        <f t="shared" si="128"/>
        <v>0</v>
      </c>
      <c r="DCQ32" s="28">
        <f t="shared" si="128"/>
        <v>0</v>
      </c>
      <c r="DCR32" s="28">
        <f t="shared" si="128"/>
        <v>0</v>
      </c>
      <c r="DCS32" s="28">
        <f t="shared" si="128"/>
        <v>0</v>
      </c>
      <c r="DCT32" s="28">
        <f t="shared" si="128"/>
        <v>0</v>
      </c>
      <c r="DCU32" s="28">
        <f t="shared" si="128"/>
        <v>0</v>
      </c>
      <c r="DCV32" s="28">
        <f t="shared" si="128"/>
        <v>0</v>
      </c>
      <c r="DCW32" s="28">
        <f t="shared" si="128"/>
        <v>0</v>
      </c>
      <c r="DCX32" s="28">
        <f t="shared" si="128"/>
        <v>0</v>
      </c>
      <c r="DCY32" s="28">
        <f t="shared" si="128"/>
        <v>0</v>
      </c>
      <c r="DCZ32" s="28">
        <f t="shared" si="128"/>
        <v>0</v>
      </c>
      <c r="DDA32" s="28">
        <f t="shared" si="128"/>
        <v>0</v>
      </c>
      <c r="DDB32" s="28">
        <f t="shared" si="128"/>
        <v>0</v>
      </c>
      <c r="DDC32" s="28">
        <f t="shared" si="128"/>
        <v>0</v>
      </c>
      <c r="DDD32" s="28">
        <f t="shared" si="128"/>
        <v>0</v>
      </c>
      <c r="DDE32" s="28">
        <f t="shared" si="128"/>
        <v>0</v>
      </c>
      <c r="DDF32" s="28">
        <f t="shared" si="128"/>
        <v>0</v>
      </c>
      <c r="DDG32" s="28">
        <f t="shared" si="128"/>
        <v>0</v>
      </c>
      <c r="DDH32" s="28">
        <f t="shared" si="128"/>
        <v>0</v>
      </c>
      <c r="DDI32" s="28">
        <f t="shared" si="128"/>
        <v>0</v>
      </c>
      <c r="DDJ32" s="28">
        <f t="shared" si="128"/>
        <v>0</v>
      </c>
      <c r="DDK32" s="28">
        <f t="shared" si="128"/>
        <v>0</v>
      </c>
      <c r="DDL32" s="28">
        <f t="shared" si="128"/>
        <v>0</v>
      </c>
      <c r="DDM32" s="28">
        <f t="shared" si="128"/>
        <v>0</v>
      </c>
      <c r="DDN32" s="28">
        <f t="shared" si="128"/>
        <v>0</v>
      </c>
      <c r="DDO32" s="28">
        <f t="shared" si="128"/>
        <v>0</v>
      </c>
      <c r="DDP32" s="28">
        <f t="shared" si="128"/>
        <v>0</v>
      </c>
      <c r="DDQ32" s="28">
        <f t="shared" ref="DDQ32:DGB32" si="129">IFERROR(DDQ31/DDQ$4,0)</f>
        <v>0</v>
      </c>
      <c r="DDR32" s="28">
        <f t="shared" si="129"/>
        <v>0</v>
      </c>
      <c r="DDS32" s="28">
        <f t="shared" si="129"/>
        <v>0</v>
      </c>
      <c r="DDT32" s="28">
        <f t="shared" si="129"/>
        <v>0</v>
      </c>
      <c r="DDU32" s="28">
        <f t="shared" si="129"/>
        <v>0</v>
      </c>
      <c r="DDV32" s="28">
        <f t="shared" si="129"/>
        <v>0</v>
      </c>
      <c r="DDW32" s="28">
        <f t="shared" si="129"/>
        <v>0</v>
      </c>
      <c r="DDX32" s="28">
        <f t="shared" si="129"/>
        <v>0</v>
      </c>
      <c r="DDY32" s="28">
        <f t="shared" si="129"/>
        <v>0</v>
      </c>
      <c r="DDZ32" s="28">
        <f t="shared" si="129"/>
        <v>0</v>
      </c>
      <c r="DEA32" s="28">
        <f t="shared" si="129"/>
        <v>0</v>
      </c>
      <c r="DEB32" s="28">
        <f t="shared" si="129"/>
        <v>0</v>
      </c>
      <c r="DEC32" s="28">
        <f t="shared" si="129"/>
        <v>0</v>
      </c>
      <c r="DED32" s="28">
        <f t="shared" si="129"/>
        <v>0</v>
      </c>
      <c r="DEE32" s="28">
        <f t="shared" si="129"/>
        <v>0</v>
      </c>
      <c r="DEF32" s="28">
        <f t="shared" si="129"/>
        <v>0</v>
      </c>
      <c r="DEG32" s="28">
        <f t="shared" si="129"/>
        <v>0</v>
      </c>
      <c r="DEH32" s="28">
        <f t="shared" si="129"/>
        <v>0</v>
      </c>
      <c r="DEI32" s="28">
        <f t="shared" si="129"/>
        <v>0</v>
      </c>
      <c r="DEJ32" s="28">
        <f t="shared" si="129"/>
        <v>0</v>
      </c>
      <c r="DEK32" s="28">
        <f t="shared" si="129"/>
        <v>0</v>
      </c>
      <c r="DEL32" s="28">
        <f t="shared" si="129"/>
        <v>0</v>
      </c>
      <c r="DEM32" s="28">
        <f t="shared" si="129"/>
        <v>0</v>
      </c>
      <c r="DEN32" s="28">
        <f t="shared" si="129"/>
        <v>0</v>
      </c>
      <c r="DEO32" s="28">
        <f t="shared" si="129"/>
        <v>0</v>
      </c>
      <c r="DEP32" s="28">
        <f t="shared" si="129"/>
        <v>0</v>
      </c>
      <c r="DEQ32" s="28">
        <f t="shared" si="129"/>
        <v>0</v>
      </c>
      <c r="DER32" s="28">
        <f t="shared" si="129"/>
        <v>0</v>
      </c>
      <c r="DES32" s="28">
        <f t="shared" si="129"/>
        <v>0</v>
      </c>
      <c r="DET32" s="28">
        <f t="shared" si="129"/>
        <v>0</v>
      </c>
      <c r="DEU32" s="28">
        <f t="shared" si="129"/>
        <v>0</v>
      </c>
      <c r="DEV32" s="28">
        <f t="shared" si="129"/>
        <v>0</v>
      </c>
      <c r="DEW32" s="28">
        <f t="shared" si="129"/>
        <v>0</v>
      </c>
      <c r="DEX32" s="28">
        <f t="shared" si="129"/>
        <v>0</v>
      </c>
      <c r="DEY32" s="28">
        <f t="shared" si="129"/>
        <v>0</v>
      </c>
      <c r="DEZ32" s="28">
        <f t="shared" si="129"/>
        <v>0</v>
      </c>
      <c r="DFA32" s="28">
        <f t="shared" si="129"/>
        <v>0</v>
      </c>
      <c r="DFB32" s="28">
        <f t="shared" si="129"/>
        <v>0</v>
      </c>
      <c r="DFC32" s="28">
        <f t="shared" si="129"/>
        <v>0</v>
      </c>
      <c r="DFD32" s="28">
        <f t="shared" si="129"/>
        <v>0</v>
      </c>
      <c r="DFE32" s="28">
        <f t="shared" si="129"/>
        <v>0</v>
      </c>
      <c r="DFF32" s="28">
        <f t="shared" si="129"/>
        <v>0</v>
      </c>
      <c r="DFG32" s="28">
        <f t="shared" si="129"/>
        <v>0</v>
      </c>
      <c r="DFH32" s="28">
        <f t="shared" si="129"/>
        <v>0</v>
      </c>
      <c r="DFI32" s="28">
        <f t="shared" si="129"/>
        <v>0</v>
      </c>
      <c r="DFJ32" s="28">
        <f t="shared" si="129"/>
        <v>0</v>
      </c>
      <c r="DFK32" s="28">
        <f t="shared" si="129"/>
        <v>0</v>
      </c>
      <c r="DFL32" s="28">
        <f t="shared" si="129"/>
        <v>0</v>
      </c>
      <c r="DFM32" s="28">
        <f t="shared" si="129"/>
        <v>0</v>
      </c>
      <c r="DFN32" s="28">
        <f t="shared" si="129"/>
        <v>0</v>
      </c>
      <c r="DFO32" s="28">
        <f t="shared" si="129"/>
        <v>0</v>
      </c>
      <c r="DFP32" s="28">
        <f t="shared" si="129"/>
        <v>0</v>
      </c>
      <c r="DFQ32" s="28">
        <f t="shared" si="129"/>
        <v>0</v>
      </c>
      <c r="DFR32" s="28">
        <f t="shared" si="129"/>
        <v>0</v>
      </c>
      <c r="DFS32" s="28">
        <f t="shared" si="129"/>
        <v>0</v>
      </c>
      <c r="DFT32" s="28">
        <f t="shared" si="129"/>
        <v>0</v>
      </c>
      <c r="DFU32" s="28">
        <f t="shared" si="129"/>
        <v>0</v>
      </c>
      <c r="DFV32" s="28">
        <f t="shared" si="129"/>
        <v>0</v>
      </c>
      <c r="DFW32" s="28">
        <f t="shared" si="129"/>
        <v>0</v>
      </c>
      <c r="DFX32" s="28">
        <f t="shared" si="129"/>
        <v>0</v>
      </c>
      <c r="DFY32" s="28">
        <f t="shared" si="129"/>
        <v>0</v>
      </c>
      <c r="DFZ32" s="28">
        <f t="shared" si="129"/>
        <v>0</v>
      </c>
      <c r="DGA32" s="28">
        <f t="shared" si="129"/>
        <v>0</v>
      </c>
      <c r="DGB32" s="28">
        <f t="shared" si="129"/>
        <v>0</v>
      </c>
      <c r="DGC32" s="28">
        <f t="shared" ref="DGC32:DIN32" si="130">IFERROR(DGC31/DGC$4,0)</f>
        <v>0</v>
      </c>
      <c r="DGD32" s="28">
        <f t="shared" si="130"/>
        <v>0</v>
      </c>
      <c r="DGE32" s="28">
        <f t="shared" si="130"/>
        <v>0</v>
      </c>
      <c r="DGF32" s="28">
        <f t="shared" si="130"/>
        <v>0</v>
      </c>
      <c r="DGG32" s="28">
        <f t="shared" si="130"/>
        <v>0</v>
      </c>
      <c r="DGH32" s="28">
        <f t="shared" si="130"/>
        <v>0</v>
      </c>
      <c r="DGI32" s="28">
        <f t="shared" si="130"/>
        <v>0</v>
      </c>
      <c r="DGJ32" s="28">
        <f t="shared" si="130"/>
        <v>0</v>
      </c>
      <c r="DGK32" s="28">
        <f t="shared" si="130"/>
        <v>0</v>
      </c>
      <c r="DGL32" s="28">
        <f t="shared" si="130"/>
        <v>0</v>
      </c>
      <c r="DGM32" s="28">
        <f t="shared" si="130"/>
        <v>0</v>
      </c>
      <c r="DGN32" s="28">
        <f t="shared" si="130"/>
        <v>0</v>
      </c>
      <c r="DGO32" s="28">
        <f t="shared" si="130"/>
        <v>0</v>
      </c>
      <c r="DGP32" s="28">
        <f t="shared" si="130"/>
        <v>0</v>
      </c>
      <c r="DGQ32" s="28">
        <f t="shared" si="130"/>
        <v>0</v>
      </c>
      <c r="DGR32" s="28">
        <f t="shared" si="130"/>
        <v>0</v>
      </c>
      <c r="DGS32" s="28">
        <f t="shared" si="130"/>
        <v>0</v>
      </c>
      <c r="DGT32" s="28">
        <f t="shared" si="130"/>
        <v>0</v>
      </c>
      <c r="DGU32" s="28">
        <f t="shared" si="130"/>
        <v>0</v>
      </c>
      <c r="DGV32" s="28">
        <f t="shared" si="130"/>
        <v>0</v>
      </c>
      <c r="DGW32" s="28">
        <f t="shared" si="130"/>
        <v>0</v>
      </c>
      <c r="DGX32" s="28">
        <f t="shared" si="130"/>
        <v>0</v>
      </c>
      <c r="DGY32" s="28">
        <f t="shared" si="130"/>
        <v>0</v>
      </c>
      <c r="DGZ32" s="28">
        <f t="shared" si="130"/>
        <v>0</v>
      </c>
      <c r="DHA32" s="28">
        <f t="shared" si="130"/>
        <v>0</v>
      </c>
      <c r="DHB32" s="28">
        <f t="shared" si="130"/>
        <v>0</v>
      </c>
      <c r="DHC32" s="28">
        <f t="shared" si="130"/>
        <v>0</v>
      </c>
      <c r="DHD32" s="28">
        <f t="shared" si="130"/>
        <v>0</v>
      </c>
      <c r="DHE32" s="28">
        <f t="shared" si="130"/>
        <v>0</v>
      </c>
      <c r="DHF32" s="28">
        <f t="shared" si="130"/>
        <v>0</v>
      </c>
      <c r="DHG32" s="28">
        <f t="shared" si="130"/>
        <v>0</v>
      </c>
      <c r="DHH32" s="28">
        <f t="shared" si="130"/>
        <v>0</v>
      </c>
      <c r="DHI32" s="28">
        <f t="shared" si="130"/>
        <v>0</v>
      </c>
      <c r="DHJ32" s="28">
        <f t="shared" si="130"/>
        <v>0</v>
      </c>
      <c r="DHK32" s="28">
        <f t="shared" si="130"/>
        <v>0</v>
      </c>
      <c r="DHL32" s="28">
        <f t="shared" si="130"/>
        <v>0</v>
      </c>
      <c r="DHM32" s="28">
        <f t="shared" si="130"/>
        <v>0</v>
      </c>
      <c r="DHN32" s="28">
        <f t="shared" si="130"/>
        <v>0</v>
      </c>
      <c r="DHO32" s="28">
        <f t="shared" si="130"/>
        <v>0</v>
      </c>
      <c r="DHP32" s="28">
        <f t="shared" si="130"/>
        <v>0</v>
      </c>
      <c r="DHQ32" s="28">
        <f t="shared" si="130"/>
        <v>0</v>
      </c>
      <c r="DHR32" s="28">
        <f t="shared" si="130"/>
        <v>0</v>
      </c>
      <c r="DHS32" s="28">
        <f t="shared" si="130"/>
        <v>0</v>
      </c>
      <c r="DHT32" s="28">
        <f t="shared" si="130"/>
        <v>0</v>
      </c>
      <c r="DHU32" s="28">
        <f t="shared" si="130"/>
        <v>0</v>
      </c>
      <c r="DHV32" s="28">
        <f t="shared" si="130"/>
        <v>0</v>
      </c>
      <c r="DHW32" s="28">
        <f t="shared" si="130"/>
        <v>0</v>
      </c>
      <c r="DHX32" s="28">
        <f t="shared" si="130"/>
        <v>0</v>
      </c>
      <c r="DHY32" s="28">
        <f t="shared" si="130"/>
        <v>0</v>
      </c>
      <c r="DHZ32" s="28">
        <f t="shared" si="130"/>
        <v>0</v>
      </c>
      <c r="DIA32" s="28">
        <f t="shared" si="130"/>
        <v>0</v>
      </c>
      <c r="DIB32" s="28">
        <f t="shared" si="130"/>
        <v>0</v>
      </c>
      <c r="DIC32" s="28">
        <f t="shared" si="130"/>
        <v>0</v>
      </c>
      <c r="DID32" s="28">
        <f t="shared" si="130"/>
        <v>0</v>
      </c>
      <c r="DIE32" s="28">
        <f t="shared" si="130"/>
        <v>0</v>
      </c>
      <c r="DIF32" s="28">
        <f t="shared" si="130"/>
        <v>0</v>
      </c>
      <c r="DIG32" s="28">
        <f t="shared" si="130"/>
        <v>0</v>
      </c>
      <c r="DIH32" s="28">
        <f t="shared" si="130"/>
        <v>0</v>
      </c>
      <c r="DII32" s="28">
        <f t="shared" si="130"/>
        <v>0</v>
      </c>
      <c r="DIJ32" s="28">
        <f t="shared" si="130"/>
        <v>0</v>
      </c>
      <c r="DIK32" s="28">
        <f t="shared" si="130"/>
        <v>0</v>
      </c>
      <c r="DIL32" s="28">
        <f t="shared" si="130"/>
        <v>0</v>
      </c>
      <c r="DIM32" s="28">
        <f t="shared" si="130"/>
        <v>0</v>
      </c>
      <c r="DIN32" s="28">
        <f t="shared" si="130"/>
        <v>0</v>
      </c>
      <c r="DIO32" s="28">
        <f t="shared" ref="DIO32:DKZ32" si="131">IFERROR(DIO31/DIO$4,0)</f>
        <v>0</v>
      </c>
      <c r="DIP32" s="28">
        <f t="shared" si="131"/>
        <v>0</v>
      </c>
      <c r="DIQ32" s="28">
        <f t="shared" si="131"/>
        <v>0</v>
      </c>
      <c r="DIR32" s="28">
        <f t="shared" si="131"/>
        <v>0</v>
      </c>
      <c r="DIS32" s="28">
        <f t="shared" si="131"/>
        <v>0</v>
      </c>
      <c r="DIT32" s="28">
        <f t="shared" si="131"/>
        <v>0</v>
      </c>
      <c r="DIU32" s="28">
        <f t="shared" si="131"/>
        <v>0</v>
      </c>
      <c r="DIV32" s="28">
        <f t="shared" si="131"/>
        <v>0</v>
      </c>
      <c r="DIW32" s="28">
        <f t="shared" si="131"/>
        <v>0</v>
      </c>
      <c r="DIX32" s="28">
        <f t="shared" si="131"/>
        <v>0</v>
      </c>
      <c r="DIY32" s="28">
        <f t="shared" si="131"/>
        <v>0</v>
      </c>
      <c r="DIZ32" s="28">
        <f t="shared" si="131"/>
        <v>0</v>
      </c>
      <c r="DJA32" s="28">
        <f t="shared" si="131"/>
        <v>0</v>
      </c>
      <c r="DJB32" s="28">
        <f t="shared" si="131"/>
        <v>0</v>
      </c>
      <c r="DJC32" s="28">
        <f t="shared" si="131"/>
        <v>0</v>
      </c>
      <c r="DJD32" s="28">
        <f t="shared" si="131"/>
        <v>0</v>
      </c>
      <c r="DJE32" s="28">
        <f t="shared" si="131"/>
        <v>0</v>
      </c>
      <c r="DJF32" s="28">
        <f t="shared" si="131"/>
        <v>0</v>
      </c>
      <c r="DJG32" s="28">
        <f t="shared" si="131"/>
        <v>0</v>
      </c>
      <c r="DJH32" s="28">
        <f t="shared" si="131"/>
        <v>0</v>
      </c>
      <c r="DJI32" s="28">
        <f t="shared" si="131"/>
        <v>0</v>
      </c>
      <c r="DJJ32" s="28">
        <f t="shared" si="131"/>
        <v>0</v>
      </c>
      <c r="DJK32" s="28">
        <f t="shared" si="131"/>
        <v>0</v>
      </c>
      <c r="DJL32" s="28">
        <f t="shared" si="131"/>
        <v>0</v>
      </c>
      <c r="DJM32" s="28">
        <f t="shared" si="131"/>
        <v>0</v>
      </c>
      <c r="DJN32" s="28">
        <f t="shared" si="131"/>
        <v>0</v>
      </c>
      <c r="DJO32" s="28">
        <f t="shared" si="131"/>
        <v>0</v>
      </c>
      <c r="DJP32" s="28">
        <f t="shared" si="131"/>
        <v>0</v>
      </c>
      <c r="DJQ32" s="28">
        <f t="shared" si="131"/>
        <v>0</v>
      </c>
      <c r="DJR32" s="28">
        <f t="shared" si="131"/>
        <v>0</v>
      </c>
      <c r="DJS32" s="28">
        <f t="shared" si="131"/>
        <v>0</v>
      </c>
      <c r="DJT32" s="28">
        <f t="shared" si="131"/>
        <v>0</v>
      </c>
      <c r="DJU32" s="28">
        <f t="shared" si="131"/>
        <v>0</v>
      </c>
      <c r="DJV32" s="28">
        <f t="shared" si="131"/>
        <v>0</v>
      </c>
      <c r="DJW32" s="28">
        <f t="shared" si="131"/>
        <v>0</v>
      </c>
      <c r="DJX32" s="28">
        <f t="shared" si="131"/>
        <v>0</v>
      </c>
      <c r="DJY32" s="28">
        <f t="shared" si="131"/>
        <v>0</v>
      </c>
      <c r="DJZ32" s="28">
        <f t="shared" si="131"/>
        <v>0</v>
      </c>
      <c r="DKA32" s="28">
        <f t="shared" si="131"/>
        <v>0</v>
      </c>
      <c r="DKB32" s="28">
        <f t="shared" si="131"/>
        <v>0</v>
      </c>
      <c r="DKC32" s="28">
        <f t="shared" si="131"/>
        <v>0</v>
      </c>
      <c r="DKD32" s="28">
        <f t="shared" si="131"/>
        <v>0</v>
      </c>
      <c r="DKE32" s="28">
        <f t="shared" si="131"/>
        <v>0</v>
      </c>
      <c r="DKF32" s="28">
        <f t="shared" si="131"/>
        <v>0</v>
      </c>
      <c r="DKG32" s="28">
        <f t="shared" si="131"/>
        <v>0</v>
      </c>
      <c r="DKH32" s="28">
        <f t="shared" si="131"/>
        <v>0</v>
      </c>
      <c r="DKI32" s="28">
        <f t="shared" si="131"/>
        <v>0</v>
      </c>
      <c r="DKJ32" s="28">
        <f t="shared" si="131"/>
        <v>0</v>
      </c>
      <c r="DKK32" s="28">
        <f t="shared" si="131"/>
        <v>0</v>
      </c>
      <c r="DKL32" s="28">
        <f t="shared" si="131"/>
        <v>0</v>
      </c>
      <c r="DKM32" s="28">
        <f t="shared" si="131"/>
        <v>0</v>
      </c>
      <c r="DKN32" s="28">
        <f t="shared" si="131"/>
        <v>0</v>
      </c>
      <c r="DKO32" s="28">
        <f t="shared" si="131"/>
        <v>0</v>
      </c>
      <c r="DKP32" s="28">
        <f t="shared" si="131"/>
        <v>0</v>
      </c>
      <c r="DKQ32" s="28">
        <f t="shared" si="131"/>
        <v>0</v>
      </c>
      <c r="DKR32" s="28">
        <f t="shared" si="131"/>
        <v>0</v>
      </c>
      <c r="DKS32" s="28">
        <f t="shared" si="131"/>
        <v>0</v>
      </c>
      <c r="DKT32" s="28">
        <f t="shared" si="131"/>
        <v>0</v>
      </c>
      <c r="DKU32" s="28">
        <f t="shared" si="131"/>
        <v>0</v>
      </c>
      <c r="DKV32" s="28">
        <f t="shared" si="131"/>
        <v>0</v>
      </c>
      <c r="DKW32" s="28">
        <f t="shared" si="131"/>
        <v>0</v>
      </c>
      <c r="DKX32" s="28">
        <f t="shared" si="131"/>
        <v>0</v>
      </c>
      <c r="DKY32" s="28">
        <f t="shared" si="131"/>
        <v>0</v>
      </c>
      <c r="DKZ32" s="28">
        <f t="shared" si="131"/>
        <v>0</v>
      </c>
      <c r="DLA32" s="28">
        <f t="shared" ref="DLA32:DNL32" si="132">IFERROR(DLA31/DLA$4,0)</f>
        <v>0</v>
      </c>
      <c r="DLB32" s="28">
        <f t="shared" si="132"/>
        <v>0</v>
      </c>
      <c r="DLC32" s="28">
        <f t="shared" si="132"/>
        <v>0</v>
      </c>
      <c r="DLD32" s="28">
        <f t="shared" si="132"/>
        <v>0</v>
      </c>
      <c r="DLE32" s="28">
        <f t="shared" si="132"/>
        <v>0</v>
      </c>
      <c r="DLF32" s="28">
        <f t="shared" si="132"/>
        <v>0</v>
      </c>
      <c r="DLG32" s="28">
        <f t="shared" si="132"/>
        <v>0</v>
      </c>
      <c r="DLH32" s="28">
        <f t="shared" si="132"/>
        <v>0</v>
      </c>
      <c r="DLI32" s="28">
        <f t="shared" si="132"/>
        <v>0</v>
      </c>
      <c r="DLJ32" s="28">
        <f t="shared" si="132"/>
        <v>0</v>
      </c>
      <c r="DLK32" s="28">
        <f t="shared" si="132"/>
        <v>0</v>
      </c>
      <c r="DLL32" s="28">
        <f t="shared" si="132"/>
        <v>0</v>
      </c>
      <c r="DLM32" s="28">
        <f t="shared" si="132"/>
        <v>0</v>
      </c>
      <c r="DLN32" s="28">
        <f t="shared" si="132"/>
        <v>0</v>
      </c>
      <c r="DLO32" s="28">
        <f t="shared" si="132"/>
        <v>0</v>
      </c>
      <c r="DLP32" s="28">
        <f t="shared" si="132"/>
        <v>0</v>
      </c>
      <c r="DLQ32" s="28">
        <f t="shared" si="132"/>
        <v>0</v>
      </c>
      <c r="DLR32" s="28">
        <f t="shared" si="132"/>
        <v>0</v>
      </c>
      <c r="DLS32" s="28">
        <f t="shared" si="132"/>
        <v>0</v>
      </c>
      <c r="DLT32" s="28">
        <f t="shared" si="132"/>
        <v>0</v>
      </c>
      <c r="DLU32" s="28">
        <f t="shared" si="132"/>
        <v>0</v>
      </c>
      <c r="DLV32" s="28">
        <f t="shared" si="132"/>
        <v>0</v>
      </c>
      <c r="DLW32" s="28">
        <f t="shared" si="132"/>
        <v>0</v>
      </c>
      <c r="DLX32" s="28">
        <f t="shared" si="132"/>
        <v>0</v>
      </c>
      <c r="DLY32" s="28">
        <f t="shared" si="132"/>
        <v>0</v>
      </c>
      <c r="DLZ32" s="28">
        <f t="shared" si="132"/>
        <v>0</v>
      </c>
      <c r="DMA32" s="28">
        <f t="shared" si="132"/>
        <v>0</v>
      </c>
      <c r="DMB32" s="28">
        <f t="shared" si="132"/>
        <v>0</v>
      </c>
      <c r="DMC32" s="28">
        <f t="shared" si="132"/>
        <v>0</v>
      </c>
      <c r="DMD32" s="28">
        <f t="shared" si="132"/>
        <v>0</v>
      </c>
      <c r="DME32" s="28">
        <f t="shared" si="132"/>
        <v>0</v>
      </c>
      <c r="DMF32" s="28">
        <f t="shared" si="132"/>
        <v>0</v>
      </c>
      <c r="DMG32" s="28">
        <f t="shared" si="132"/>
        <v>0</v>
      </c>
      <c r="DMH32" s="28">
        <f t="shared" si="132"/>
        <v>0</v>
      </c>
      <c r="DMI32" s="28">
        <f t="shared" si="132"/>
        <v>0</v>
      </c>
      <c r="DMJ32" s="28">
        <f t="shared" si="132"/>
        <v>0</v>
      </c>
      <c r="DMK32" s="28">
        <f t="shared" si="132"/>
        <v>0</v>
      </c>
      <c r="DML32" s="28">
        <f t="shared" si="132"/>
        <v>0</v>
      </c>
      <c r="DMM32" s="28">
        <f t="shared" si="132"/>
        <v>0</v>
      </c>
      <c r="DMN32" s="28">
        <f t="shared" si="132"/>
        <v>0</v>
      </c>
      <c r="DMO32" s="28">
        <f t="shared" si="132"/>
        <v>0</v>
      </c>
      <c r="DMP32" s="28">
        <f t="shared" si="132"/>
        <v>0</v>
      </c>
      <c r="DMQ32" s="28">
        <f t="shared" si="132"/>
        <v>0</v>
      </c>
      <c r="DMR32" s="28">
        <f t="shared" si="132"/>
        <v>0</v>
      </c>
      <c r="DMS32" s="28">
        <f t="shared" si="132"/>
        <v>0</v>
      </c>
      <c r="DMT32" s="28">
        <f t="shared" si="132"/>
        <v>0</v>
      </c>
      <c r="DMU32" s="28">
        <f t="shared" si="132"/>
        <v>0</v>
      </c>
      <c r="DMV32" s="28">
        <f t="shared" si="132"/>
        <v>0</v>
      </c>
      <c r="DMW32" s="28">
        <f t="shared" si="132"/>
        <v>0</v>
      </c>
      <c r="DMX32" s="28">
        <f t="shared" si="132"/>
        <v>0</v>
      </c>
      <c r="DMY32" s="28">
        <f t="shared" si="132"/>
        <v>0</v>
      </c>
      <c r="DMZ32" s="28">
        <f t="shared" si="132"/>
        <v>0</v>
      </c>
      <c r="DNA32" s="28">
        <f t="shared" si="132"/>
        <v>0</v>
      </c>
      <c r="DNB32" s="28">
        <f t="shared" si="132"/>
        <v>0</v>
      </c>
      <c r="DNC32" s="28">
        <f t="shared" si="132"/>
        <v>0</v>
      </c>
      <c r="DND32" s="28">
        <f t="shared" si="132"/>
        <v>0</v>
      </c>
      <c r="DNE32" s="28">
        <f t="shared" si="132"/>
        <v>0</v>
      </c>
      <c r="DNF32" s="28">
        <f t="shared" si="132"/>
        <v>0</v>
      </c>
      <c r="DNG32" s="28">
        <f t="shared" si="132"/>
        <v>0</v>
      </c>
      <c r="DNH32" s="28">
        <f t="shared" si="132"/>
        <v>0</v>
      </c>
      <c r="DNI32" s="28">
        <f t="shared" si="132"/>
        <v>0</v>
      </c>
      <c r="DNJ32" s="28">
        <f t="shared" si="132"/>
        <v>0</v>
      </c>
      <c r="DNK32" s="28">
        <f t="shared" si="132"/>
        <v>0</v>
      </c>
      <c r="DNL32" s="28">
        <f t="shared" si="132"/>
        <v>0</v>
      </c>
      <c r="DNM32" s="28">
        <f t="shared" ref="DNM32:DPX32" si="133">IFERROR(DNM31/DNM$4,0)</f>
        <v>0</v>
      </c>
      <c r="DNN32" s="28">
        <f t="shared" si="133"/>
        <v>0</v>
      </c>
      <c r="DNO32" s="28">
        <f t="shared" si="133"/>
        <v>0</v>
      </c>
      <c r="DNP32" s="28">
        <f t="shared" si="133"/>
        <v>0</v>
      </c>
      <c r="DNQ32" s="28">
        <f t="shared" si="133"/>
        <v>0</v>
      </c>
      <c r="DNR32" s="28">
        <f t="shared" si="133"/>
        <v>0</v>
      </c>
      <c r="DNS32" s="28">
        <f t="shared" si="133"/>
        <v>0</v>
      </c>
      <c r="DNT32" s="28">
        <f t="shared" si="133"/>
        <v>0</v>
      </c>
      <c r="DNU32" s="28">
        <f t="shared" si="133"/>
        <v>0</v>
      </c>
      <c r="DNV32" s="28">
        <f t="shared" si="133"/>
        <v>0</v>
      </c>
      <c r="DNW32" s="28">
        <f t="shared" si="133"/>
        <v>0</v>
      </c>
      <c r="DNX32" s="28">
        <f t="shared" si="133"/>
        <v>0</v>
      </c>
      <c r="DNY32" s="28">
        <f t="shared" si="133"/>
        <v>0</v>
      </c>
      <c r="DNZ32" s="28">
        <f t="shared" si="133"/>
        <v>0</v>
      </c>
      <c r="DOA32" s="28">
        <f t="shared" si="133"/>
        <v>0</v>
      </c>
      <c r="DOB32" s="28">
        <f t="shared" si="133"/>
        <v>0</v>
      </c>
      <c r="DOC32" s="28">
        <f t="shared" si="133"/>
        <v>0</v>
      </c>
      <c r="DOD32" s="28">
        <f t="shared" si="133"/>
        <v>0</v>
      </c>
      <c r="DOE32" s="28">
        <f t="shared" si="133"/>
        <v>0</v>
      </c>
      <c r="DOF32" s="28">
        <f t="shared" si="133"/>
        <v>0</v>
      </c>
      <c r="DOG32" s="28">
        <f t="shared" si="133"/>
        <v>0</v>
      </c>
      <c r="DOH32" s="28">
        <f t="shared" si="133"/>
        <v>0</v>
      </c>
      <c r="DOI32" s="28">
        <f t="shared" si="133"/>
        <v>0</v>
      </c>
      <c r="DOJ32" s="28">
        <f t="shared" si="133"/>
        <v>0</v>
      </c>
      <c r="DOK32" s="28">
        <f t="shared" si="133"/>
        <v>0</v>
      </c>
      <c r="DOL32" s="28">
        <f t="shared" si="133"/>
        <v>0</v>
      </c>
      <c r="DOM32" s="28">
        <f t="shared" si="133"/>
        <v>0</v>
      </c>
      <c r="DON32" s="28">
        <f t="shared" si="133"/>
        <v>0</v>
      </c>
      <c r="DOO32" s="28">
        <f t="shared" si="133"/>
        <v>0</v>
      </c>
      <c r="DOP32" s="28">
        <f t="shared" si="133"/>
        <v>0</v>
      </c>
      <c r="DOQ32" s="28">
        <f t="shared" si="133"/>
        <v>0</v>
      </c>
      <c r="DOR32" s="28">
        <f t="shared" si="133"/>
        <v>0</v>
      </c>
      <c r="DOS32" s="28">
        <f t="shared" si="133"/>
        <v>0</v>
      </c>
      <c r="DOT32" s="28">
        <f t="shared" si="133"/>
        <v>0</v>
      </c>
      <c r="DOU32" s="28">
        <f t="shared" si="133"/>
        <v>0</v>
      </c>
      <c r="DOV32" s="28">
        <f t="shared" si="133"/>
        <v>0</v>
      </c>
      <c r="DOW32" s="28">
        <f t="shared" si="133"/>
        <v>0</v>
      </c>
      <c r="DOX32" s="28">
        <f t="shared" si="133"/>
        <v>0</v>
      </c>
      <c r="DOY32" s="28">
        <f t="shared" si="133"/>
        <v>0</v>
      </c>
      <c r="DOZ32" s="28">
        <f t="shared" si="133"/>
        <v>0</v>
      </c>
      <c r="DPA32" s="28">
        <f t="shared" si="133"/>
        <v>0</v>
      </c>
      <c r="DPB32" s="28">
        <f t="shared" si="133"/>
        <v>0</v>
      </c>
      <c r="DPC32" s="28">
        <f t="shared" si="133"/>
        <v>0</v>
      </c>
      <c r="DPD32" s="28">
        <f t="shared" si="133"/>
        <v>0</v>
      </c>
      <c r="DPE32" s="28">
        <f t="shared" si="133"/>
        <v>0</v>
      </c>
      <c r="DPF32" s="28">
        <f t="shared" si="133"/>
        <v>0</v>
      </c>
      <c r="DPG32" s="28">
        <f t="shared" si="133"/>
        <v>0</v>
      </c>
      <c r="DPH32" s="28">
        <f t="shared" si="133"/>
        <v>0</v>
      </c>
      <c r="DPI32" s="28">
        <f t="shared" si="133"/>
        <v>0</v>
      </c>
      <c r="DPJ32" s="28">
        <f t="shared" si="133"/>
        <v>0</v>
      </c>
      <c r="DPK32" s="28">
        <f t="shared" si="133"/>
        <v>0</v>
      </c>
      <c r="DPL32" s="28">
        <f t="shared" si="133"/>
        <v>0</v>
      </c>
      <c r="DPM32" s="28">
        <f t="shared" si="133"/>
        <v>0</v>
      </c>
      <c r="DPN32" s="28">
        <f t="shared" si="133"/>
        <v>0</v>
      </c>
      <c r="DPO32" s="28">
        <f t="shared" si="133"/>
        <v>0</v>
      </c>
      <c r="DPP32" s="28">
        <f t="shared" si="133"/>
        <v>0</v>
      </c>
      <c r="DPQ32" s="28">
        <f t="shared" si="133"/>
        <v>0</v>
      </c>
      <c r="DPR32" s="28">
        <f t="shared" si="133"/>
        <v>0</v>
      </c>
      <c r="DPS32" s="28">
        <f t="shared" si="133"/>
        <v>0</v>
      </c>
      <c r="DPT32" s="28">
        <f t="shared" si="133"/>
        <v>0</v>
      </c>
      <c r="DPU32" s="28">
        <f t="shared" si="133"/>
        <v>0</v>
      </c>
      <c r="DPV32" s="28">
        <f t="shared" si="133"/>
        <v>0</v>
      </c>
      <c r="DPW32" s="28">
        <f t="shared" si="133"/>
        <v>0</v>
      </c>
      <c r="DPX32" s="28">
        <f t="shared" si="133"/>
        <v>0</v>
      </c>
      <c r="DPY32" s="28">
        <f t="shared" ref="DPY32:DSJ32" si="134">IFERROR(DPY31/DPY$4,0)</f>
        <v>0</v>
      </c>
      <c r="DPZ32" s="28">
        <f t="shared" si="134"/>
        <v>0</v>
      </c>
      <c r="DQA32" s="28">
        <f t="shared" si="134"/>
        <v>0</v>
      </c>
      <c r="DQB32" s="28">
        <f t="shared" si="134"/>
        <v>0</v>
      </c>
      <c r="DQC32" s="28">
        <f t="shared" si="134"/>
        <v>0</v>
      </c>
      <c r="DQD32" s="28">
        <f t="shared" si="134"/>
        <v>0</v>
      </c>
      <c r="DQE32" s="28">
        <f t="shared" si="134"/>
        <v>0</v>
      </c>
      <c r="DQF32" s="28">
        <f t="shared" si="134"/>
        <v>0</v>
      </c>
      <c r="DQG32" s="28">
        <f t="shared" si="134"/>
        <v>0</v>
      </c>
      <c r="DQH32" s="28">
        <f t="shared" si="134"/>
        <v>0</v>
      </c>
      <c r="DQI32" s="28">
        <f t="shared" si="134"/>
        <v>0</v>
      </c>
      <c r="DQJ32" s="28">
        <f t="shared" si="134"/>
        <v>0</v>
      </c>
      <c r="DQK32" s="28">
        <f t="shared" si="134"/>
        <v>0</v>
      </c>
      <c r="DQL32" s="28">
        <f t="shared" si="134"/>
        <v>0</v>
      </c>
      <c r="DQM32" s="28">
        <f t="shared" si="134"/>
        <v>0</v>
      </c>
      <c r="DQN32" s="28">
        <f t="shared" si="134"/>
        <v>0</v>
      </c>
      <c r="DQO32" s="28">
        <f t="shared" si="134"/>
        <v>0</v>
      </c>
      <c r="DQP32" s="28">
        <f t="shared" si="134"/>
        <v>0</v>
      </c>
      <c r="DQQ32" s="28">
        <f t="shared" si="134"/>
        <v>0</v>
      </c>
      <c r="DQR32" s="28">
        <f t="shared" si="134"/>
        <v>0</v>
      </c>
      <c r="DQS32" s="28">
        <f t="shared" si="134"/>
        <v>0</v>
      </c>
      <c r="DQT32" s="28">
        <f t="shared" si="134"/>
        <v>0</v>
      </c>
      <c r="DQU32" s="28">
        <f t="shared" si="134"/>
        <v>0</v>
      </c>
      <c r="DQV32" s="28">
        <f t="shared" si="134"/>
        <v>0</v>
      </c>
      <c r="DQW32" s="28">
        <f t="shared" si="134"/>
        <v>0</v>
      </c>
      <c r="DQX32" s="28">
        <f t="shared" si="134"/>
        <v>0</v>
      </c>
      <c r="DQY32" s="28">
        <f t="shared" si="134"/>
        <v>0</v>
      </c>
      <c r="DQZ32" s="28">
        <f t="shared" si="134"/>
        <v>0</v>
      </c>
      <c r="DRA32" s="28">
        <f t="shared" si="134"/>
        <v>0</v>
      </c>
      <c r="DRB32" s="28">
        <f t="shared" si="134"/>
        <v>0</v>
      </c>
      <c r="DRC32" s="28">
        <f t="shared" si="134"/>
        <v>0</v>
      </c>
      <c r="DRD32" s="28">
        <f t="shared" si="134"/>
        <v>0</v>
      </c>
      <c r="DRE32" s="28">
        <f t="shared" si="134"/>
        <v>0</v>
      </c>
      <c r="DRF32" s="28">
        <f t="shared" si="134"/>
        <v>0</v>
      </c>
      <c r="DRG32" s="28">
        <f t="shared" si="134"/>
        <v>0</v>
      </c>
      <c r="DRH32" s="28">
        <f t="shared" si="134"/>
        <v>0</v>
      </c>
      <c r="DRI32" s="28">
        <f t="shared" si="134"/>
        <v>0</v>
      </c>
      <c r="DRJ32" s="28">
        <f t="shared" si="134"/>
        <v>0</v>
      </c>
      <c r="DRK32" s="28">
        <f t="shared" si="134"/>
        <v>0</v>
      </c>
      <c r="DRL32" s="28">
        <f t="shared" si="134"/>
        <v>0</v>
      </c>
      <c r="DRM32" s="28">
        <f t="shared" si="134"/>
        <v>0</v>
      </c>
      <c r="DRN32" s="28">
        <f t="shared" si="134"/>
        <v>0</v>
      </c>
      <c r="DRO32" s="28">
        <f t="shared" si="134"/>
        <v>0</v>
      </c>
      <c r="DRP32" s="28">
        <f t="shared" si="134"/>
        <v>0</v>
      </c>
      <c r="DRQ32" s="28">
        <f t="shared" si="134"/>
        <v>0</v>
      </c>
      <c r="DRR32" s="28">
        <f t="shared" si="134"/>
        <v>0</v>
      </c>
      <c r="DRS32" s="28">
        <f t="shared" si="134"/>
        <v>0</v>
      </c>
      <c r="DRT32" s="28">
        <f t="shared" si="134"/>
        <v>0</v>
      </c>
      <c r="DRU32" s="28">
        <f t="shared" si="134"/>
        <v>0</v>
      </c>
      <c r="DRV32" s="28">
        <f t="shared" si="134"/>
        <v>0</v>
      </c>
      <c r="DRW32" s="28">
        <f t="shared" si="134"/>
        <v>0</v>
      </c>
      <c r="DRX32" s="28">
        <f t="shared" si="134"/>
        <v>0</v>
      </c>
      <c r="DRY32" s="28">
        <f t="shared" si="134"/>
        <v>0</v>
      </c>
      <c r="DRZ32" s="28">
        <f t="shared" si="134"/>
        <v>0</v>
      </c>
      <c r="DSA32" s="28">
        <f t="shared" si="134"/>
        <v>0</v>
      </c>
      <c r="DSB32" s="28">
        <f t="shared" si="134"/>
        <v>0</v>
      </c>
      <c r="DSC32" s="28">
        <f t="shared" si="134"/>
        <v>0</v>
      </c>
      <c r="DSD32" s="28">
        <f t="shared" si="134"/>
        <v>0</v>
      </c>
      <c r="DSE32" s="28">
        <f t="shared" si="134"/>
        <v>0</v>
      </c>
      <c r="DSF32" s="28">
        <f t="shared" si="134"/>
        <v>0</v>
      </c>
      <c r="DSG32" s="28">
        <f t="shared" si="134"/>
        <v>0</v>
      </c>
      <c r="DSH32" s="28">
        <f t="shared" si="134"/>
        <v>0</v>
      </c>
      <c r="DSI32" s="28">
        <f t="shared" si="134"/>
        <v>0</v>
      </c>
      <c r="DSJ32" s="28">
        <f t="shared" si="134"/>
        <v>0</v>
      </c>
      <c r="DSK32" s="28">
        <f t="shared" ref="DSK32:DUV32" si="135">IFERROR(DSK31/DSK$4,0)</f>
        <v>0</v>
      </c>
      <c r="DSL32" s="28">
        <f t="shared" si="135"/>
        <v>0</v>
      </c>
      <c r="DSM32" s="28">
        <f t="shared" si="135"/>
        <v>0</v>
      </c>
      <c r="DSN32" s="28">
        <f t="shared" si="135"/>
        <v>0</v>
      </c>
      <c r="DSO32" s="28">
        <f t="shared" si="135"/>
        <v>0</v>
      </c>
      <c r="DSP32" s="28">
        <f t="shared" si="135"/>
        <v>0</v>
      </c>
      <c r="DSQ32" s="28">
        <f t="shared" si="135"/>
        <v>0</v>
      </c>
      <c r="DSR32" s="28">
        <f t="shared" si="135"/>
        <v>0</v>
      </c>
      <c r="DSS32" s="28">
        <f t="shared" si="135"/>
        <v>0</v>
      </c>
      <c r="DST32" s="28">
        <f t="shared" si="135"/>
        <v>0</v>
      </c>
      <c r="DSU32" s="28">
        <f t="shared" si="135"/>
        <v>0</v>
      </c>
      <c r="DSV32" s="28">
        <f t="shared" si="135"/>
        <v>0</v>
      </c>
      <c r="DSW32" s="28">
        <f t="shared" si="135"/>
        <v>0</v>
      </c>
      <c r="DSX32" s="28">
        <f t="shared" si="135"/>
        <v>0</v>
      </c>
      <c r="DSY32" s="28">
        <f t="shared" si="135"/>
        <v>0</v>
      </c>
      <c r="DSZ32" s="28">
        <f t="shared" si="135"/>
        <v>0</v>
      </c>
      <c r="DTA32" s="28">
        <f t="shared" si="135"/>
        <v>0</v>
      </c>
      <c r="DTB32" s="28">
        <f t="shared" si="135"/>
        <v>0</v>
      </c>
      <c r="DTC32" s="28">
        <f t="shared" si="135"/>
        <v>0</v>
      </c>
      <c r="DTD32" s="28">
        <f t="shared" si="135"/>
        <v>0</v>
      </c>
      <c r="DTE32" s="28">
        <f t="shared" si="135"/>
        <v>0</v>
      </c>
      <c r="DTF32" s="28">
        <f t="shared" si="135"/>
        <v>0</v>
      </c>
      <c r="DTG32" s="28">
        <f t="shared" si="135"/>
        <v>0</v>
      </c>
      <c r="DTH32" s="28">
        <f t="shared" si="135"/>
        <v>0</v>
      </c>
      <c r="DTI32" s="28">
        <f t="shared" si="135"/>
        <v>0</v>
      </c>
      <c r="DTJ32" s="28">
        <f t="shared" si="135"/>
        <v>0</v>
      </c>
      <c r="DTK32" s="28">
        <f t="shared" si="135"/>
        <v>0</v>
      </c>
      <c r="DTL32" s="28">
        <f t="shared" si="135"/>
        <v>0</v>
      </c>
      <c r="DTM32" s="28">
        <f t="shared" si="135"/>
        <v>0</v>
      </c>
      <c r="DTN32" s="28">
        <f t="shared" si="135"/>
        <v>0</v>
      </c>
      <c r="DTO32" s="28">
        <f t="shared" si="135"/>
        <v>0</v>
      </c>
      <c r="DTP32" s="28">
        <f t="shared" si="135"/>
        <v>0</v>
      </c>
      <c r="DTQ32" s="28">
        <f t="shared" si="135"/>
        <v>0</v>
      </c>
      <c r="DTR32" s="28">
        <f t="shared" si="135"/>
        <v>0</v>
      </c>
      <c r="DTS32" s="28">
        <f t="shared" si="135"/>
        <v>0</v>
      </c>
      <c r="DTT32" s="28">
        <f t="shared" si="135"/>
        <v>0</v>
      </c>
      <c r="DTU32" s="28">
        <f t="shared" si="135"/>
        <v>0</v>
      </c>
      <c r="DTV32" s="28">
        <f t="shared" si="135"/>
        <v>0</v>
      </c>
      <c r="DTW32" s="28">
        <f t="shared" si="135"/>
        <v>0</v>
      </c>
      <c r="DTX32" s="28">
        <f t="shared" si="135"/>
        <v>0</v>
      </c>
      <c r="DTY32" s="28">
        <f t="shared" si="135"/>
        <v>0</v>
      </c>
      <c r="DTZ32" s="28">
        <f t="shared" si="135"/>
        <v>0</v>
      </c>
      <c r="DUA32" s="28">
        <f t="shared" si="135"/>
        <v>0</v>
      </c>
      <c r="DUB32" s="28">
        <f t="shared" si="135"/>
        <v>0</v>
      </c>
      <c r="DUC32" s="28">
        <f t="shared" si="135"/>
        <v>0</v>
      </c>
      <c r="DUD32" s="28">
        <f t="shared" si="135"/>
        <v>0</v>
      </c>
      <c r="DUE32" s="28">
        <f t="shared" si="135"/>
        <v>0</v>
      </c>
      <c r="DUF32" s="28">
        <f t="shared" si="135"/>
        <v>0</v>
      </c>
      <c r="DUG32" s="28">
        <f t="shared" si="135"/>
        <v>0</v>
      </c>
      <c r="DUH32" s="28">
        <f t="shared" si="135"/>
        <v>0</v>
      </c>
      <c r="DUI32" s="28">
        <f t="shared" si="135"/>
        <v>0</v>
      </c>
      <c r="DUJ32" s="28">
        <f t="shared" si="135"/>
        <v>0</v>
      </c>
      <c r="DUK32" s="28">
        <f t="shared" si="135"/>
        <v>0</v>
      </c>
      <c r="DUL32" s="28">
        <f t="shared" si="135"/>
        <v>0</v>
      </c>
      <c r="DUM32" s="28">
        <f t="shared" si="135"/>
        <v>0</v>
      </c>
      <c r="DUN32" s="28">
        <f t="shared" si="135"/>
        <v>0</v>
      </c>
      <c r="DUO32" s="28">
        <f t="shared" si="135"/>
        <v>0</v>
      </c>
      <c r="DUP32" s="28">
        <f t="shared" si="135"/>
        <v>0</v>
      </c>
      <c r="DUQ32" s="28">
        <f t="shared" si="135"/>
        <v>0</v>
      </c>
      <c r="DUR32" s="28">
        <f t="shared" si="135"/>
        <v>0</v>
      </c>
      <c r="DUS32" s="28">
        <f t="shared" si="135"/>
        <v>0</v>
      </c>
      <c r="DUT32" s="28">
        <f t="shared" si="135"/>
        <v>0</v>
      </c>
      <c r="DUU32" s="28">
        <f t="shared" si="135"/>
        <v>0</v>
      </c>
      <c r="DUV32" s="28">
        <f t="shared" si="135"/>
        <v>0</v>
      </c>
      <c r="DUW32" s="28">
        <f t="shared" ref="DUW32:DXH32" si="136">IFERROR(DUW31/DUW$4,0)</f>
        <v>0</v>
      </c>
      <c r="DUX32" s="28">
        <f t="shared" si="136"/>
        <v>0</v>
      </c>
      <c r="DUY32" s="28">
        <f t="shared" si="136"/>
        <v>0</v>
      </c>
      <c r="DUZ32" s="28">
        <f t="shared" si="136"/>
        <v>0</v>
      </c>
      <c r="DVA32" s="28">
        <f t="shared" si="136"/>
        <v>0</v>
      </c>
      <c r="DVB32" s="28">
        <f t="shared" si="136"/>
        <v>0</v>
      </c>
      <c r="DVC32" s="28">
        <f t="shared" si="136"/>
        <v>0</v>
      </c>
      <c r="DVD32" s="28">
        <f t="shared" si="136"/>
        <v>0</v>
      </c>
      <c r="DVE32" s="28">
        <f t="shared" si="136"/>
        <v>0</v>
      </c>
      <c r="DVF32" s="28">
        <f t="shared" si="136"/>
        <v>0</v>
      </c>
      <c r="DVG32" s="28">
        <f t="shared" si="136"/>
        <v>0</v>
      </c>
      <c r="DVH32" s="28">
        <f t="shared" si="136"/>
        <v>0</v>
      </c>
      <c r="DVI32" s="28">
        <f t="shared" si="136"/>
        <v>0</v>
      </c>
      <c r="DVJ32" s="28">
        <f t="shared" si="136"/>
        <v>0</v>
      </c>
      <c r="DVK32" s="28">
        <f t="shared" si="136"/>
        <v>0</v>
      </c>
      <c r="DVL32" s="28">
        <f t="shared" si="136"/>
        <v>0</v>
      </c>
      <c r="DVM32" s="28">
        <f t="shared" si="136"/>
        <v>0</v>
      </c>
      <c r="DVN32" s="28">
        <f t="shared" si="136"/>
        <v>0</v>
      </c>
      <c r="DVO32" s="28">
        <f t="shared" si="136"/>
        <v>0</v>
      </c>
      <c r="DVP32" s="28">
        <f t="shared" si="136"/>
        <v>0</v>
      </c>
      <c r="DVQ32" s="28">
        <f t="shared" si="136"/>
        <v>0</v>
      </c>
      <c r="DVR32" s="28">
        <f t="shared" si="136"/>
        <v>0</v>
      </c>
      <c r="DVS32" s="28">
        <f t="shared" si="136"/>
        <v>0</v>
      </c>
      <c r="DVT32" s="28">
        <f t="shared" si="136"/>
        <v>0</v>
      </c>
      <c r="DVU32" s="28">
        <f t="shared" si="136"/>
        <v>0</v>
      </c>
      <c r="DVV32" s="28">
        <f t="shared" si="136"/>
        <v>0</v>
      </c>
      <c r="DVW32" s="28">
        <f t="shared" si="136"/>
        <v>0</v>
      </c>
      <c r="DVX32" s="28">
        <f t="shared" si="136"/>
        <v>0</v>
      </c>
      <c r="DVY32" s="28">
        <f t="shared" si="136"/>
        <v>0</v>
      </c>
      <c r="DVZ32" s="28">
        <f t="shared" si="136"/>
        <v>0</v>
      </c>
      <c r="DWA32" s="28">
        <f t="shared" si="136"/>
        <v>0</v>
      </c>
      <c r="DWB32" s="28">
        <f t="shared" si="136"/>
        <v>0</v>
      </c>
      <c r="DWC32" s="28">
        <f t="shared" si="136"/>
        <v>0</v>
      </c>
      <c r="DWD32" s="28">
        <f t="shared" si="136"/>
        <v>0</v>
      </c>
      <c r="DWE32" s="28">
        <f t="shared" si="136"/>
        <v>0</v>
      </c>
      <c r="DWF32" s="28">
        <f t="shared" si="136"/>
        <v>0</v>
      </c>
      <c r="DWG32" s="28">
        <f t="shared" si="136"/>
        <v>0</v>
      </c>
      <c r="DWH32" s="28">
        <f t="shared" si="136"/>
        <v>0</v>
      </c>
      <c r="DWI32" s="28">
        <f t="shared" si="136"/>
        <v>0</v>
      </c>
      <c r="DWJ32" s="28">
        <f t="shared" si="136"/>
        <v>0</v>
      </c>
      <c r="DWK32" s="28">
        <f t="shared" si="136"/>
        <v>0</v>
      </c>
      <c r="DWL32" s="28">
        <f t="shared" si="136"/>
        <v>0</v>
      </c>
      <c r="DWM32" s="28">
        <f t="shared" si="136"/>
        <v>0</v>
      </c>
      <c r="DWN32" s="28">
        <f t="shared" si="136"/>
        <v>0</v>
      </c>
      <c r="DWO32" s="28">
        <f t="shared" si="136"/>
        <v>0</v>
      </c>
      <c r="DWP32" s="28">
        <f t="shared" si="136"/>
        <v>0</v>
      </c>
      <c r="DWQ32" s="28">
        <f t="shared" si="136"/>
        <v>0</v>
      </c>
      <c r="DWR32" s="28">
        <f t="shared" si="136"/>
        <v>0</v>
      </c>
      <c r="DWS32" s="28">
        <f t="shared" si="136"/>
        <v>0</v>
      </c>
      <c r="DWT32" s="28">
        <f t="shared" si="136"/>
        <v>0</v>
      </c>
      <c r="DWU32" s="28">
        <f t="shared" si="136"/>
        <v>0</v>
      </c>
      <c r="DWV32" s="28">
        <f t="shared" si="136"/>
        <v>0</v>
      </c>
      <c r="DWW32" s="28">
        <f t="shared" si="136"/>
        <v>0</v>
      </c>
      <c r="DWX32" s="28">
        <f t="shared" si="136"/>
        <v>0</v>
      </c>
      <c r="DWY32" s="28">
        <f t="shared" si="136"/>
        <v>0</v>
      </c>
      <c r="DWZ32" s="28">
        <f t="shared" si="136"/>
        <v>0</v>
      </c>
      <c r="DXA32" s="28">
        <f t="shared" si="136"/>
        <v>0</v>
      </c>
      <c r="DXB32" s="28">
        <f t="shared" si="136"/>
        <v>0</v>
      </c>
      <c r="DXC32" s="28">
        <f t="shared" si="136"/>
        <v>0</v>
      </c>
      <c r="DXD32" s="28">
        <f t="shared" si="136"/>
        <v>0</v>
      </c>
      <c r="DXE32" s="28">
        <f t="shared" si="136"/>
        <v>0</v>
      </c>
      <c r="DXF32" s="28">
        <f t="shared" si="136"/>
        <v>0</v>
      </c>
      <c r="DXG32" s="28">
        <f t="shared" si="136"/>
        <v>0</v>
      </c>
      <c r="DXH32" s="28">
        <f t="shared" si="136"/>
        <v>0</v>
      </c>
      <c r="DXI32" s="28">
        <f t="shared" ref="DXI32:DZT32" si="137">IFERROR(DXI31/DXI$4,0)</f>
        <v>0</v>
      </c>
      <c r="DXJ32" s="28">
        <f t="shared" si="137"/>
        <v>0</v>
      </c>
      <c r="DXK32" s="28">
        <f t="shared" si="137"/>
        <v>0</v>
      </c>
      <c r="DXL32" s="28">
        <f t="shared" si="137"/>
        <v>0</v>
      </c>
      <c r="DXM32" s="28">
        <f t="shared" si="137"/>
        <v>0</v>
      </c>
      <c r="DXN32" s="28">
        <f t="shared" si="137"/>
        <v>0</v>
      </c>
      <c r="DXO32" s="28">
        <f t="shared" si="137"/>
        <v>0</v>
      </c>
      <c r="DXP32" s="28">
        <f t="shared" si="137"/>
        <v>0</v>
      </c>
      <c r="DXQ32" s="28">
        <f t="shared" si="137"/>
        <v>0</v>
      </c>
      <c r="DXR32" s="28">
        <f t="shared" si="137"/>
        <v>0</v>
      </c>
      <c r="DXS32" s="28">
        <f t="shared" si="137"/>
        <v>0</v>
      </c>
      <c r="DXT32" s="28">
        <f t="shared" si="137"/>
        <v>0</v>
      </c>
      <c r="DXU32" s="28">
        <f t="shared" si="137"/>
        <v>0</v>
      </c>
      <c r="DXV32" s="28">
        <f t="shared" si="137"/>
        <v>0</v>
      </c>
      <c r="DXW32" s="28">
        <f t="shared" si="137"/>
        <v>0</v>
      </c>
      <c r="DXX32" s="28">
        <f t="shared" si="137"/>
        <v>0</v>
      </c>
      <c r="DXY32" s="28">
        <f t="shared" si="137"/>
        <v>0</v>
      </c>
      <c r="DXZ32" s="28">
        <f t="shared" si="137"/>
        <v>0</v>
      </c>
      <c r="DYA32" s="28">
        <f t="shared" si="137"/>
        <v>0</v>
      </c>
      <c r="DYB32" s="28">
        <f t="shared" si="137"/>
        <v>0</v>
      </c>
      <c r="DYC32" s="28">
        <f t="shared" si="137"/>
        <v>0</v>
      </c>
      <c r="DYD32" s="28">
        <f t="shared" si="137"/>
        <v>0</v>
      </c>
      <c r="DYE32" s="28">
        <f t="shared" si="137"/>
        <v>0</v>
      </c>
      <c r="DYF32" s="28">
        <f t="shared" si="137"/>
        <v>0</v>
      </c>
      <c r="DYG32" s="28">
        <f t="shared" si="137"/>
        <v>0</v>
      </c>
      <c r="DYH32" s="28">
        <f t="shared" si="137"/>
        <v>0</v>
      </c>
      <c r="DYI32" s="28">
        <f t="shared" si="137"/>
        <v>0</v>
      </c>
      <c r="DYJ32" s="28">
        <f t="shared" si="137"/>
        <v>0</v>
      </c>
      <c r="DYK32" s="28">
        <f t="shared" si="137"/>
        <v>0</v>
      </c>
      <c r="DYL32" s="28">
        <f t="shared" si="137"/>
        <v>0</v>
      </c>
      <c r="DYM32" s="28">
        <f t="shared" si="137"/>
        <v>0</v>
      </c>
      <c r="DYN32" s="28">
        <f t="shared" si="137"/>
        <v>0</v>
      </c>
      <c r="DYO32" s="28">
        <f t="shared" si="137"/>
        <v>0</v>
      </c>
      <c r="DYP32" s="28">
        <f t="shared" si="137"/>
        <v>0</v>
      </c>
      <c r="DYQ32" s="28">
        <f t="shared" si="137"/>
        <v>0</v>
      </c>
      <c r="DYR32" s="28">
        <f t="shared" si="137"/>
        <v>0</v>
      </c>
      <c r="DYS32" s="28">
        <f t="shared" si="137"/>
        <v>0</v>
      </c>
      <c r="DYT32" s="28">
        <f t="shared" si="137"/>
        <v>0</v>
      </c>
      <c r="DYU32" s="28">
        <f t="shared" si="137"/>
        <v>0</v>
      </c>
      <c r="DYV32" s="28">
        <f t="shared" si="137"/>
        <v>0</v>
      </c>
      <c r="DYW32" s="28">
        <f t="shared" si="137"/>
        <v>0</v>
      </c>
      <c r="DYX32" s="28">
        <f t="shared" si="137"/>
        <v>0</v>
      </c>
      <c r="DYY32" s="28">
        <f t="shared" si="137"/>
        <v>0</v>
      </c>
      <c r="DYZ32" s="28">
        <f t="shared" si="137"/>
        <v>0</v>
      </c>
      <c r="DZA32" s="28">
        <f t="shared" si="137"/>
        <v>0</v>
      </c>
      <c r="DZB32" s="28">
        <f t="shared" si="137"/>
        <v>0</v>
      </c>
      <c r="DZC32" s="28">
        <f t="shared" si="137"/>
        <v>0</v>
      </c>
      <c r="DZD32" s="28">
        <f t="shared" si="137"/>
        <v>0</v>
      </c>
      <c r="DZE32" s="28">
        <f t="shared" si="137"/>
        <v>0</v>
      </c>
      <c r="DZF32" s="28">
        <f t="shared" si="137"/>
        <v>0</v>
      </c>
      <c r="DZG32" s="28">
        <f t="shared" si="137"/>
        <v>0</v>
      </c>
      <c r="DZH32" s="28">
        <f t="shared" si="137"/>
        <v>0</v>
      </c>
      <c r="DZI32" s="28">
        <f t="shared" si="137"/>
        <v>0</v>
      </c>
      <c r="DZJ32" s="28">
        <f t="shared" si="137"/>
        <v>0</v>
      </c>
      <c r="DZK32" s="28">
        <f t="shared" si="137"/>
        <v>0</v>
      </c>
      <c r="DZL32" s="28">
        <f t="shared" si="137"/>
        <v>0</v>
      </c>
      <c r="DZM32" s="28">
        <f t="shared" si="137"/>
        <v>0</v>
      </c>
      <c r="DZN32" s="28">
        <f t="shared" si="137"/>
        <v>0</v>
      </c>
      <c r="DZO32" s="28">
        <f t="shared" si="137"/>
        <v>0</v>
      </c>
      <c r="DZP32" s="28">
        <f t="shared" si="137"/>
        <v>0</v>
      </c>
      <c r="DZQ32" s="28">
        <f t="shared" si="137"/>
        <v>0</v>
      </c>
      <c r="DZR32" s="28">
        <f t="shared" si="137"/>
        <v>0</v>
      </c>
      <c r="DZS32" s="28">
        <f t="shared" si="137"/>
        <v>0</v>
      </c>
      <c r="DZT32" s="28">
        <f t="shared" si="137"/>
        <v>0</v>
      </c>
      <c r="DZU32" s="28">
        <f t="shared" ref="DZU32:ECF32" si="138">IFERROR(DZU31/DZU$4,0)</f>
        <v>0</v>
      </c>
      <c r="DZV32" s="28">
        <f t="shared" si="138"/>
        <v>0</v>
      </c>
      <c r="DZW32" s="28">
        <f t="shared" si="138"/>
        <v>0</v>
      </c>
      <c r="DZX32" s="28">
        <f t="shared" si="138"/>
        <v>0</v>
      </c>
      <c r="DZY32" s="28">
        <f t="shared" si="138"/>
        <v>0</v>
      </c>
      <c r="DZZ32" s="28">
        <f t="shared" si="138"/>
        <v>0</v>
      </c>
      <c r="EAA32" s="28">
        <f t="shared" si="138"/>
        <v>0</v>
      </c>
      <c r="EAB32" s="28">
        <f t="shared" si="138"/>
        <v>0</v>
      </c>
      <c r="EAC32" s="28">
        <f t="shared" si="138"/>
        <v>0</v>
      </c>
      <c r="EAD32" s="28">
        <f t="shared" si="138"/>
        <v>0</v>
      </c>
      <c r="EAE32" s="28">
        <f t="shared" si="138"/>
        <v>0</v>
      </c>
      <c r="EAF32" s="28">
        <f t="shared" si="138"/>
        <v>0</v>
      </c>
      <c r="EAG32" s="28">
        <f t="shared" si="138"/>
        <v>0</v>
      </c>
      <c r="EAH32" s="28">
        <f t="shared" si="138"/>
        <v>0</v>
      </c>
      <c r="EAI32" s="28">
        <f t="shared" si="138"/>
        <v>0</v>
      </c>
      <c r="EAJ32" s="28">
        <f t="shared" si="138"/>
        <v>0</v>
      </c>
      <c r="EAK32" s="28">
        <f t="shared" si="138"/>
        <v>0</v>
      </c>
      <c r="EAL32" s="28">
        <f t="shared" si="138"/>
        <v>0</v>
      </c>
      <c r="EAM32" s="28">
        <f t="shared" si="138"/>
        <v>0</v>
      </c>
      <c r="EAN32" s="28">
        <f t="shared" si="138"/>
        <v>0</v>
      </c>
      <c r="EAO32" s="28">
        <f t="shared" si="138"/>
        <v>0</v>
      </c>
      <c r="EAP32" s="28">
        <f t="shared" si="138"/>
        <v>0</v>
      </c>
      <c r="EAQ32" s="28">
        <f t="shared" si="138"/>
        <v>0</v>
      </c>
      <c r="EAR32" s="28">
        <f t="shared" si="138"/>
        <v>0</v>
      </c>
      <c r="EAS32" s="28">
        <f t="shared" si="138"/>
        <v>0</v>
      </c>
      <c r="EAT32" s="28">
        <f t="shared" si="138"/>
        <v>0</v>
      </c>
      <c r="EAU32" s="28">
        <f t="shared" si="138"/>
        <v>0</v>
      </c>
      <c r="EAV32" s="28">
        <f t="shared" si="138"/>
        <v>0</v>
      </c>
      <c r="EAW32" s="28">
        <f t="shared" si="138"/>
        <v>0</v>
      </c>
      <c r="EAX32" s="28">
        <f t="shared" si="138"/>
        <v>0</v>
      </c>
      <c r="EAY32" s="28">
        <f t="shared" si="138"/>
        <v>0</v>
      </c>
      <c r="EAZ32" s="28">
        <f t="shared" si="138"/>
        <v>0</v>
      </c>
      <c r="EBA32" s="28">
        <f t="shared" si="138"/>
        <v>0</v>
      </c>
      <c r="EBB32" s="28">
        <f t="shared" si="138"/>
        <v>0</v>
      </c>
      <c r="EBC32" s="28">
        <f t="shared" si="138"/>
        <v>0</v>
      </c>
      <c r="EBD32" s="28">
        <f t="shared" si="138"/>
        <v>0</v>
      </c>
      <c r="EBE32" s="28">
        <f t="shared" si="138"/>
        <v>0</v>
      </c>
      <c r="EBF32" s="28">
        <f t="shared" si="138"/>
        <v>0</v>
      </c>
      <c r="EBG32" s="28">
        <f t="shared" si="138"/>
        <v>0</v>
      </c>
      <c r="EBH32" s="28">
        <f t="shared" si="138"/>
        <v>0</v>
      </c>
      <c r="EBI32" s="28">
        <f t="shared" si="138"/>
        <v>0</v>
      </c>
      <c r="EBJ32" s="28">
        <f t="shared" si="138"/>
        <v>0</v>
      </c>
      <c r="EBK32" s="28">
        <f t="shared" si="138"/>
        <v>0</v>
      </c>
      <c r="EBL32" s="28">
        <f t="shared" si="138"/>
        <v>0</v>
      </c>
      <c r="EBM32" s="28">
        <f t="shared" si="138"/>
        <v>0</v>
      </c>
      <c r="EBN32" s="28">
        <f t="shared" si="138"/>
        <v>0</v>
      </c>
      <c r="EBO32" s="28">
        <f t="shared" si="138"/>
        <v>0</v>
      </c>
      <c r="EBP32" s="28">
        <f t="shared" si="138"/>
        <v>0</v>
      </c>
      <c r="EBQ32" s="28">
        <f t="shared" si="138"/>
        <v>0</v>
      </c>
      <c r="EBR32" s="28">
        <f t="shared" si="138"/>
        <v>0</v>
      </c>
      <c r="EBS32" s="28">
        <f t="shared" si="138"/>
        <v>0</v>
      </c>
      <c r="EBT32" s="28">
        <f t="shared" si="138"/>
        <v>0</v>
      </c>
      <c r="EBU32" s="28">
        <f t="shared" si="138"/>
        <v>0</v>
      </c>
      <c r="EBV32" s="28">
        <f t="shared" si="138"/>
        <v>0</v>
      </c>
      <c r="EBW32" s="28">
        <f t="shared" si="138"/>
        <v>0</v>
      </c>
      <c r="EBX32" s="28">
        <f t="shared" si="138"/>
        <v>0</v>
      </c>
      <c r="EBY32" s="28">
        <f t="shared" si="138"/>
        <v>0</v>
      </c>
      <c r="EBZ32" s="28">
        <f t="shared" si="138"/>
        <v>0</v>
      </c>
      <c r="ECA32" s="28">
        <f t="shared" si="138"/>
        <v>0</v>
      </c>
      <c r="ECB32" s="28">
        <f t="shared" si="138"/>
        <v>0</v>
      </c>
      <c r="ECC32" s="28">
        <f t="shared" si="138"/>
        <v>0</v>
      </c>
      <c r="ECD32" s="28">
        <f t="shared" si="138"/>
        <v>0</v>
      </c>
      <c r="ECE32" s="28">
        <f t="shared" si="138"/>
        <v>0</v>
      </c>
      <c r="ECF32" s="28">
        <f t="shared" si="138"/>
        <v>0</v>
      </c>
      <c r="ECG32" s="28">
        <f t="shared" ref="ECG32:EER32" si="139">IFERROR(ECG31/ECG$4,0)</f>
        <v>0</v>
      </c>
      <c r="ECH32" s="28">
        <f t="shared" si="139"/>
        <v>0</v>
      </c>
      <c r="ECI32" s="28">
        <f t="shared" si="139"/>
        <v>0</v>
      </c>
      <c r="ECJ32" s="28">
        <f t="shared" si="139"/>
        <v>0</v>
      </c>
      <c r="ECK32" s="28">
        <f t="shared" si="139"/>
        <v>0</v>
      </c>
      <c r="ECL32" s="28">
        <f t="shared" si="139"/>
        <v>0</v>
      </c>
      <c r="ECM32" s="28">
        <f t="shared" si="139"/>
        <v>0</v>
      </c>
      <c r="ECN32" s="28">
        <f t="shared" si="139"/>
        <v>0</v>
      </c>
      <c r="ECO32" s="28">
        <f t="shared" si="139"/>
        <v>0</v>
      </c>
      <c r="ECP32" s="28">
        <f t="shared" si="139"/>
        <v>0</v>
      </c>
      <c r="ECQ32" s="28">
        <f t="shared" si="139"/>
        <v>0</v>
      </c>
      <c r="ECR32" s="28">
        <f t="shared" si="139"/>
        <v>0</v>
      </c>
      <c r="ECS32" s="28">
        <f t="shared" si="139"/>
        <v>0</v>
      </c>
      <c r="ECT32" s="28">
        <f t="shared" si="139"/>
        <v>0</v>
      </c>
      <c r="ECU32" s="28">
        <f t="shared" si="139"/>
        <v>0</v>
      </c>
      <c r="ECV32" s="28">
        <f t="shared" si="139"/>
        <v>0</v>
      </c>
      <c r="ECW32" s="28">
        <f t="shared" si="139"/>
        <v>0</v>
      </c>
      <c r="ECX32" s="28">
        <f t="shared" si="139"/>
        <v>0</v>
      </c>
      <c r="ECY32" s="28">
        <f t="shared" si="139"/>
        <v>0</v>
      </c>
      <c r="ECZ32" s="28">
        <f t="shared" si="139"/>
        <v>0</v>
      </c>
      <c r="EDA32" s="28">
        <f t="shared" si="139"/>
        <v>0</v>
      </c>
      <c r="EDB32" s="28">
        <f t="shared" si="139"/>
        <v>0</v>
      </c>
      <c r="EDC32" s="28">
        <f t="shared" si="139"/>
        <v>0</v>
      </c>
      <c r="EDD32" s="28">
        <f t="shared" si="139"/>
        <v>0</v>
      </c>
      <c r="EDE32" s="28">
        <f t="shared" si="139"/>
        <v>0</v>
      </c>
      <c r="EDF32" s="28">
        <f t="shared" si="139"/>
        <v>0</v>
      </c>
      <c r="EDG32" s="28">
        <f t="shared" si="139"/>
        <v>0</v>
      </c>
      <c r="EDH32" s="28">
        <f t="shared" si="139"/>
        <v>0</v>
      </c>
      <c r="EDI32" s="28">
        <f t="shared" si="139"/>
        <v>0</v>
      </c>
      <c r="EDJ32" s="28">
        <f t="shared" si="139"/>
        <v>0</v>
      </c>
      <c r="EDK32" s="28">
        <f t="shared" si="139"/>
        <v>0</v>
      </c>
      <c r="EDL32" s="28">
        <f t="shared" si="139"/>
        <v>0</v>
      </c>
      <c r="EDM32" s="28">
        <f t="shared" si="139"/>
        <v>0</v>
      </c>
      <c r="EDN32" s="28">
        <f t="shared" si="139"/>
        <v>0</v>
      </c>
      <c r="EDO32" s="28">
        <f t="shared" si="139"/>
        <v>0</v>
      </c>
      <c r="EDP32" s="28">
        <f t="shared" si="139"/>
        <v>0</v>
      </c>
      <c r="EDQ32" s="28">
        <f t="shared" si="139"/>
        <v>0</v>
      </c>
      <c r="EDR32" s="28">
        <f t="shared" si="139"/>
        <v>0</v>
      </c>
      <c r="EDS32" s="28">
        <f t="shared" si="139"/>
        <v>0</v>
      </c>
      <c r="EDT32" s="28">
        <f t="shared" si="139"/>
        <v>0</v>
      </c>
      <c r="EDU32" s="28">
        <f t="shared" si="139"/>
        <v>0</v>
      </c>
      <c r="EDV32" s="28">
        <f t="shared" si="139"/>
        <v>0</v>
      </c>
      <c r="EDW32" s="28">
        <f t="shared" si="139"/>
        <v>0</v>
      </c>
      <c r="EDX32" s="28">
        <f t="shared" si="139"/>
        <v>0</v>
      </c>
      <c r="EDY32" s="28">
        <f t="shared" si="139"/>
        <v>0</v>
      </c>
      <c r="EDZ32" s="28">
        <f t="shared" si="139"/>
        <v>0</v>
      </c>
      <c r="EEA32" s="28">
        <f t="shared" si="139"/>
        <v>0</v>
      </c>
      <c r="EEB32" s="28">
        <f t="shared" si="139"/>
        <v>0</v>
      </c>
      <c r="EEC32" s="28">
        <f t="shared" si="139"/>
        <v>0</v>
      </c>
      <c r="EED32" s="28">
        <f t="shared" si="139"/>
        <v>0</v>
      </c>
      <c r="EEE32" s="28">
        <f t="shared" si="139"/>
        <v>0</v>
      </c>
      <c r="EEF32" s="28">
        <f t="shared" si="139"/>
        <v>0</v>
      </c>
      <c r="EEG32" s="28">
        <f t="shared" si="139"/>
        <v>0</v>
      </c>
      <c r="EEH32" s="28">
        <f t="shared" si="139"/>
        <v>0</v>
      </c>
      <c r="EEI32" s="28">
        <f t="shared" si="139"/>
        <v>0</v>
      </c>
      <c r="EEJ32" s="28">
        <f t="shared" si="139"/>
        <v>0</v>
      </c>
      <c r="EEK32" s="28">
        <f t="shared" si="139"/>
        <v>0</v>
      </c>
      <c r="EEL32" s="28">
        <f t="shared" si="139"/>
        <v>0</v>
      </c>
      <c r="EEM32" s="28">
        <f t="shared" si="139"/>
        <v>0</v>
      </c>
      <c r="EEN32" s="28">
        <f t="shared" si="139"/>
        <v>0</v>
      </c>
      <c r="EEO32" s="28">
        <f t="shared" si="139"/>
        <v>0</v>
      </c>
      <c r="EEP32" s="28">
        <f t="shared" si="139"/>
        <v>0</v>
      </c>
      <c r="EEQ32" s="28">
        <f t="shared" si="139"/>
        <v>0</v>
      </c>
      <c r="EER32" s="28">
        <f t="shared" si="139"/>
        <v>0</v>
      </c>
      <c r="EES32" s="28">
        <f t="shared" ref="EES32:EHD32" si="140">IFERROR(EES31/EES$4,0)</f>
        <v>0</v>
      </c>
      <c r="EET32" s="28">
        <f t="shared" si="140"/>
        <v>0</v>
      </c>
      <c r="EEU32" s="28">
        <f t="shared" si="140"/>
        <v>0</v>
      </c>
      <c r="EEV32" s="28">
        <f t="shared" si="140"/>
        <v>0</v>
      </c>
      <c r="EEW32" s="28">
        <f t="shared" si="140"/>
        <v>0</v>
      </c>
      <c r="EEX32" s="28">
        <f t="shared" si="140"/>
        <v>0</v>
      </c>
      <c r="EEY32" s="28">
        <f t="shared" si="140"/>
        <v>0</v>
      </c>
      <c r="EEZ32" s="28">
        <f t="shared" si="140"/>
        <v>0</v>
      </c>
      <c r="EFA32" s="28">
        <f t="shared" si="140"/>
        <v>0</v>
      </c>
      <c r="EFB32" s="28">
        <f t="shared" si="140"/>
        <v>0</v>
      </c>
      <c r="EFC32" s="28">
        <f t="shared" si="140"/>
        <v>0</v>
      </c>
      <c r="EFD32" s="28">
        <f t="shared" si="140"/>
        <v>0</v>
      </c>
      <c r="EFE32" s="28">
        <f t="shared" si="140"/>
        <v>0</v>
      </c>
      <c r="EFF32" s="28">
        <f t="shared" si="140"/>
        <v>0</v>
      </c>
      <c r="EFG32" s="28">
        <f t="shared" si="140"/>
        <v>0</v>
      </c>
      <c r="EFH32" s="28">
        <f t="shared" si="140"/>
        <v>0</v>
      </c>
      <c r="EFI32" s="28">
        <f t="shared" si="140"/>
        <v>0</v>
      </c>
      <c r="EFJ32" s="28">
        <f t="shared" si="140"/>
        <v>0</v>
      </c>
      <c r="EFK32" s="28">
        <f t="shared" si="140"/>
        <v>0</v>
      </c>
      <c r="EFL32" s="28">
        <f t="shared" si="140"/>
        <v>0</v>
      </c>
      <c r="EFM32" s="28">
        <f t="shared" si="140"/>
        <v>0</v>
      </c>
      <c r="EFN32" s="28">
        <f t="shared" si="140"/>
        <v>0</v>
      </c>
      <c r="EFO32" s="28">
        <f t="shared" si="140"/>
        <v>0</v>
      </c>
      <c r="EFP32" s="28">
        <f t="shared" si="140"/>
        <v>0</v>
      </c>
      <c r="EFQ32" s="28">
        <f t="shared" si="140"/>
        <v>0</v>
      </c>
      <c r="EFR32" s="28">
        <f t="shared" si="140"/>
        <v>0</v>
      </c>
      <c r="EFS32" s="28">
        <f t="shared" si="140"/>
        <v>0</v>
      </c>
      <c r="EFT32" s="28">
        <f t="shared" si="140"/>
        <v>0</v>
      </c>
      <c r="EFU32" s="28">
        <f t="shared" si="140"/>
        <v>0</v>
      </c>
      <c r="EFV32" s="28">
        <f t="shared" si="140"/>
        <v>0</v>
      </c>
      <c r="EFW32" s="28">
        <f t="shared" si="140"/>
        <v>0</v>
      </c>
      <c r="EFX32" s="28">
        <f t="shared" si="140"/>
        <v>0</v>
      </c>
      <c r="EFY32" s="28">
        <f t="shared" si="140"/>
        <v>0</v>
      </c>
      <c r="EFZ32" s="28">
        <f t="shared" si="140"/>
        <v>0</v>
      </c>
      <c r="EGA32" s="28">
        <f t="shared" si="140"/>
        <v>0</v>
      </c>
      <c r="EGB32" s="28">
        <f t="shared" si="140"/>
        <v>0</v>
      </c>
      <c r="EGC32" s="28">
        <f t="shared" si="140"/>
        <v>0</v>
      </c>
      <c r="EGD32" s="28">
        <f t="shared" si="140"/>
        <v>0</v>
      </c>
      <c r="EGE32" s="28">
        <f t="shared" si="140"/>
        <v>0</v>
      </c>
      <c r="EGF32" s="28">
        <f t="shared" si="140"/>
        <v>0</v>
      </c>
      <c r="EGG32" s="28">
        <f t="shared" si="140"/>
        <v>0</v>
      </c>
      <c r="EGH32" s="28">
        <f t="shared" si="140"/>
        <v>0</v>
      </c>
      <c r="EGI32" s="28">
        <f t="shared" si="140"/>
        <v>0</v>
      </c>
      <c r="EGJ32" s="28">
        <f t="shared" si="140"/>
        <v>0</v>
      </c>
      <c r="EGK32" s="28">
        <f t="shared" si="140"/>
        <v>0</v>
      </c>
      <c r="EGL32" s="28">
        <f t="shared" si="140"/>
        <v>0</v>
      </c>
      <c r="EGM32" s="28">
        <f t="shared" si="140"/>
        <v>0</v>
      </c>
      <c r="EGN32" s="28">
        <f t="shared" si="140"/>
        <v>0</v>
      </c>
      <c r="EGO32" s="28">
        <f t="shared" si="140"/>
        <v>0</v>
      </c>
      <c r="EGP32" s="28">
        <f t="shared" si="140"/>
        <v>0</v>
      </c>
      <c r="EGQ32" s="28">
        <f t="shared" si="140"/>
        <v>0</v>
      </c>
      <c r="EGR32" s="28">
        <f t="shared" si="140"/>
        <v>0</v>
      </c>
      <c r="EGS32" s="28">
        <f t="shared" si="140"/>
        <v>0</v>
      </c>
      <c r="EGT32" s="28">
        <f t="shared" si="140"/>
        <v>0</v>
      </c>
      <c r="EGU32" s="28">
        <f t="shared" si="140"/>
        <v>0</v>
      </c>
      <c r="EGV32" s="28">
        <f t="shared" si="140"/>
        <v>0</v>
      </c>
      <c r="EGW32" s="28">
        <f t="shared" si="140"/>
        <v>0</v>
      </c>
      <c r="EGX32" s="28">
        <f t="shared" si="140"/>
        <v>0</v>
      </c>
      <c r="EGY32" s="28">
        <f t="shared" si="140"/>
        <v>0</v>
      </c>
      <c r="EGZ32" s="28">
        <f t="shared" si="140"/>
        <v>0</v>
      </c>
      <c r="EHA32" s="28">
        <f t="shared" si="140"/>
        <v>0</v>
      </c>
      <c r="EHB32" s="28">
        <f t="shared" si="140"/>
        <v>0</v>
      </c>
      <c r="EHC32" s="28">
        <f t="shared" si="140"/>
        <v>0</v>
      </c>
      <c r="EHD32" s="28">
        <f t="shared" si="140"/>
        <v>0</v>
      </c>
      <c r="EHE32" s="28">
        <f t="shared" ref="EHE32:EJP32" si="141">IFERROR(EHE31/EHE$4,0)</f>
        <v>0</v>
      </c>
      <c r="EHF32" s="28">
        <f t="shared" si="141"/>
        <v>0</v>
      </c>
      <c r="EHG32" s="28">
        <f t="shared" si="141"/>
        <v>0</v>
      </c>
      <c r="EHH32" s="28">
        <f t="shared" si="141"/>
        <v>0</v>
      </c>
      <c r="EHI32" s="28">
        <f t="shared" si="141"/>
        <v>0</v>
      </c>
      <c r="EHJ32" s="28">
        <f t="shared" si="141"/>
        <v>0</v>
      </c>
      <c r="EHK32" s="28">
        <f t="shared" si="141"/>
        <v>0</v>
      </c>
      <c r="EHL32" s="28">
        <f t="shared" si="141"/>
        <v>0</v>
      </c>
      <c r="EHM32" s="28">
        <f t="shared" si="141"/>
        <v>0</v>
      </c>
      <c r="EHN32" s="28">
        <f t="shared" si="141"/>
        <v>0</v>
      </c>
      <c r="EHO32" s="28">
        <f t="shared" si="141"/>
        <v>0</v>
      </c>
      <c r="EHP32" s="28">
        <f t="shared" si="141"/>
        <v>0</v>
      </c>
      <c r="EHQ32" s="28">
        <f t="shared" si="141"/>
        <v>0</v>
      </c>
      <c r="EHR32" s="28">
        <f t="shared" si="141"/>
        <v>0</v>
      </c>
      <c r="EHS32" s="28">
        <f t="shared" si="141"/>
        <v>0</v>
      </c>
      <c r="EHT32" s="28">
        <f t="shared" si="141"/>
        <v>0</v>
      </c>
      <c r="EHU32" s="28">
        <f t="shared" si="141"/>
        <v>0</v>
      </c>
      <c r="EHV32" s="28">
        <f t="shared" si="141"/>
        <v>0</v>
      </c>
      <c r="EHW32" s="28">
        <f t="shared" si="141"/>
        <v>0</v>
      </c>
      <c r="EHX32" s="28">
        <f t="shared" si="141"/>
        <v>0</v>
      </c>
      <c r="EHY32" s="28">
        <f t="shared" si="141"/>
        <v>0</v>
      </c>
      <c r="EHZ32" s="28">
        <f t="shared" si="141"/>
        <v>0</v>
      </c>
      <c r="EIA32" s="28">
        <f t="shared" si="141"/>
        <v>0</v>
      </c>
      <c r="EIB32" s="28">
        <f t="shared" si="141"/>
        <v>0</v>
      </c>
      <c r="EIC32" s="28">
        <f t="shared" si="141"/>
        <v>0</v>
      </c>
      <c r="EID32" s="28">
        <f t="shared" si="141"/>
        <v>0</v>
      </c>
      <c r="EIE32" s="28">
        <f t="shared" si="141"/>
        <v>0</v>
      </c>
      <c r="EIF32" s="28">
        <f t="shared" si="141"/>
        <v>0</v>
      </c>
      <c r="EIG32" s="28">
        <f t="shared" si="141"/>
        <v>0</v>
      </c>
      <c r="EIH32" s="28">
        <f t="shared" si="141"/>
        <v>0</v>
      </c>
      <c r="EII32" s="28">
        <f t="shared" si="141"/>
        <v>0</v>
      </c>
      <c r="EIJ32" s="28">
        <f t="shared" si="141"/>
        <v>0</v>
      </c>
      <c r="EIK32" s="28">
        <f t="shared" si="141"/>
        <v>0</v>
      </c>
      <c r="EIL32" s="28">
        <f t="shared" si="141"/>
        <v>0</v>
      </c>
      <c r="EIM32" s="28">
        <f t="shared" si="141"/>
        <v>0</v>
      </c>
      <c r="EIN32" s="28">
        <f t="shared" si="141"/>
        <v>0</v>
      </c>
      <c r="EIO32" s="28">
        <f t="shared" si="141"/>
        <v>0</v>
      </c>
      <c r="EIP32" s="28">
        <f t="shared" si="141"/>
        <v>0</v>
      </c>
      <c r="EIQ32" s="28">
        <f t="shared" si="141"/>
        <v>0</v>
      </c>
      <c r="EIR32" s="28">
        <f t="shared" si="141"/>
        <v>0</v>
      </c>
      <c r="EIS32" s="28">
        <f t="shared" si="141"/>
        <v>0</v>
      </c>
      <c r="EIT32" s="28">
        <f t="shared" si="141"/>
        <v>0</v>
      </c>
      <c r="EIU32" s="28">
        <f t="shared" si="141"/>
        <v>0</v>
      </c>
      <c r="EIV32" s="28">
        <f t="shared" si="141"/>
        <v>0</v>
      </c>
      <c r="EIW32" s="28">
        <f t="shared" si="141"/>
        <v>0</v>
      </c>
      <c r="EIX32" s="28">
        <f t="shared" si="141"/>
        <v>0</v>
      </c>
      <c r="EIY32" s="28">
        <f t="shared" si="141"/>
        <v>0</v>
      </c>
      <c r="EIZ32" s="28">
        <f t="shared" si="141"/>
        <v>0</v>
      </c>
      <c r="EJA32" s="28">
        <f t="shared" si="141"/>
        <v>0</v>
      </c>
      <c r="EJB32" s="28">
        <f t="shared" si="141"/>
        <v>0</v>
      </c>
      <c r="EJC32" s="28">
        <f t="shared" si="141"/>
        <v>0</v>
      </c>
      <c r="EJD32" s="28">
        <f t="shared" si="141"/>
        <v>0</v>
      </c>
      <c r="EJE32" s="28">
        <f t="shared" si="141"/>
        <v>0</v>
      </c>
      <c r="EJF32" s="28">
        <f t="shared" si="141"/>
        <v>0</v>
      </c>
      <c r="EJG32" s="28">
        <f t="shared" si="141"/>
        <v>0</v>
      </c>
      <c r="EJH32" s="28">
        <f t="shared" si="141"/>
        <v>0</v>
      </c>
      <c r="EJI32" s="28">
        <f t="shared" si="141"/>
        <v>0</v>
      </c>
      <c r="EJJ32" s="28">
        <f t="shared" si="141"/>
        <v>0</v>
      </c>
      <c r="EJK32" s="28">
        <f t="shared" si="141"/>
        <v>0</v>
      </c>
      <c r="EJL32" s="28">
        <f t="shared" si="141"/>
        <v>0</v>
      </c>
      <c r="EJM32" s="28">
        <f t="shared" si="141"/>
        <v>0</v>
      </c>
      <c r="EJN32" s="28">
        <f t="shared" si="141"/>
        <v>0</v>
      </c>
      <c r="EJO32" s="28">
        <f t="shared" si="141"/>
        <v>0</v>
      </c>
      <c r="EJP32" s="28">
        <f t="shared" si="141"/>
        <v>0</v>
      </c>
      <c r="EJQ32" s="28">
        <f t="shared" ref="EJQ32:EMB32" si="142">IFERROR(EJQ31/EJQ$4,0)</f>
        <v>0</v>
      </c>
      <c r="EJR32" s="28">
        <f t="shared" si="142"/>
        <v>0</v>
      </c>
      <c r="EJS32" s="28">
        <f t="shared" si="142"/>
        <v>0</v>
      </c>
      <c r="EJT32" s="28">
        <f t="shared" si="142"/>
        <v>0</v>
      </c>
      <c r="EJU32" s="28">
        <f t="shared" si="142"/>
        <v>0</v>
      </c>
      <c r="EJV32" s="28">
        <f t="shared" si="142"/>
        <v>0</v>
      </c>
      <c r="EJW32" s="28">
        <f t="shared" si="142"/>
        <v>0</v>
      </c>
      <c r="EJX32" s="28">
        <f t="shared" si="142"/>
        <v>0</v>
      </c>
      <c r="EJY32" s="28">
        <f t="shared" si="142"/>
        <v>0</v>
      </c>
      <c r="EJZ32" s="28">
        <f t="shared" si="142"/>
        <v>0</v>
      </c>
      <c r="EKA32" s="28">
        <f t="shared" si="142"/>
        <v>0</v>
      </c>
      <c r="EKB32" s="28">
        <f t="shared" si="142"/>
        <v>0</v>
      </c>
      <c r="EKC32" s="28">
        <f t="shared" si="142"/>
        <v>0</v>
      </c>
      <c r="EKD32" s="28">
        <f t="shared" si="142"/>
        <v>0</v>
      </c>
      <c r="EKE32" s="28">
        <f t="shared" si="142"/>
        <v>0</v>
      </c>
      <c r="EKF32" s="28">
        <f t="shared" si="142"/>
        <v>0</v>
      </c>
      <c r="EKG32" s="28">
        <f t="shared" si="142"/>
        <v>0</v>
      </c>
      <c r="EKH32" s="28">
        <f t="shared" si="142"/>
        <v>0</v>
      </c>
      <c r="EKI32" s="28">
        <f t="shared" si="142"/>
        <v>0</v>
      </c>
      <c r="EKJ32" s="28">
        <f t="shared" si="142"/>
        <v>0</v>
      </c>
      <c r="EKK32" s="28">
        <f t="shared" si="142"/>
        <v>0</v>
      </c>
      <c r="EKL32" s="28">
        <f t="shared" si="142"/>
        <v>0</v>
      </c>
      <c r="EKM32" s="28">
        <f t="shared" si="142"/>
        <v>0</v>
      </c>
      <c r="EKN32" s="28">
        <f t="shared" si="142"/>
        <v>0</v>
      </c>
      <c r="EKO32" s="28">
        <f t="shared" si="142"/>
        <v>0</v>
      </c>
      <c r="EKP32" s="28">
        <f t="shared" si="142"/>
        <v>0</v>
      </c>
      <c r="EKQ32" s="28">
        <f t="shared" si="142"/>
        <v>0</v>
      </c>
      <c r="EKR32" s="28">
        <f t="shared" si="142"/>
        <v>0</v>
      </c>
      <c r="EKS32" s="28">
        <f t="shared" si="142"/>
        <v>0</v>
      </c>
      <c r="EKT32" s="28">
        <f t="shared" si="142"/>
        <v>0</v>
      </c>
      <c r="EKU32" s="28">
        <f t="shared" si="142"/>
        <v>0</v>
      </c>
      <c r="EKV32" s="28">
        <f t="shared" si="142"/>
        <v>0</v>
      </c>
      <c r="EKW32" s="28">
        <f t="shared" si="142"/>
        <v>0</v>
      </c>
      <c r="EKX32" s="28">
        <f t="shared" si="142"/>
        <v>0</v>
      </c>
      <c r="EKY32" s="28">
        <f t="shared" si="142"/>
        <v>0</v>
      </c>
      <c r="EKZ32" s="28">
        <f t="shared" si="142"/>
        <v>0</v>
      </c>
      <c r="ELA32" s="28">
        <f t="shared" si="142"/>
        <v>0</v>
      </c>
      <c r="ELB32" s="28">
        <f t="shared" si="142"/>
        <v>0</v>
      </c>
      <c r="ELC32" s="28">
        <f t="shared" si="142"/>
        <v>0</v>
      </c>
      <c r="ELD32" s="28">
        <f t="shared" si="142"/>
        <v>0</v>
      </c>
      <c r="ELE32" s="28">
        <f t="shared" si="142"/>
        <v>0</v>
      </c>
      <c r="ELF32" s="28">
        <f t="shared" si="142"/>
        <v>0</v>
      </c>
      <c r="ELG32" s="28">
        <f t="shared" si="142"/>
        <v>0</v>
      </c>
      <c r="ELH32" s="28">
        <f t="shared" si="142"/>
        <v>0</v>
      </c>
      <c r="ELI32" s="28">
        <f t="shared" si="142"/>
        <v>0</v>
      </c>
      <c r="ELJ32" s="28">
        <f t="shared" si="142"/>
        <v>0</v>
      </c>
      <c r="ELK32" s="28">
        <f t="shared" si="142"/>
        <v>0</v>
      </c>
      <c r="ELL32" s="28">
        <f t="shared" si="142"/>
        <v>0</v>
      </c>
      <c r="ELM32" s="28">
        <f t="shared" si="142"/>
        <v>0</v>
      </c>
      <c r="ELN32" s="28">
        <f t="shared" si="142"/>
        <v>0</v>
      </c>
      <c r="ELO32" s="28">
        <f t="shared" si="142"/>
        <v>0</v>
      </c>
      <c r="ELP32" s="28">
        <f t="shared" si="142"/>
        <v>0</v>
      </c>
      <c r="ELQ32" s="28">
        <f t="shared" si="142"/>
        <v>0</v>
      </c>
      <c r="ELR32" s="28">
        <f t="shared" si="142"/>
        <v>0</v>
      </c>
      <c r="ELS32" s="28">
        <f t="shared" si="142"/>
        <v>0</v>
      </c>
      <c r="ELT32" s="28">
        <f t="shared" si="142"/>
        <v>0</v>
      </c>
      <c r="ELU32" s="28">
        <f t="shared" si="142"/>
        <v>0</v>
      </c>
      <c r="ELV32" s="28">
        <f t="shared" si="142"/>
        <v>0</v>
      </c>
      <c r="ELW32" s="28">
        <f t="shared" si="142"/>
        <v>0</v>
      </c>
      <c r="ELX32" s="28">
        <f t="shared" si="142"/>
        <v>0</v>
      </c>
      <c r="ELY32" s="28">
        <f t="shared" si="142"/>
        <v>0</v>
      </c>
      <c r="ELZ32" s="28">
        <f t="shared" si="142"/>
        <v>0</v>
      </c>
      <c r="EMA32" s="28">
        <f t="shared" si="142"/>
        <v>0</v>
      </c>
      <c r="EMB32" s="28">
        <f t="shared" si="142"/>
        <v>0</v>
      </c>
      <c r="EMC32" s="28">
        <f t="shared" ref="EMC32:EON32" si="143">IFERROR(EMC31/EMC$4,0)</f>
        <v>0</v>
      </c>
      <c r="EMD32" s="28">
        <f t="shared" si="143"/>
        <v>0</v>
      </c>
      <c r="EME32" s="28">
        <f t="shared" si="143"/>
        <v>0</v>
      </c>
      <c r="EMF32" s="28">
        <f t="shared" si="143"/>
        <v>0</v>
      </c>
      <c r="EMG32" s="28">
        <f t="shared" si="143"/>
        <v>0</v>
      </c>
      <c r="EMH32" s="28">
        <f t="shared" si="143"/>
        <v>0</v>
      </c>
      <c r="EMI32" s="28">
        <f t="shared" si="143"/>
        <v>0</v>
      </c>
      <c r="EMJ32" s="28">
        <f t="shared" si="143"/>
        <v>0</v>
      </c>
      <c r="EMK32" s="28">
        <f t="shared" si="143"/>
        <v>0</v>
      </c>
      <c r="EML32" s="28">
        <f t="shared" si="143"/>
        <v>0</v>
      </c>
      <c r="EMM32" s="28">
        <f t="shared" si="143"/>
        <v>0</v>
      </c>
      <c r="EMN32" s="28">
        <f t="shared" si="143"/>
        <v>0</v>
      </c>
      <c r="EMO32" s="28">
        <f t="shared" si="143"/>
        <v>0</v>
      </c>
      <c r="EMP32" s="28">
        <f t="shared" si="143"/>
        <v>0</v>
      </c>
      <c r="EMQ32" s="28">
        <f t="shared" si="143"/>
        <v>0</v>
      </c>
      <c r="EMR32" s="28">
        <f t="shared" si="143"/>
        <v>0</v>
      </c>
      <c r="EMS32" s="28">
        <f t="shared" si="143"/>
        <v>0</v>
      </c>
      <c r="EMT32" s="28">
        <f t="shared" si="143"/>
        <v>0</v>
      </c>
      <c r="EMU32" s="28">
        <f t="shared" si="143"/>
        <v>0</v>
      </c>
      <c r="EMV32" s="28">
        <f t="shared" si="143"/>
        <v>0</v>
      </c>
      <c r="EMW32" s="28">
        <f t="shared" si="143"/>
        <v>0</v>
      </c>
      <c r="EMX32" s="28">
        <f t="shared" si="143"/>
        <v>0</v>
      </c>
      <c r="EMY32" s="28">
        <f t="shared" si="143"/>
        <v>0</v>
      </c>
      <c r="EMZ32" s="28">
        <f t="shared" si="143"/>
        <v>0</v>
      </c>
      <c r="ENA32" s="28">
        <f t="shared" si="143"/>
        <v>0</v>
      </c>
      <c r="ENB32" s="28">
        <f t="shared" si="143"/>
        <v>0</v>
      </c>
      <c r="ENC32" s="28">
        <f t="shared" si="143"/>
        <v>0</v>
      </c>
      <c r="END32" s="28">
        <f t="shared" si="143"/>
        <v>0</v>
      </c>
      <c r="ENE32" s="28">
        <f t="shared" si="143"/>
        <v>0</v>
      </c>
      <c r="ENF32" s="28">
        <f t="shared" si="143"/>
        <v>0</v>
      </c>
      <c r="ENG32" s="28">
        <f t="shared" si="143"/>
        <v>0</v>
      </c>
      <c r="ENH32" s="28">
        <f t="shared" si="143"/>
        <v>0</v>
      </c>
      <c r="ENI32" s="28">
        <f t="shared" si="143"/>
        <v>0</v>
      </c>
      <c r="ENJ32" s="28">
        <f t="shared" si="143"/>
        <v>0</v>
      </c>
      <c r="ENK32" s="28">
        <f t="shared" si="143"/>
        <v>0</v>
      </c>
      <c r="ENL32" s="28">
        <f t="shared" si="143"/>
        <v>0</v>
      </c>
      <c r="ENM32" s="28">
        <f t="shared" si="143"/>
        <v>0</v>
      </c>
      <c r="ENN32" s="28">
        <f t="shared" si="143"/>
        <v>0</v>
      </c>
      <c r="ENO32" s="28">
        <f t="shared" si="143"/>
        <v>0</v>
      </c>
      <c r="ENP32" s="28">
        <f t="shared" si="143"/>
        <v>0</v>
      </c>
      <c r="ENQ32" s="28">
        <f t="shared" si="143"/>
        <v>0</v>
      </c>
      <c r="ENR32" s="28">
        <f t="shared" si="143"/>
        <v>0</v>
      </c>
      <c r="ENS32" s="28">
        <f t="shared" si="143"/>
        <v>0</v>
      </c>
      <c r="ENT32" s="28">
        <f t="shared" si="143"/>
        <v>0</v>
      </c>
      <c r="ENU32" s="28">
        <f t="shared" si="143"/>
        <v>0</v>
      </c>
      <c r="ENV32" s="28">
        <f t="shared" si="143"/>
        <v>0</v>
      </c>
      <c r="ENW32" s="28">
        <f t="shared" si="143"/>
        <v>0</v>
      </c>
      <c r="ENX32" s="28">
        <f t="shared" si="143"/>
        <v>0</v>
      </c>
      <c r="ENY32" s="28">
        <f t="shared" si="143"/>
        <v>0</v>
      </c>
      <c r="ENZ32" s="28">
        <f t="shared" si="143"/>
        <v>0</v>
      </c>
      <c r="EOA32" s="28">
        <f t="shared" si="143"/>
        <v>0</v>
      </c>
      <c r="EOB32" s="28">
        <f t="shared" si="143"/>
        <v>0</v>
      </c>
      <c r="EOC32" s="28">
        <f t="shared" si="143"/>
        <v>0</v>
      </c>
      <c r="EOD32" s="28">
        <f t="shared" si="143"/>
        <v>0</v>
      </c>
      <c r="EOE32" s="28">
        <f t="shared" si="143"/>
        <v>0</v>
      </c>
      <c r="EOF32" s="28">
        <f t="shared" si="143"/>
        <v>0</v>
      </c>
      <c r="EOG32" s="28">
        <f t="shared" si="143"/>
        <v>0</v>
      </c>
      <c r="EOH32" s="28">
        <f t="shared" si="143"/>
        <v>0</v>
      </c>
      <c r="EOI32" s="28">
        <f t="shared" si="143"/>
        <v>0</v>
      </c>
      <c r="EOJ32" s="28">
        <f t="shared" si="143"/>
        <v>0</v>
      </c>
      <c r="EOK32" s="28">
        <f t="shared" si="143"/>
        <v>0</v>
      </c>
      <c r="EOL32" s="28">
        <f t="shared" si="143"/>
        <v>0</v>
      </c>
      <c r="EOM32" s="28">
        <f t="shared" si="143"/>
        <v>0</v>
      </c>
      <c r="EON32" s="28">
        <f t="shared" si="143"/>
        <v>0</v>
      </c>
      <c r="EOO32" s="28">
        <f t="shared" ref="EOO32:EQZ32" si="144">IFERROR(EOO31/EOO$4,0)</f>
        <v>0</v>
      </c>
      <c r="EOP32" s="28">
        <f t="shared" si="144"/>
        <v>0</v>
      </c>
      <c r="EOQ32" s="28">
        <f t="shared" si="144"/>
        <v>0</v>
      </c>
      <c r="EOR32" s="28">
        <f t="shared" si="144"/>
        <v>0</v>
      </c>
      <c r="EOS32" s="28">
        <f t="shared" si="144"/>
        <v>0</v>
      </c>
      <c r="EOT32" s="28">
        <f t="shared" si="144"/>
        <v>0</v>
      </c>
      <c r="EOU32" s="28">
        <f t="shared" si="144"/>
        <v>0</v>
      </c>
      <c r="EOV32" s="28">
        <f t="shared" si="144"/>
        <v>0</v>
      </c>
      <c r="EOW32" s="28">
        <f t="shared" si="144"/>
        <v>0</v>
      </c>
      <c r="EOX32" s="28">
        <f t="shared" si="144"/>
        <v>0</v>
      </c>
      <c r="EOY32" s="28">
        <f t="shared" si="144"/>
        <v>0</v>
      </c>
      <c r="EOZ32" s="28">
        <f t="shared" si="144"/>
        <v>0</v>
      </c>
      <c r="EPA32" s="28">
        <f t="shared" si="144"/>
        <v>0</v>
      </c>
      <c r="EPB32" s="28">
        <f t="shared" si="144"/>
        <v>0</v>
      </c>
      <c r="EPC32" s="28">
        <f t="shared" si="144"/>
        <v>0</v>
      </c>
      <c r="EPD32" s="28">
        <f t="shared" si="144"/>
        <v>0</v>
      </c>
      <c r="EPE32" s="28">
        <f t="shared" si="144"/>
        <v>0</v>
      </c>
      <c r="EPF32" s="28">
        <f t="shared" si="144"/>
        <v>0</v>
      </c>
      <c r="EPG32" s="28">
        <f t="shared" si="144"/>
        <v>0</v>
      </c>
      <c r="EPH32" s="28">
        <f t="shared" si="144"/>
        <v>0</v>
      </c>
      <c r="EPI32" s="28">
        <f t="shared" si="144"/>
        <v>0</v>
      </c>
      <c r="EPJ32" s="28">
        <f t="shared" si="144"/>
        <v>0</v>
      </c>
      <c r="EPK32" s="28">
        <f t="shared" si="144"/>
        <v>0</v>
      </c>
      <c r="EPL32" s="28">
        <f t="shared" si="144"/>
        <v>0</v>
      </c>
      <c r="EPM32" s="28">
        <f t="shared" si="144"/>
        <v>0</v>
      </c>
      <c r="EPN32" s="28">
        <f t="shared" si="144"/>
        <v>0</v>
      </c>
      <c r="EPO32" s="28">
        <f t="shared" si="144"/>
        <v>0</v>
      </c>
      <c r="EPP32" s="28">
        <f t="shared" si="144"/>
        <v>0</v>
      </c>
      <c r="EPQ32" s="28">
        <f t="shared" si="144"/>
        <v>0</v>
      </c>
      <c r="EPR32" s="28">
        <f t="shared" si="144"/>
        <v>0</v>
      </c>
      <c r="EPS32" s="28">
        <f t="shared" si="144"/>
        <v>0</v>
      </c>
      <c r="EPT32" s="28">
        <f t="shared" si="144"/>
        <v>0</v>
      </c>
      <c r="EPU32" s="28">
        <f t="shared" si="144"/>
        <v>0</v>
      </c>
      <c r="EPV32" s="28">
        <f t="shared" si="144"/>
        <v>0</v>
      </c>
      <c r="EPW32" s="28">
        <f t="shared" si="144"/>
        <v>0</v>
      </c>
      <c r="EPX32" s="28">
        <f t="shared" si="144"/>
        <v>0</v>
      </c>
      <c r="EPY32" s="28">
        <f t="shared" si="144"/>
        <v>0</v>
      </c>
      <c r="EPZ32" s="28">
        <f t="shared" si="144"/>
        <v>0</v>
      </c>
      <c r="EQA32" s="28">
        <f t="shared" si="144"/>
        <v>0</v>
      </c>
      <c r="EQB32" s="28">
        <f t="shared" si="144"/>
        <v>0</v>
      </c>
      <c r="EQC32" s="28">
        <f t="shared" si="144"/>
        <v>0</v>
      </c>
      <c r="EQD32" s="28">
        <f t="shared" si="144"/>
        <v>0</v>
      </c>
      <c r="EQE32" s="28">
        <f t="shared" si="144"/>
        <v>0</v>
      </c>
      <c r="EQF32" s="28">
        <f t="shared" si="144"/>
        <v>0</v>
      </c>
      <c r="EQG32" s="28">
        <f t="shared" si="144"/>
        <v>0</v>
      </c>
      <c r="EQH32" s="28">
        <f t="shared" si="144"/>
        <v>0</v>
      </c>
      <c r="EQI32" s="28">
        <f t="shared" si="144"/>
        <v>0</v>
      </c>
      <c r="EQJ32" s="28">
        <f t="shared" si="144"/>
        <v>0</v>
      </c>
      <c r="EQK32" s="28">
        <f t="shared" si="144"/>
        <v>0</v>
      </c>
      <c r="EQL32" s="28">
        <f t="shared" si="144"/>
        <v>0</v>
      </c>
      <c r="EQM32" s="28">
        <f t="shared" si="144"/>
        <v>0</v>
      </c>
      <c r="EQN32" s="28">
        <f t="shared" si="144"/>
        <v>0</v>
      </c>
      <c r="EQO32" s="28">
        <f t="shared" si="144"/>
        <v>0</v>
      </c>
      <c r="EQP32" s="28">
        <f t="shared" si="144"/>
        <v>0</v>
      </c>
      <c r="EQQ32" s="28">
        <f t="shared" si="144"/>
        <v>0</v>
      </c>
      <c r="EQR32" s="28">
        <f t="shared" si="144"/>
        <v>0</v>
      </c>
      <c r="EQS32" s="28">
        <f t="shared" si="144"/>
        <v>0</v>
      </c>
      <c r="EQT32" s="28">
        <f t="shared" si="144"/>
        <v>0</v>
      </c>
      <c r="EQU32" s="28">
        <f t="shared" si="144"/>
        <v>0</v>
      </c>
      <c r="EQV32" s="28">
        <f t="shared" si="144"/>
        <v>0</v>
      </c>
      <c r="EQW32" s="28">
        <f t="shared" si="144"/>
        <v>0</v>
      </c>
      <c r="EQX32" s="28">
        <f t="shared" si="144"/>
        <v>0</v>
      </c>
      <c r="EQY32" s="28">
        <f t="shared" si="144"/>
        <v>0</v>
      </c>
      <c r="EQZ32" s="28">
        <f t="shared" si="144"/>
        <v>0</v>
      </c>
      <c r="ERA32" s="28">
        <f t="shared" ref="ERA32:ETL32" si="145">IFERROR(ERA31/ERA$4,0)</f>
        <v>0</v>
      </c>
      <c r="ERB32" s="28">
        <f t="shared" si="145"/>
        <v>0</v>
      </c>
      <c r="ERC32" s="28">
        <f t="shared" si="145"/>
        <v>0</v>
      </c>
      <c r="ERD32" s="28">
        <f t="shared" si="145"/>
        <v>0</v>
      </c>
      <c r="ERE32" s="28">
        <f t="shared" si="145"/>
        <v>0</v>
      </c>
      <c r="ERF32" s="28">
        <f t="shared" si="145"/>
        <v>0</v>
      </c>
      <c r="ERG32" s="28">
        <f t="shared" si="145"/>
        <v>0</v>
      </c>
      <c r="ERH32" s="28">
        <f t="shared" si="145"/>
        <v>0</v>
      </c>
      <c r="ERI32" s="28">
        <f t="shared" si="145"/>
        <v>0</v>
      </c>
      <c r="ERJ32" s="28">
        <f t="shared" si="145"/>
        <v>0</v>
      </c>
      <c r="ERK32" s="28">
        <f t="shared" si="145"/>
        <v>0</v>
      </c>
      <c r="ERL32" s="28">
        <f t="shared" si="145"/>
        <v>0</v>
      </c>
      <c r="ERM32" s="28">
        <f t="shared" si="145"/>
        <v>0</v>
      </c>
      <c r="ERN32" s="28">
        <f t="shared" si="145"/>
        <v>0</v>
      </c>
      <c r="ERO32" s="28">
        <f t="shared" si="145"/>
        <v>0</v>
      </c>
      <c r="ERP32" s="28">
        <f t="shared" si="145"/>
        <v>0</v>
      </c>
      <c r="ERQ32" s="28">
        <f t="shared" si="145"/>
        <v>0</v>
      </c>
      <c r="ERR32" s="28">
        <f t="shared" si="145"/>
        <v>0</v>
      </c>
      <c r="ERS32" s="28">
        <f t="shared" si="145"/>
        <v>0</v>
      </c>
      <c r="ERT32" s="28">
        <f t="shared" si="145"/>
        <v>0</v>
      </c>
      <c r="ERU32" s="28">
        <f t="shared" si="145"/>
        <v>0</v>
      </c>
      <c r="ERV32" s="28">
        <f t="shared" si="145"/>
        <v>0</v>
      </c>
      <c r="ERW32" s="28">
        <f t="shared" si="145"/>
        <v>0</v>
      </c>
      <c r="ERX32" s="28">
        <f t="shared" si="145"/>
        <v>0</v>
      </c>
      <c r="ERY32" s="28">
        <f t="shared" si="145"/>
        <v>0</v>
      </c>
      <c r="ERZ32" s="28">
        <f t="shared" si="145"/>
        <v>0</v>
      </c>
      <c r="ESA32" s="28">
        <f t="shared" si="145"/>
        <v>0</v>
      </c>
      <c r="ESB32" s="28">
        <f t="shared" si="145"/>
        <v>0</v>
      </c>
      <c r="ESC32" s="28">
        <f t="shared" si="145"/>
        <v>0</v>
      </c>
      <c r="ESD32" s="28">
        <f t="shared" si="145"/>
        <v>0</v>
      </c>
      <c r="ESE32" s="28">
        <f t="shared" si="145"/>
        <v>0</v>
      </c>
      <c r="ESF32" s="28">
        <f t="shared" si="145"/>
        <v>0</v>
      </c>
      <c r="ESG32" s="28">
        <f t="shared" si="145"/>
        <v>0</v>
      </c>
      <c r="ESH32" s="28">
        <f t="shared" si="145"/>
        <v>0</v>
      </c>
      <c r="ESI32" s="28">
        <f t="shared" si="145"/>
        <v>0</v>
      </c>
      <c r="ESJ32" s="28">
        <f t="shared" si="145"/>
        <v>0</v>
      </c>
      <c r="ESK32" s="28">
        <f t="shared" si="145"/>
        <v>0</v>
      </c>
      <c r="ESL32" s="28">
        <f t="shared" si="145"/>
        <v>0</v>
      </c>
      <c r="ESM32" s="28">
        <f t="shared" si="145"/>
        <v>0</v>
      </c>
      <c r="ESN32" s="28">
        <f t="shared" si="145"/>
        <v>0</v>
      </c>
      <c r="ESO32" s="28">
        <f t="shared" si="145"/>
        <v>0</v>
      </c>
      <c r="ESP32" s="28">
        <f t="shared" si="145"/>
        <v>0</v>
      </c>
      <c r="ESQ32" s="28">
        <f t="shared" si="145"/>
        <v>0</v>
      </c>
      <c r="ESR32" s="28">
        <f t="shared" si="145"/>
        <v>0</v>
      </c>
      <c r="ESS32" s="28">
        <f t="shared" si="145"/>
        <v>0</v>
      </c>
      <c r="EST32" s="28">
        <f t="shared" si="145"/>
        <v>0</v>
      </c>
      <c r="ESU32" s="28">
        <f t="shared" si="145"/>
        <v>0</v>
      </c>
      <c r="ESV32" s="28">
        <f t="shared" si="145"/>
        <v>0</v>
      </c>
      <c r="ESW32" s="28">
        <f t="shared" si="145"/>
        <v>0</v>
      </c>
      <c r="ESX32" s="28">
        <f t="shared" si="145"/>
        <v>0</v>
      </c>
      <c r="ESY32" s="28">
        <f t="shared" si="145"/>
        <v>0</v>
      </c>
      <c r="ESZ32" s="28">
        <f t="shared" si="145"/>
        <v>0</v>
      </c>
      <c r="ETA32" s="28">
        <f t="shared" si="145"/>
        <v>0</v>
      </c>
      <c r="ETB32" s="28">
        <f t="shared" si="145"/>
        <v>0</v>
      </c>
      <c r="ETC32" s="28">
        <f t="shared" si="145"/>
        <v>0</v>
      </c>
      <c r="ETD32" s="28">
        <f t="shared" si="145"/>
        <v>0</v>
      </c>
      <c r="ETE32" s="28">
        <f t="shared" si="145"/>
        <v>0</v>
      </c>
      <c r="ETF32" s="28">
        <f t="shared" si="145"/>
        <v>0</v>
      </c>
      <c r="ETG32" s="28">
        <f t="shared" si="145"/>
        <v>0</v>
      </c>
      <c r="ETH32" s="28">
        <f t="shared" si="145"/>
        <v>0</v>
      </c>
      <c r="ETI32" s="28">
        <f t="shared" si="145"/>
        <v>0</v>
      </c>
      <c r="ETJ32" s="28">
        <f t="shared" si="145"/>
        <v>0</v>
      </c>
      <c r="ETK32" s="28">
        <f t="shared" si="145"/>
        <v>0</v>
      </c>
      <c r="ETL32" s="28">
        <f t="shared" si="145"/>
        <v>0</v>
      </c>
      <c r="ETM32" s="28">
        <f t="shared" ref="ETM32:EVX32" si="146">IFERROR(ETM31/ETM$4,0)</f>
        <v>0</v>
      </c>
      <c r="ETN32" s="28">
        <f t="shared" si="146"/>
        <v>0</v>
      </c>
      <c r="ETO32" s="28">
        <f t="shared" si="146"/>
        <v>0</v>
      </c>
      <c r="ETP32" s="28">
        <f t="shared" si="146"/>
        <v>0</v>
      </c>
      <c r="ETQ32" s="28">
        <f t="shared" si="146"/>
        <v>0</v>
      </c>
      <c r="ETR32" s="28">
        <f t="shared" si="146"/>
        <v>0</v>
      </c>
      <c r="ETS32" s="28">
        <f t="shared" si="146"/>
        <v>0</v>
      </c>
      <c r="ETT32" s="28">
        <f t="shared" si="146"/>
        <v>0</v>
      </c>
      <c r="ETU32" s="28">
        <f t="shared" si="146"/>
        <v>0</v>
      </c>
      <c r="ETV32" s="28">
        <f t="shared" si="146"/>
        <v>0</v>
      </c>
      <c r="ETW32" s="28">
        <f t="shared" si="146"/>
        <v>0</v>
      </c>
      <c r="ETX32" s="28">
        <f t="shared" si="146"/>
        <v>0</v>
      </c>
      <c r="ETY32" s="28">
        <f t="shared" si="146"/>
        <v>0</v>
      </c>
      <c r="ETZ32" s="28">
        <f t="shared" si="146"/>
        <v>0</v>
      </c>
      <c r="EUA32" s="28">
        <f t="shared" si="146"/>
        <v>0</v>
      </c>
      <c r="EUB32" s="28">
        <f t="shared" si="146"/>
        <v>0</v>
      </c>
      <c r="EUC32" s="28">
        <f t="shared" si="146"/>
        <v>0</v>
      </c>
      <c r="EUD32" s="28">
        <f t="shared" si="146"/>
        <v>0</v>
      </c>
      <c r="EUE32" s="28">
        <f t="shared" si="146"/>
        <v>0</v>
      </c>
      <c r="EUF32" s="28">
        <f t="shared" si="146"/>
        <v>0</v>
      </c>
      <c r="EUG32" s="28">
        <f t="shared" si="146"/>
        <v>0</v>
      </c>
      <c r="EUH32" s="28">
        <f t="shared" si="146"/>
        <v>0</v>
      </c>
      <c r="EUI32" s="28">
        <f t="shared" si="146"/>
        <v>0</v>
      </c>
      <c r="EUJ32" s="28">
        <f t="shared" si="146"/>
        <v>0</v>
      </c>
      <c r="EUK32" s="28">
        <f t="shared" si="146"/>
        <v>0</v>
      </c>
      <c r="EUL32" s="28">
        <f t="shared" si="146"/>
        <v>0</v>
      </c>
      <c r="EUM32" s="28">
        <f t="shared" si="146"/>
        <v>0</v>
      </c>
      <c r="EUN32" s="28">
        <f t="shared" si="146"/>
        <v>0</v>
      </c>
      <c r="EUO32" s="28">
        <f t="shared" si="146"/>
        <v>0</v>
      </c>
      <c r="EUP32" s="28">
        <f t="shared" si="146"/>
        <v>0</v>
      </c>
      <c r="EUQ32" s="28">
        <f t="shared" si="146"/>
        <v>0</v>
      </c>
      <c r="EUR32" s="28">
        <f t="shared" si="146"/>
        <v>0</v>
      </c>
      <c r="EUS32" s="28">
        <f t="shared" si="146"/>
        <v>0</v>
      </c>
      <c r="EUT32" s="28">
        <f t="shared" si="146"/>
        <v>0</v>
      </c>
      <c r="EUU32" s="28">
        <f t="shared" si="146"/>
        <v>0</v>
      </c>
      <c r="EUV32" s="28">
        <f t="shared" si="146"/>
        <v>0</v>
      </c>
      <c r="EUW32" s="28">
        <f t="shared" si="146"/>
        <v>0</v>
      </c>
      <c r="EUX32" s="28">
        <f t="shared" si="146"/>
        <v>0</v>
      </c>
      <c r="EUY32" s="28">
        <f t="shared" si="146"/>
        <v>0</v>
      </c>
      <c r="EUZ32" s="28">
        <f t="shared" si="146"/>
        <v>0</v>
      </c>
      <c r="EVA32" s="28">
        <f t="shared" si="146"/>
        <v>0</v>
      </c>
      <c r="EVB32" s="28">
        <f t="shared" si="146"/>
        <v>0</v>
      </c>
      <c r="EVC32" s="28">
        <f t="shared" si="146"/>
        <v>0</v>
      </c>
      <c r="EVD32" s="28">
        <f t="shared" si="146"/>
        <v>0</v>
      </c>
      <c r="EVE32" s="28">
        <f t="shared" si="146"/>
        <v>0</v>
      </c>
      <c r="EVF32" s="28">
        <f t="shared" si="146"/>
        <v>0</v>
      </c>
      <c r="EVG32" s="28">
        <f t="shared" si="146"/>
        <v>0</v>
      </c>
      <c r="EVH32" s="28">
        <f t="shared" si="146"/>
        <v>0</v>
      </c>
      <c r="EVI32" s="28">
        <f t="shared" si="146"/>
        <v>0</v>
      </c>
      <c r="EVJ32" s="28">
        <f t="shared" si="146"/>
        <v>0</v>
      </c>
      <c r="EVK32" s="28">
        <f t="shared" si="146"/>
        <v>0</v>
      </c>
      <c r="EVL32" s="28">
        <f t="shared" si="146"/>
        <v>0</v>
      </c>
      <c r="EVM32" s="28">
        <f t="shared" si="146"/>
        <v>0</v>
      </c>
      <c r="EVN32" s="28">
        <f t="shared" si="146"/>
        <v>0</v>
      </c>
      <c r="EVO32" s="28">
        <f t="shared" si="146"/>
        <v>0</v>
      </c>
      <c r="EVP32" s="28">
        <f t="shared" si="146"/>
        <v>0</v>
      </c>
      <c r="EVQ32" s="28">
        <f t="shared" si="146"/>
        <v>0</v>
      </c>
      <c r="EVR32" s="28">
        <f t="shared" si="146"/>
        <v>0</v>
      </c>
      <c r="EVS32" s="28">
        <f t="shared" si="146"/>
        <v>0</v>
      </c>
      <c r="EVT32" s="28">
        <f t="shared" si="146"/>
        <v>0</v>
      </c>
      <c r="EVU32" s="28">
        <f t="shared" si="146"/>
        <v>0</v>
      </c>
      <c r="EVV32" s="28">
        <f t="shared" si="146"/>
        <v>0</v>
      </c>
      <c r="EVW32" s="28">
        <f t="shared" si="146"/>
        <v>0</v>
      </c>
      <c r="EVX32" s="28">
        <f t="shared" si="146"/>
        <v>0</v>
      </c>
      <c r="EVY32" s="28">
        <f t="shared" ref="EVY32:EYJ32" si="147">IFERROR(EVY31/EVY$4,0)</f>
        <v>0</v>
      </c>
      <c r="EVZ32" s="28">
        <f t="shared" si="147"/>
        <v>0</v>
      </c>
      <c r="EWA32" s="28">
        <f t="shared" si="147"/>
        <v>0</v>
      </c>
      <c r="EWB32" s="28">
        <f t="shared" si="147"/>
        <v>0</v>
      </c>
      <c r="EWC32" s="28">
        <f t="shared" si="147"/>
        <v>0</v>
      </c>
      <c r="EWD32" s="28">
        <f t="shared" si="147"/>
        <v>0</v>
      </c>
      <c r="EWE32" s="28">
        <f t="shared" si="147"/>
        <v>0</v>
      </c>
      <c r="EWF32" s="28">
        <f t="shared" si="147"/>
        <v>0</v>
      </c>
      <c r="EWG32" s="28">
        <f t="shared" si="147"/>
        <v>0</v>
      </c>
      <c r="EWH32" s="28">
        <f t="shared" si="147"/>
        <v>0</v>
      </c>
      <c r="EWI32" s="28">
        <f t="shared" si="147"/>
        <v>0</v>
      </c>
      <c r="EWJ32" s="28">
        <f t="shared" si="147"/>
        <v>0</v>
      </c>
      <c r="EWK32" s="28">
        <f t="shared" si="147"/>
        <v>0</v>
      </c>
      <c r="EWL32" s="28">
        <f t="shared" si="147"/>
        <v>0</v>
      </c>
      <c r="EWM32" s="28">
        <f t="shared" si="147"/>
        <v>0</v>
      </c>
      <c r="EWN32" s="28">
        <f t="shared" si="147"/>
        <v>0</v>
      </c>
      <c r="EWO32" s="28">
        <f t="shared" si="147"/>
        <v>0</v>
      </c>
      <c r="EWP32" s="28">
        <f t="shared" si="147"/>
        <v>0</v>
      </c>
      <c r="EWQ32" s="28">
        <f t="shared" si="147"/>
        <v>0</v>
      </c>
      <c r="EWR32" s="28">
        <f t="shared" si="147"/>
        <v>0</v>
      </c>
      <c r="EWS32" s="28">
        <f t="shared" si="147"/>
        <v>0</v>
      </c>
      <c r="EWT32" s="28">
        <f t="shared" si="147"/>
        <v>0</v>
      </c>
      <c r="EWU32" s="28">
        <f t="shared" si="147"/>
        <v>0</v>
      </c>
      <c r="EWV32" s="28">
        <f t="shared" si="147"/>
        <v>0</v>
      </c>
      <c r="EWW32" s="28">
        <f t="shared" si="147"/>
        <v>0</v>
      </c>
      <c r="EWX32" s="28">
        <f t="shared" si="147"/>
        <v>0</v>
      </c>
      <c r="EWY32" s="28">
        <f t="shared" si="147"/>
        <v>0</v>
      </c>
      <c r="EWZ32" s="28">
        <f t="shared" si="147"/>
        <v>0</v>
      </c>
      <c r="EXA32" s="28">
        <f t="shared" si="147"/>
        <v>0</v>
      </c>
      <c r="EXB32" s="28">
        <f t="shared" si="147"/>
        <v>0</v>
      </c>
      <c r="EXC32" s="28">
        <f t="shared" si="147"/>
        <v>0</v>
      </c>
      <c r="EXD32" s="28">
        <f t="shared" si="147"/>
        <v>0</v>
      </c>
      <c r="EXE32" s="28">
        <f t="shared" si="147"/>
        <v>0</v>
      </c>
      <c r="EXF32" s="28">
        <f t="shared" si="147"/>
        <v>0</v>
      </c>
      <c r="EXG32" s="28">
        <f t="shared" si="147"/>
        <v>0</v>
      </c>
      <c r="EXH32" s="28">
        <f t="shared" si="147"/>
        <v>0</v>
      </c>
      <c r="EXI32" s="28">
        <f t="shared" si="147"/>
        <v>0</v>
      </c>
      <c r="EXJ32" s="28">
        <f t="shared" si="147"/>
        <v>0</v>
      </c>
      <c r="EXK32" s="28">
        <f t="shared" si="147"/>
        <v>0</v>
      </c>
      <c r="EXL32" s="28">
        <f t="shared" si="147"/>
        <v>0</v>
      </c>
      <c r="EXM32" s="28">
        <f t="shared" si="147"/>
        <v>0</v>
      </c>
      <c r="EXN32" s="28">
        <f t="shared" si="147"/>
        <v>0</v>
      </c>
      <c r="EXO32" s="28">
        <f t="shared" si="147"/>
        <v>0</v>
      </c>
      <c r="EXP32" s="28">
        <f t="shared" si="147"/>
        <v>0</v>
      </c>
      <c r="EXQ32" s="28">
        <f t="shared" si="147"/>
        <v>0</v>
      </c>
      <c r="EXR32" s="28">
        <f t="shared" si="147"/>
        <v>0</v>
      </c>
      <c r="EXS32" s="28">
        <f t="shared" si="147"/>
        <v>0</v>
      </c>
      <c r="EXT32" s="28">
        <f t="shared" si="147"/>
        <v>0</v>
      </c>
      <c r="EXU32" s="28">
        <f t="shared" si="147"/>
        <v>0</v>
      </c>
      <c r="EXV32" s="28">
        <f t="shared" si="147"/>
        <v>0</v>
      </c>
      <c r="EXW32" s="28">
        <f t="shared" si="147"/>
        <v>0</v>
      </c>
      <c r="EXX32" s="28">
        <f t="shared" si="147"/>
        <v>0</v>
      </c>
      <c r="EXY32" s="28">
        <f t="shared" si="147"/>
        <v>0</v>
      </c>
      <c r="EXZ32" s="28">
        <f t="shared" si="147"/>
        <v>0</v>
      </c>
      <c r="EYA32" s="28">
        <f t="shared" si="147"/>
        <v>0</v>
      </c>
      <c r="EYB32" s="28">
        <f t="shared" si="147"/>
        <v>0</v>
      </c>
      <c r="EYC32" s="28">
        <f t="shared" si="147"/>
        <v>0</v>
      </c>
      <c r="EYD32" s="28">
        <f t="shared" si="147"/>
        <v>0</v>
      </c>
      <c r="EYE32" s="28">
        <f t="shared" si="147"/>
        <v>0</v>
      </c>
      <c r="EYF32" s="28">
        <f t="shared" si="147"/>
        <v>0</v>
      </c>
      <c r="EYG32" s="28">
        <f t="shared" si="147"/>
        <v>0</v>
      </c>
      <c r="EYH32" s="28">
        <f t="shared" si="147"/>
        <v>0</v>
      </c>
      <c r="EYI32" s="28">
        <f t="shared" si="147"/>
        <v>0</v>
      </c>
      <c r="EYJ32" s="28">
        <f t="shared" si="147"/>
        <v>0</v>
      </c>
      <c r="EYK32" s="28">
        <f t="shared" ref="EYK32:FAV32" si="148">IFERROR(EYK31/EYK$4,0)</f>
        <v>0</v>
      </c>
      <c r="EYL32" s="28">
        <f t="shared" si="148"/>
        <v>0</v>
      </c>
      <c r="EYM32" s="28">
        <f t="shared" si="148"/>
        <v>0</v>
      </c>
      <c r="EYN32" s="28">
        <f t="shared" si="148"/>
        <v>0</v>
      </c>
      <c r="EYO32" s="28">
        <f t="shared" si="148"/>
        <v>0</v>
      </c>
      <c r="EYP32" s="28">
        <f t="shared" si="148"/>
        <v>0</v>
      </c>
      <c r="EYQ32" s="28">
        <f t="shared" si="148"/>
        <v>0</v>
      </c>
      <c r="EYR32" s="28">
        <f t="shared" si="148"/>
        <v>0</v>
      </c>
      <c r="EYS32" s="28">
        <f t="shared" si="148"/>
        <v>0</v>
      </c>
      <c r="EYT32" s="28">
        <f t="shared" si="148"/>
        <v>0</v>
      </c>
      <c r="EYU32" s="28">
        <f t="shared" si="148"/>
        <v>0</v>
      </c>
      <c r="EYV32" s="28">
        <f t="shared" si="148"/>
        <v>0</v>
      </c>
      <c r="EYW32" s="28">
        <f t="shared" si="148"/>
        <v>0</v>
      </c>
      <c r="EYX32" s="28">
        <f t="shared" si="148"/>
        <v>0</v>
      </c>
      <c r="EYY32" s="28">
        <f t="shared" si="148"/>
        <v>0</v>
      </c>
      <c r="EYZ32" s="28">
        <f t="shared" si="148"/>
        <v>0</v>
      </c>
      <c r="EZA32" s="28">
        <f t="shared" si="148"/>
        <v>0</v>
      </c>
      <c r="EZB32" s="28">
        <f t="shared" si="148"/>
        <v>0</v>
      </c>
      <c r="EZC32" s="28">
        <f t="shared" si="148"/>
        <v>0</v>
      </c>
      <c r="EZD32" s="28">
        <f t="shared" si="148"/>
        <v>0</v>
      </c>
      <c r="EZE32" s="28">
        <f t="shared" si="148"/>
        <v>0</v>
      </c>
      <c r="EZF32" s="28">
        <f t="shared" si="148"/>
        <v>0</v>
      </c>
      <c r="EZG32" s="28">
        <f t="shared" si="148"/>
        <v>0</v>
      </c>
      <c r="EZH32" s="28">
        <f t="shared" si="148"/>
        <v>0</v>
      </c>
      <c r="EZI32" s="28">
        <f t="shared" si="148"/>
        <v>0</v>
      </c>
      <c r="EZJ32" s="28">
        <f t="shared" si="148"/>
        <v>0</v>
      </c>
      <c r="EZK32" s="28">
        <f t="shared" si="148"/>
        <v>0</v>
      </c>
      <c r="EZL32" s="28">
        <f t="shared" si="148"/>
        <v>0</v>
      </c>
      <c r="EZM32" s="28">
        <f t="shared" si="148"/>
        <v>0</v>
      </c>
      <c r="EZN32" s="28">
        <f t="shared" si="148"/>
        <v>0</v>
      </c>
      <c r="EZO32" s="28">
        <f t="shared" si="148"/>
        <v>0</v>
      </c>
      <c r="EZP32" s="28">
        <f t="shared" si="148"/>
        <v>0</v>
      </c>
      <c r="EZQ32" s="28">
        <f t="shared" si="148"/>
        <v>0</v>
      </c>
      <c r="EZR32" s="28">
        <f t="shared" si="148"/>
        <v>0</v>
      </c>
      <c r="EZS32" s="28">
        <f t="shared" si="148"/>
        <v>0</v>
      </c>
      <c r="EZT32" s="28">
        <f t="shared" si="148"/>
        <v>0</v>
      </c>
      <c r="EZU32" s="28">
        <f t="shared" si="148"/>
        <v>0</v>
      </c>
      <c r="EZV32" s="28">
        <f t="shared" si="148"/>
        <v>0</v>
      </c>
      <c r="EZW32" s="28">
        <f t="shared" si="148"/>
        <v>0</v>
      </c>
      <c r="EZX32" s="28">
        <f t="shared" si="148"/>
        <v>0</v>
      </c>
      <c r="EZY32" s="28">
        <f t="shared" si="148"/>
        <v>0</v>
      </c>
      <c r="EZZ32" s="28">
        <f t="shared" si="148"/>
        <v>0</v>
      </c>
      <c r="FAA32" s="28">
        <f t="shared" si="148"/>
        <v>0</v>
      </c>
      <c r="FAB32" s="28">
        <f t="shared" si="148"/>
        <v>0</v>
      </c>
      <c r="FAC32" s="28">
        <f t="shared" si="148"/>
        <v>0</v>
      </c>
      <c r="FAD32" s="28">
        <f t="shared" si="148"/>
        <v>0</v>
      </c>
      <c r="FAE32" s="28">
        <f t="shared" si="148"/>
        <v>0</v>
      </c>
      <c r="FAF32" s="28">
        <f t="shared" si="148"/>
        <v>0</v>
      </c>
      <c r="FAG32" s="28">
        <f t="shared" si="148"/>
        <v>0</v>
      </c>
      <c r="FAH32" s="28">
        <f t="shared" si="148"/>
        <v>0</v>
      </c>
      <c r="FAI32" s="28">
        <f t="shared" si="148"/>
        <v>0</v>
      </c>
      <c r="FAJ32" s="28">
        <f t="shared" si="148"/>
        <v>0</v>
      </c>
      <c r="FAK32" s="28">
        <f t="shared" si="148"/>
        <v>0</v>
      </c>
      <c r="FAL32" s="28">
        <f t="shared" si="148"/>
        <v>0</v>
      </c>
      <c r="FAM32" s="28">
        <f t="shared" si="148"/>
        <v>0</v>
      </c>
      <c r="FAN32" s="28">
        <f t="shared" si="148"/>
        <v>0</v>
      </c>
      <c r="FAO32" s="28">
        <f t="shared" si="148"/>
        <v>0</v>
      </c>
      <c r="FAP32" s="28">
        <f t="shared" si="148"/>
        <v>0</v>
      </c>
      <c r="FAQ32" s="28">
        <f t="shared" si="148"/>
        <v>0</v>
      </c>
      <c r="FAR32" s="28">
        <f t="shared" si="148"/>
        <v>0</v>
      </c>
      <c r="FAS32" s="28">
        <f t="shared" si="148"/>
        <v>0</v>
      </c>
      <c r="FAT32" s="28">
        <f t="shared" si="148"/>
        <v>0</v>
      </c>
      <c r="FAU32" s="28">
        <f t="shared" si="148"/>
        <v>0</v>
      </c>
      <c r="FAV32" s="28">
        <f t="shared" si="148"/>
        <v>0</v>
      </c>
      <c r="FAW32" s="28">
        <f t="shared" ref="FAW32:FDH32" si="149">IFERROR(FAW31/FAW$4,0)</f>
        <v>0</v>
      </c>
      <c r="FAX32" s="28">
        <f t="shared" si="149"/>
        <v>0</v>
      </c>
      <c r="FAY32" s="28">
        <f t="shared" si="149"/>
        <v>0</v>
      </c>
      <c r="FAZ32" s="28">
        <f t="shared" si="149"/>
        <v>0</v>
      </c>
      <c r="FBA32" s="28">
        <f t="shared" si="149"/>
        <v>0</v>
      </c>
      <c r="FBB32" s="28">
        <f t="shared" si="149"/>
        <v>0</v>
      </c>
      <c r="FBC32" s="28">
        <f t="shared" si="149"/>
        <v>0</v>
      </c>
      <c r="FBD32" s="28">
        <f t="shared" si="149"/>
        <v>0</v>
      </c>
      <c r="FBE32" s="28">
        <f t="shared" si="149"/>
        <v>0</v>
      </c>
      <c r="FBF32" s="28">
        <f t="shared" si="149"/>
        <v>0</v>
      </c>
      <c r="FBG32" s="28">
        <f t="shared" si="149"/>
        <v>0</v>
      </c>
      <c r="FBH32" s="28">
        <f t="shared" si="149"/>
        <v>0</v>
      </c>
      <c r="FBI32" s="28">
        <f t="shared" si="149"/>
        <v>0</v>
      </c>
      <c r="FBJ32" s="28">
        <f t="shared" si="149"/>
        <v>0</v>
      </c>
      <c r="FBK32" s="28">
        <f t="shared" si="149"/>
        <v>0</v>
      </c>
      <c r="FBL32" s="28">
        <f t="shared" si="149"/>
        <v>0</v>
      </c>
      <c r="FBM32" s="28">
        <f t="shared" si="149"/>
        <v>0</v>
      </c>
      <c r="FBN32" s="28">
        <f t="shared" si="149"/>
        <v>0</v>
      </c>
      <c r="FBO32" s="28">
        <f t="shared" si="149"/>
        <v>0</v>
      </c>
      <c r="FBP32" s="28">
        <f t="shared" si="149"/>
        <v>0</v>
      </c>
      <c r="FBQ32" s="28">
        <f t="shared" si="149"/>
        <v>0</v>
      </c>
      <c r="FBR32" s="28">
        <f t="shared" si="149"/>
        <v>0</v>
      </c>
      <c r="FBS32" s="28">
        <f t="shared" si="149"/>
        <v>0</v>
      </c>
      <c r="FBT32" s="28">
        <f t="shared" si="149"/>
        <v>0</v>
      </c>
      <c r="FBU32" s="28">
        <f t="shared" si="149"/>
        <v>0</v>
      </c>
      <c r="FBV32" s="28">
        <f t="shared" si="149"/>
        <v>0</v>
      </c>
      <c r="FBW32" s="28">
        <f t="shared" si="149"/>
        <v>0</v>
      </c>
      <c r="FBX32" s="28">
        <f t="shared" si="149"/>
        <v>0</v>
      </c>
      <c r="FBY32" s="28">
        <f t="shared" si="149"/>
        <v>0</v>
      </c>
      <c r="FBZ32" s="28">
        <f t="shared" si="149"/>
        <v>0</v>
      </c>
      <c r="FCA32" s="28">
        <f t="shared" si="149"/>
        <v>0</v>
      </c>
      <c r="FCB32" s="28">
        <f t="shared" si="149"/>
        <v>0</v>
      </c>
      <c r="FCC32" s="28">
        <f t="shared" si="149"/>
        <v>0</v>
      </c>
      <c r="FCD32" s="28">
        <f t="shared" si="149"/>
        <v>0</v>
      </c>
      <c r="FCE32" s="28">
        <f t="shared" si="149"/>
        <v>0</v>
      </c>
      <c r="FCF32" s="28">
        <f t="shared" si="149"/>
        <v>0</v>
      </c>
      <c r="FCG32" s="28">
        <f t="shared" si="149"/>
        <v>0</v>
      </c>
      <c r="FCH32" s="28">
        <f t="shared" si="149"/>
        <v>0</v>
      </c>
      <c r="FCI32" s="28">
        <f t="shared" si="149"/>
        <v>0</v>
      </c>
      <c r="FCJ32" s="28">
        <f t="shared" si="149"/>
        <v>0</v>
      </c>
      <c r="FCK32" s="28">
        <f t="shared" si="149"/>
        <v>0</v>
      </c>
      <c r="FCL32" s="28">
        <f t="shared" si="149"/>
        <v>0</v>
      </c>
      <c r="FCM32" s="28">
        <f t="shared" si="149"/>
        <v>0</v>
      </c>
      <c r="FCN32" s="28">
        <f t="shared" si="149"/>
        <v>0</v>
      </c>
      <c r="FCO32" s="28">
        <f t="shared" si="149"/>
        <v>0</v>
      </c>
      <c r="FCP32" s="28">
        <f t="shared" si="149"/>
        <v>0</v>
      </c>
      <c r="FCQ32" s="28">
        <f t="shared" si="149"/>
        <v>0</v>
      </c>
      <c r="FCR32" s="28">
        <f t="shared" si="149"/>
        <v>0</v>
      </c>
      <c r="FCS32" s="28">
        <f t="shared" si="149"/>
        <v>0</v>
      </c>
      <c r="FCT32" s="28">
        <f t="shared" si="149"/>
        <v>0</v>
      </c>
      <c r="FCU32" s="28">
        <f t="shared" si="149"/>
        <v>0</v>
      </c>
      <c r="FCV32" s="28">
        <f t="shared" si="149"/>
        <v>0</v>
      </c>
      <c r="FCW32" s="28">
        <f t="shared" si="149"/>
        <v>0</v>
      </c>
      <c r="FCX32" s="28">
        <f t="shared" si="149"/>
        <v>0</v>
      </c>
      <c r="FCY32" s="28">
        <f t="shared" si="149"/>
        <v>0</v>
      </c>
      <c r="FCZ32" s="28">
        <f t="shared" si="149"/>
        <v>0</v>
      </c>
      <c r="FDA32" s="28">
        <f t="shared" si="149"/>
        <v>0</v>
      </c>
      <c r="FDB32" s="28">
        <f t="shared" si="149"/>
        <v>0</v>
      </c>
      <c r="FDC32" s="28">
        <f t="shared" si="149"/>
        <v>0</v>
      </c>
      <c r="FDD32" s="28">
        <f t="shared" si="149"/>
        <v>0</v>
      </c>
      <c r="FDE32" s="28">
        <f t="shared" si="149"/>
        <v>0</v>
      </c>
      <c r="FDF32" s="28">
        <f t="shared" si="149"/>
        <v>0</v>
      </c>
      <c r="FDG32" s="28">
        <f t="shared" si="149"/>
        <v>0</v>
      </c>
      <c r="FDH32" s="28">
        <f t="shared" si="149"/>
        <v>0</v>
      </c>
      <c r="FDI32" s="28">
        <f t="shared" ref="FDI32:FFT32" si="150">IFERROR(FDI31/FDI$4,0)</f>
        <v>0</v>
      </c>
      <c r="FDJ32" s="28">
        <f t="shared" si="150"/>
        <v>0</v>
      </c>
      <c r="FDK32" s="28">
        <f t="shared" si="150"/>
        <v>0</v>
      </c>
      <c r="FDL32" s="28">
        <f t="shared" si="150"/>
        <v>0</v>
      </c>
      <c r="FDM32" s="28">
        <f t="shared" si="150"/>
        <v>0</v>
      </c>
      <c r="FDN32" s="28">
        <f t="shared" si="150"/>
        <v>0</v>
      </c>
      <c r="FDO32" s="28">
        <f t="shared" si="150"/>
        <v>0</v>
      </c>
      <c r="FDP32" s="28">
        <f t="shared" si="150"/>
        <v>0</v>
      </c>
      <c r="FDQ32" s="28">
        <f t="shared" si="150"/>
        <v>0</v>
      </c>
      <c r="FDR32" s="28">
        <f t="shared" si="150"/>
        <v>0</v>
      </c>
      <c r="FDS32" s="28">
        <f t="shared" si="150"/>
        <v>0</v>
      </c>
      <c r="FDT32" s="28">
        <f t="shared" si="150"/>
        <v>0</v>
      </c>
      <c r="FDU32" s="28">
        <f t="shared" si="150"/>
        <v>0</v>
      </c>
      <c r="FDV32" s="28">
        <f t="shared" si="150"/>
        <v>0</v>
      </c>
      <c r="FDW32" s="28">
        <f t="shared" si="150"/>
        <v>0</v>
      </c>
      <c r="FDX32" s="28">
        <f t="shared" si="150"/>
        <v>0</v>
      </c>
      <c r="FDY32" s="28">
        <f t="shared" si="150"/>
        <v>0</v>
      </c>
      <c r="FDZ32" s="28">
        <f t="shared" si="150"/>
        <v>0</v>
      </c>
      <c r="FEA32" s="28">
        <f t="shared" si="150"/>
        <v>0</v>
      </c>
      <c r="FEB32" s="28">
        <f t="shared" si="150"/>
        <v>0</v>
      </c>
      <c r="FEC32" s="28">
        <f t="shared" si="150"/>
        <v>0</v>
      </c>
      <c r="FED32" s="28">
        <f t="shared" si="150"/>
        <v>0</v>
      </c>
      <c r="FEE32" s="28">
        <f t="shared" si="150"/>
        <v>0</v>
      </c>
      <c r="FEF32" s="28">
        <f t="shared" si="150"/>
        <v>0</v>
      </c>
      <c r="FEG32" s="28">
        <f t="shared" si="150"/>
        <v>0</v>
      </c>
      <c r="FEH32" s="28">
        <f t="shared" si="150"/>
        <v>0</v>
      </c>
      <c r="FEI32" s="28">
        <f t="shared" si="150"/>
        <v>0</v>
      </c>
      <c r="FEJ32" s="28">
        <f t="shared" si="150"/>
        <v>0</v>
      </c>
      <c r="FEK32" s="28">
        <f t="shared" si="150"/>
        <v>0</v>
      </c>
      <c r="FEL32" s="28">
        <f t="shared" si="150"/>
        <v>0</v>
      </c>
      <c r="FEM32" s="28">
        <f t="shared" si="150"/>
        <v>0</v>
      </c>
      <c r="FEN32" s="28">
        <f t="shared" si="150"/>
        <v>0</v>
      </c>
      <c r="FEO32" s="28">
        <f t="shared" si="150"/>
        <v>0</v>
      </c>
      <c r="FEP32" s="28">
        <f t="shared" si="150"/>
        <v>0</v>
      </c>
      <c r="FEQ32" s="28">
        <f t="shared" si="150"/>
        <v>0</v>
      </c>
      <c r="FER32" s="28">
        <f t="shared" si="150"/>
        <v>0</v>
      </c>
      <c r="FES32" s="28">
        <f t="shared" si="150"/>
        <v>0</v>
      </c>
      <c r="FET32" s="28">
        <f t="shared" si="150"/>
        <v>0</v>
      </c>
      <c r="FEU32" s="28">
        <f t="shared" si="150"/>
        <v>0</v>
      </c>
      <c r="FEV32" s="28">
        <f t="shared" si="150"/>
        <v>0</v>
      </c>
      <c r="FEW32" s="28">
        <f t="shared" si="150"/>
        <v>0</v>
      </c>
      <c r="FEX32" s="28">
        <f t="shared" si="150"/>
        <v>0</v>
      </c>
      <c r="FEY32" s="28">
        <f t="shared" si="150"/>
        <v>0</v>
      </c>
      <c r="FEZ32" s="28">
        <f t="shared" si="150"/>
        <v>0</v>
      </c>
      <c r="FFA32" s="28">
        <f t="shared" si="150"/>
        <v>0</v>
      </c>
      <c r="FFB32" s="28">
        <f t="shared" si="150"/>
        <v>0</v>
      </c>
      <c r="FFC32" s="28">
        <f t="shared" si="150"/>
        <v>0</v>
      </c>
      <c r="FFD32" s="28">
        <f t="shared" si="150"/>
        <v>0</v>
      </c>
      <c r="FFE32" s="28">
        <f t="shared" si="150"/>
        <v>0</v>
      </c>
      <c r="FFF32" s="28">
        <f t="shared" si="150"/>
        <v>0</v>
      </c>
      <c r="FFG32" s="28">
        <f t="shared" si="150"/>
        <v>0</v>
      </c>
      <c r="FFH32" s="28">
        <f t="shared" si="150"/>
        <v>0</v>
      </c>
      <c r="FFI32" s="28">
        <f t="shared" si="150"/>
        <v>0</v>
      </c>
      <c r="FFJ32" s="28">
        <f t="shared" si="150"/>
        <v>0</v>
      </c>
      <c r="FFK32" s="28">
        <f t="shared" si="150"/>
        <v>0</v>
      </c>
      <c r="FFL32" s="28">
        <f t="shared" si="150"/>
        <v>0</v>
      </c>
      <c r="FFM32" s="28">
        <f t="shared" si="150"/>
        <v>0</v>
      </c>
      <c r="FFN32" s="28">
        <f t="shared" si="150"/>
        <v>0</v>
      </c>
      <c r="FFO32" s="28">
        <f t="shared" si="150"/>
        <v>0</v>
      </c>
      <c r="FFP32" s="28">
        <f t="shared" si="150"/>
        <v>0</v>
      </c>
      <c r="FFQ32" s="28">
        <f t="shared" si="150"/>
        <v>0</v>
      </c>
      <c r="FFR32" s="28">
        <f t="shared" si="150"/>
        <v>0</v>
      </c>
      <c r="FFS32" s="28">
        <f t="shared" si="150"/>
        <v>0</v>
      </c>
      <c r="FFT32" s="28">
        <f t="shared" si="150"/>
        <v>0</v>
      </c>
      <c r="FFU32" s="28">
        <f t="shared" ref="FFU32:FIF32" si="151">IFERROR(FFU31/FFU$4,0)</f>
        <v>0</v>
      </c>
      <c r="FFV32" s="28">
        <f t="shared" si="151"/>
        <v>0</v>
      </c>
      <c r="FFW32" s="28">
        <f t="shared" si="151"/>
        <v>0</v>
      </c>
      <c r="FFX32" s="28">
        <f t="shared" si="151"/>
        <v>0</v>
      </c>
      <c r="FFY32" s="28">
        <f t="shared" si="151"/>
        <v>0</v>
      </c>
      <c r="FFZ32" s="28">
        <f t="shared" si="151"/>
        <v>0</v>
      </c>
      <c r="FGA32" s="28">
        <f t="shared" si="151"/>
        <v>0</v>
      </c>
      <c r="FGB32" s="28">
        <f t="shared" si="151"/>
        <v>0</v>
      </c>
      <c r="FGC32" s="28">
        <f t="shared" si="151"/>
        <v>0</v>
      </c>
      <c r="FGD32" s="28">
        <f t="shared" si="151"/>
        <v>0</v>
      </c>
      <c r="FGE32" s="28">
        <f t="shared" si="151"/>
        <v>0</v>
      </c>
      <c r="FGF32" s="28">
        <f t="shared" si="151"/>
        <v>0</v>
      </c>
      <c r="FGG32" s="28">
        <f t="shared" si="151"/>
        <v>0</v>
      </c>
      <c r="FGH32" s="28">
        <f t="shared" si="151"/>
        <v>0</v>
      </c>
      <c r="FGI32" s="28">
        <f t="shared" si="151"/>
        <v>0</v>
      </c>
      <c r="FGJ32" s="28">
        <f t="shared" si="151"/>
        <v>0</v>
      </c>
      <c r="FGK32" s="28">
        <f t="shared" si="151"/>
        <v>0</v>
      </c>
      <c r="FGL32" s="28">
        <f t="shared" si="151"/>
        <v>0</v>
      </c>
      <c r="FGM32" s="28">
        <f t="shared" si="151"/>
        <v>0</v>
      </c>
      <c r="FGN32" s="28">
        <f t="shared" si="151"/>
        <v>0</v>
      </c>
      <c r="FGO32" s="28">
        <f t="shared" si="151"/>
        <v>0</v>
      </c>
      <c r="FGP32" s="28">
        <f t="shared" si="151"/>
        <v>0</v>
      </c>
      <c r="FGQ32" s="28">
        <f t="shared" si="151"/>
        <v>0</v>
      </c>
      <c r="FGR32" s="28">
        <f t="shared" si="151"/>
        <v>0</v>
      </c>
      <c r="FGS32" s="28">
        <f t="shared" si="151"/>
        <v>0</v>
      </c>
      <c r="FGT32" s="28">
        <f t="shared" si="151"/>
        <v>0</v>
      </c>
      <c r="FGU32" s="28">
        <f t="shared" si="151"/>
        <v>0</v>
      </c>
      <c r="FGV32" s="28">
        <f t="shared" si="151"/>
        <v>0</v>
      </c>
      <c r="FGW32" s="28">
        <f t="shared" si="151"/>
        <v>0</v>
      </c>
      <c r="FGX32" s="28">
        <f t="shared" si="151"/>
        <v>0</v>
      </c>
      <c r="FGY32" s="28">
        <f t="shared" si="151"/>
        <v>0</v>
      </c>
      <c r="FGZ32" s="28">
        <f t="shared" si="151"/>
        <v>0</v>
      </c>
      <c r="FHA32" s="28">
        <f t="shared" si="151"/>
        <v>0</v>
      </c>
      <c r="FHB32" s="28">
        <f t="shared" si="151"/>
        <v>0</v>
      </c>
      <c r="FHC32" s="28">
        <f t="shared" si="151"/>
        <v>0</v>
      </c>
      <c r="FHD32" s="28">
        <f t="shared" si="151"/>
        <v>0</v>
      </c>
      <c r="FHE32" s="28">
        <f t="shared" si="151"/>
        <v>0</v>
      </c>
      <c r="FHF32" s="28">
        <f t="shared" si="151"/>
        <v>0</v>
      </c>
      <c r="FHG32" s="28">
        <f t="shared" si="151"/>
        <v>0</v>
      </c>
      <c r="FHH32" s="28">
        <f t="shared" si="151"/>
        <v>0</v>
      </c>
      <c r="FHI32" s="28">
        <f t="shared" si="151"/>
        <v>0</v>
      </c>
      <c r="FHJ32" s="28">
        <f t="shared" si="151"/>
        <v>0</v>
      </c>
      <c r="FHK32" s="28">
        <f t="shared" si="151"/>
        <v>0</v>
      </c>
      <c r="FHL32" s="28">
        <f t="shared" si="151"/>
        <v>0</v>
      </c>
      <c r="FHM32" s="28">
        <f t="shared" si="151"/>
        <v>0</v>
      </c>
      <c r="FHN32" s="28">
        <f t="shared" si="151"/>
        <v>0</v>
      </c>
      <c r="FHO32" s="28">
        <f t="shared" si="151"/>
        <v>0</v>
      </c>
      <c r="FHP32" s="28">
        <f t="shared" si="151"/>
        <v>0</v>
      </c>
      <c r="FHQ32" s="28">
        <f t="shared" si="151"/>
        <v>0</v>
      </c>
      <c r="FHR32" s="28">
        <f t="shared" si="151"/>
        <v>0</v>
      </c>
      <c r="FHS32" s="28">
        <f t="shared" si="151"/>
        <v>0</v>
      </c>
      <c r="FHT32" s="28">
        <f t="shared" si="151"/>
        <v>0</v>
      </c>
      <c r="FHU32" s="28">
        <f t="shared" si="151"/>
        <v>0</v>
      </c>
      <c r="FHV32" s="28">
        <f t="shared" si="151"/>
        <v>0</v>
      </c>
      <c r="FHW32" s="28">
        <f t="shared" si="151"/>
        <v>0</v>
      </c>
      <c r="FHX32" s="28">
        <f t="shared" si="151"/>
        <v>0</v>
      </c>
      <c r="FHY32" s="28">
        <f t="shared" si="151"/>
        <v>0</v>
      </c>
      <c r="FHZ32" s="28">
        <f t="shared" si="151"/>
        <v>0</v>
      </c>
      <c r="FIA32" s="28">
        <f t="shared" si="151"/>
        <v>0</v>
      </c>
      <c r="FIB32" s="28">
        <f t="shared" si="151"/>
        <v>0</v>
      </c>
      <c r="FIC32" s="28">
        <f t="shared" si="151"/>
        <v>0</v>
      </c>
      <c r="FID32" s="28">
        <f t="shared" si="151"/>
        <v>0</v>
      </c>
      <c r="FIE32" s="28">
        <f t="shared" si="151"/>
        <v>0</v>
      </c>
      <c r="FIF32" s="28">
        <f t="shared" si="151"/>
        <v>0</v>
      </c>
      <c r="FIG32" s="28">
        <f t="shared" ref="FIG32:FKR32" si="152">IFERROR(FIG31/FIG$4,0)</f>
        <v>0</v>
      </c>
      <c r="FIH32" s="28">
        <f t="shared" si="152"/>
        <v>0</v>
      </c>
      <c r="FII32" s="28">
        <f t="shared" si="152"/>
        <v>0</v>
      </c>
      <c r="FIJ32" s="28">
        <f t="shared" si="152"/>
        <v>0</v>
      </c>
      <c r="FIK32" s="28">
        <f t="shared" si="152"/>
        <v>0</v>
      </c>
      <c r="FIL32" s="28">
        <f t="shared" si="152"/>
        <v>0</v>
      </c>
      <c r="FIM32" s="28">
        <f t="shared" si="152"/>
        <v>0</v>
      </c>
      <c r="FIN32" s="28">
        <f t="shared" si="152"/>
        <v>0</v>
      </c>
      <c r="FIO32" s="28">
        <f t="shared" si="152"/>
        <v>0</v>
      </c>
      <c r="FIP32" s="28">
        <f t="shared" si="152"/>
        <v>0</v>
      </c>
      <c r="FIQ32" s="28">
        <f t="shared" si="152"/>
        <v>0</v>
      </c>
      <c r="FIR32" s="28">
        <f t="shared" si="152"/>
        <v>0</v>
      </c>
      <c r="FIS32" s="28">
        <f t="shared" si="152"/>
        <v>0</v>
      </c>
      <c r="FIT32" s="28">
        <f t="shared" si="152"/>
        <v>0</v>
      </c>
      <c r="FIU32" s="28">
        <f t="shared" si="152"/>
        <v>0</v>
      </c>
      <c r="FIV32" s="28">
        <f t="shared" si="152"/>
        <v>0</v>
      </c>
      <c r="FIW32" s="28">
        <f t="shared" si="152"/>
        <v>0</v>
      </c>
      <c r="FIX32" s="28">
        <f t="shared" si="152"/>
        <v>0</v>
      </c>
      <c r="FIY32" s="28">
        <f t="shared" si="152"/>
        <v>0</v>
      </c>
      <c r="FIZ32" s="28">
        <f t="shared" si="152"/>
        <v>0</v>
      </c>
      <c r="FJA32" s="28">
        <f t="shared" si="152"/>
        <v>0</v>
      </c>
      <c r="FJB32" s="28">
        <f t="shared" si="152"/>
        <v>0</v>
      </c>
      <c r="FJC32" s="28">
        <f t="shared" si="152"/>
        <v>0</v>
      </c>
      <c r="FJD32" s="28">
        <f t="shared" si="152"/>
        <v>0</v>
      </c>
      <c r="FJE32" s="28">
        <f t="shared" si="152"/>
        <v>0</v>
      </c>
      <c r="FJF32" s="28">
        <f t="shared" si="152"/>
        <v>0</v>
      </c>
      <c r="FJG32" s="28">
        <f t="shared" si="152"/>
        <v>0</v>
      </c>
      <c r="FJH32" s="28">
        <f t="shared" si="152"/>
        <v>0</v>
      </c>
      <c r="FJI32" s="28">
        <f t="shared" si="152"/>
        <v>0</v>
      </c>
      <c r="FJJ32" s="28">
        <f t="shared" si="152"/>
        <v>0</v>
      </c>
      <c r="FJK32" s="28">
        <f t="shared" si="152"/>
        <v>0</v>
      </c>
      <c r="FJL32" s="28">
        <f t="shared" si="152"/>
        <v>0</v>
      </c>
      <c r="FJM32" s="28">
        <f t="shared" si="152"/>
        <v>0</v>
      </c>
      <c r="FJN32" s="28">
        <f t="shared" si="152"/>
        <v>0</v>
      </c>
      <c r="FJO32" s="28">
        <f t="shared" si="152"/>
        <v>0</v>
      </c>
      <c r="FJP32" s="28">
        <f t="shared" si="152"/>
        <v>0</v>
      </c>
      <c r="FJQ32" s="28">
        <f t="shared" si="152"/>
        <v>0</v>
      </c>
      <c r="FJR32" s="28">
        <f t="shared" si="152"/>
        <v>0</v>
      </c>
      <c r="FJS32" s="28">
        <f t="shared" si="152"/>
        <v>0</v>
      </c>
      <c r="FJT32" s="28">
        <f t="shared" si="152"/>
        <v>0</v>
      </c>
      <c r="FJU32" s="28">
        <f t="shared" si="152"/>
        <v>0</v>
      </c>
      <c r="FJV32" s="28">
        <f t="shared" si="152"/>
        <v>0</v>
      </c>
      <c r="FJW32" s="28">
        <f t="shared" si="152"/>
        <v>0</v>
      </c>
      <c r="FJX32" s="28">
        <f t="shared" si="152"/>
        <v>0</v>
      </c>
      <c r="FJY32" s="28">
        <f t="shared" si="152"/>
        <v>0</v>
      </c>
      <c r="FJZ32" s="28">
        <f t="shared" si="152"/>
        <v>0</v>
      </c>
      <c r="FKA32" s="28">
        <f t="shared" si="152"/>
        <v>0</v>
      </c>
      <c r="FKB32" s="28">
        <f t="shared" si="152"/>
        <v>0</v>
      </c>
      <c r="FKC32" s="28">
        <f t="shared" si="152"/>
        <v>0</v>
      </c>
      <c r="FKD32" s="28">
        <f t="shared" si="152"/>
        <v>0</v>
      </c>
      <c r="FKE32" s="28">
        <f t="shared" si="152"/>
        <v>0</v>
      </c>
      <c r="FKF32" s="28">
        <f t="shared" si="152"/>
        <v>0</v>
      </c>
      <c r="FKG32" s="28">
        <f t="shared" si="152"/>
        <v>0</v>
      </c>
      <c r="FKH32" s="28">
        <f t="shared" si="152"/>
        <v>0</v>
      </c>
      <c r="FKI32" s="28">
        <f t="shared" si="152"/>
        <v>0</v>
      </c>
      <c r="FKJ32" s="28">
        <f t="shared" si="152"/>
        <v>0</v>
      </c>
      <c r="FKK32" s="28">
        <f t="shared" si="152"/>
        <v>0</v>
      </c>
      <c r="FKL32" s="28">
        <f t="shared" si="152"/>
        <v>0</v>
      </c>
      <c r="FKM32" s="28">
        <f t="shared" si="152"/>
        <v>0</v>
      </c>
      <c r="FKN32" s="28">
        <f t="shared" si="152"/>
        <v>0</v>
      </c>
      <c r="FKO32" s="28">
        <f t="shared" si="152"/>
        <v>0</v>
      </c>
      <c r="FKP32" s="28">
        <f t="shared" si="152"/>
        <v>0</v>
      </c>
      <c r="FKQ32" s="28">
        <f t="shared" si="152"/>
        <v>0</v>
      </c>
      <c r="FKR32" s="28">
        <f t="shared" si="152"/>
        <v>0</v>
      </c>
      <c r="FKS32" s="28">
        <f t="shared" ref="FKS32:FND32" si="153">IFERROR(FKS31/FKS$4,0)</f>
        <v>0</v>
      </c>
      <c r="FKT32" s="28">
        <f t="shared" si="153"/>
        <v>0</v>
      </c>
      <c r="FKU32" s="28">
        <f t="shared" si="153"/>
        <v>0</v>
      </c>
      <c r="FKV32" s="28">
        <f t="shared" si="153"/>
        <v>0</v>
      </c>
      <c r="FKW32" s="28">
        <f t="shared" si="153"/>
        <v>0</v>
      </c>
      <c r="FKX32" s="28">
        <f t="shared" si="153"/>
        <v>0</v>
      </c>
      <c r="FKY32" s="28">
        <f t="shared" si="153"/>
        <v>0</v>
      </c>
      <c r="FKZ32" s="28">
        <f t="shared" si="153"/>
        <v>0</v>
      </c>
      <c r="FLA32" s="28">
        <f t="shared" si="153"/>
        <v>0</v>
      </c>
      <c r="FLB32" s="28">
        <f t="shared" si="153"/>
        <v>0</v>
      </c>
      <c r="FLC32" s="28">
        <f t="shared" si="153"/>
        <v>0</v>
      </c>
      <c r="FLD32" s="28">
        <f t="shared" si="153"/>
        <v>0</v>
      </c>
      <c r="FLE32" s="28">
        <f t="shared" si="153"/>
        <v>0</v>
      </c>
      <c r="FLF32" s="28">
        <f t="shared" si="153"/>
        <v>0</v>
      </c>
      <c r="FLG32" s="28">
        <f t="shared" si="153"/>
        <v>0</v>
      </c>
      <c r="FLH32" s="28">
        <f t="shared" si="153"/>
        <v>0</v>
      </c>
      <c r="FLI32" s="28">
        <f t="shared" si="153"/>
        <v>0</v>
      </c>
      <c r="FLJ32" s="28">
        <f t="shared" si="153"/>
        <v>0</v>
      </c>
      <c r="FLK32" s="28">
        <f t="shared" si="153"/>
        <v>0</v>
      </c>
      <c r="FLL32" s="28">
        <f t="shared" si="153"/>
        <v>0</v>
      </c>
      <c r="FLM32" s="28">
        <f t="shared" si="153"/>
        <v>0</v>
      </c>
      <c r="FLN32" s="28">
        <f t="shared" si="153"/>
        <v>0</v>
      </c>
      <c r="FLO32" s="28">
        <f t="shared" si="153"/>
        <v>0</v>
      </c>
      <c r="FLP32" s="28">
        <f t="shared" si="153"/>
        <v>0</v>
      </c>
      <c r="FLQ32" s="28">
        <f t="shared" si="153"/>
        <v>0</v>
      </c>
      <c r="FLR32" s="28">
        <f t="shared" si="153"/>
        <v>0</v>
      </c>
      <c r="FLS32" s="28">
        <f t="shared" si="153"/>
        <v>0</v>
      </c>
      <c r="FLT32" s="28">
        <f t="shared" si="153"/>
        <v>0</v>
      </c>
      <c r="FLU32" s="28">
        <f t="shared" si="153"/>
        <v>0</v>
      </c>
      <c r="FLV32" s="28">
        <f t="shared" si="153"/>
        <v>0</v>
      </c>
      <c r="FLW32" s="28">
        <f t="shared" si="153"/>
        <v>0</v>
      </c>
      <c r="FLX32" s="28">
        <f t="shared" si="153"/>
        <v>0</v>
      </c>
      <c r="FLY32" s="28">
        <f t="shared" si="153"/>
        <v>0</v>
      </c>
      <c r="FLZ32" s="28">
        <f t="shared" si="153"/>
        <v>0</v>
      </c>
      <c r="FMA32" s="28">
        <f t="shared" si="153"/>
        <v>0</v>
      </c>
      <c r="FMB32" s="28">
        <f t="shared" si="153"/>
        <v>0</v>
      </c>
      <c r="FMC32" s="28">
        <f t="shared" si="153"/>
        <v>0</v>
      </c>
      <c r="FMD32" s="28">
        <f t="shared" si="153"/>
        <v>0</v>
      </c>
      <c r="FME32" s="28">
        <f t="shared" si="153"/>
        <v>0</v>
      </c>
      <c r="FMF32" s="28">
        <f t="shared" si="153"/>
        <v>0</v>
      </c>
      <c r="FMG32" s="28">
        <f t="shared" si="153"/>
        <v>0</v>
      </c>
      <c r="FMH32" s="28">
        <f t="shared" si="153"/>
        <v>0</v>
      </c>
      <c r="FMI32" s="28">
        <f t="shared" si="153"/>
        <v>0</v>
      </c>
      <c r="FMJ32" s="28">
        <f t="shared" si="153"/>
        <v>0</v>
      </c>
      <c r="FMK32" s="28">
        <f t="shared" si="153"/>
        <v>0</v>
      </c>
      <c r="FML32" s="28">
        <f t="shared" si="153"/>
        <v>0</v>
      </c>
      <c r="FMM32" s="28">
        <f t="shared" si="153"/>
        <v>0</v>
      </c>
      <c r="FMN32" s="28">
        <f t="shared" si="153"/>
        <v>0</v>
      </c>
      <c r="FMO32" s="28">
        <f t="shared" si="153"/>
        <v>0</v>
      </c>
      <c r="FMP32" s="28">
        <f t="shared" si="153"/>
        <v>0</v>
      </c>
      <c r="FMQ32" s="28">
        <f t="shared" si="153"/>
        <v>0</v>
      </c>
      <c r="FMR32" s="28">
        <f t="shared" si="153"/>
        <v>0</v>
      </c>
      <c r="FMS32" s="28">
        <f t="shared" si="153"/>
        <v>0</v>
      </c>
      <c r="FMT32" s="28">
        <f t="shared" si="153"/>
        <v>0</v>
      </c>
      <c r="FMU32" s="28">
        <f t="shared" si="153"/>
        <v>0</v>
      </c>
      <c r="FMV32" s="28">
        <f t="shared" si="153"/>
        <v>0</v>
      </c>
      <c r="FMW32" s="28">
        <f t="shared" si="153"/>
        <v>0</v>
      </c>
      <c r="FMX32" s="28">
        <f t="shared" si="153"/>
        <v>0</v>
      </c>
      <c r="FMY32" s="28">
        <f t="shared" si="153"/>
        <v>0</v>
      </c>
      <c r="FMZ32" s="28">
        <f t="shared" si="153"/>
        <v>0</v>
      </c>
      <c r="FNA32" s="28">
        <f t="shared" si="153"/>
        <v>0</v>
      </c>
      <c r="FNB32" s="28">
        <f t="shared" si="153"/>
        <v>0</v>
      </c>
      <c r="FNC32" s="28">
        <f t="shared" si="153"/>
        <v>0</v>
      </c>
      <c r="FND32" s="28">
        <f t="shared" si="153"/>
        <v>0</v>
      </c>
      <c r="FNE32" s="28">
        <f t="shared" ref="FNE32:FPP32" si="154">IFERROR(FNE31/FNE$4,0)</f>
        <v>0</v>
      </c>
      <c r="FNF32" s="28">
        <f t="shared" si="154"/>
        <v>0</v>
      </c>
      <c r="FNG32" s="28">
        <f t="shared" si="154"/>
        <v>0</v>
      </c>
      <c r="FNH32" s="28">
        <f t="shared" si="154"/>
        <v>0</v>
      </c>
      <c r="FNI32" s="28">
        <f t="shared" si="154"/>
        <v>0</v>
      </c>
      <c r="FNJ32" s="28">
        <f t="shared" si="154"/>
        <v>0</v>
      </c>
      <c r="FNK32" s="28">
        <f t="shared" si="154"/>
        <v>0</v>
      </c>
      <c r="FNL32" s="28">
        <f t="shared" si="154"/>
        <v>0</v>
      </c>
      <c r="FNM32" s="28">
        <f t="shared" si="154"/>
        <v>0</v>
      </c>
      <c r="FNN32" s="28">
        <f t="shared" si="154"/>
        <v>0</v>
      </c>
      <c r="FNO32" s="28">
        <f t="shared" si="154"/>
        <v>0</v>
      </c>
      <c r="FNP32" s="28">
        <f t="shared" si="154"/>
        <v>0</v>
      </c>
      <c r="FNQ32" s="28">
        <f t="shared" si="154"/>
        <v>0</v>
      </c>
      <c r="FNR32" s="28">
        <f t="shared" si="154"/>
        <v>0</v>
      </c>
      <c r="FNS32" s="28">
        <f t="shared" si="154"/>
        <v>0</v>
      </c>
      <c r="FNT32" s="28">
        <f t="shared" si="154"/>
        <v>0</v>
      </c>
      <c r="FNU32" s="28">
        <f t="shared" si="154"/>
        <v>0</v>
      </c>
      <c r="FNV32" s="28">
        <f t="shared" si="154"/>
        <v>0</v>
      </c>
      <c r="FNW32" s="28">
        <f t="shared" si="154"/>
        <v>0</v>
      </c>
      <c r="FNX32" s="28">
        <f t="shared" si="154"/>
        <v>0</v>
      </c>
      <c r="FNY32" s="28">
        <f t="shared" si="154"/>
        <v>0</v>
      </c>
      <c r="FNZ32" s="28">
        <f t="shared" si="154"/>
        <v>0</v>
      </c>
      <c r="FOA32" s="28">
        <f t="shared" si="154"/>
        <v>0</v>
      </c>
      <c r="FOB32" s="28">
        <f t="shared" si="154"/>
        <v>0</v>
      </c>
      <c r="FOC32" s="28">
        <f t="shared" si="154"/>
        <v>0</v>
      </c>
      <c r="FOD32" s="28">
        <f t="shared" si="154"/>
        <v>0</v>
      </c>
      <c r="FOE32" s="28">
        <f t="shared" si="154"/>
        <v>0</v>
      </c>
      <c r="FOF32" s="28">
        <f t="shared" si="154"/>
        <v>0</v>
      </c>
      <c r="FOG32" s="28">
        <f t="shared" si="154"/>
        <v>0</v>
      </c>
      <c r="FOH32" s="28">
        <f t="shared" si="154"/>
        <v>0</v>
      </c>
      <c r="FOI32" s="28">
        <f t="shared" si="154"/>
        <v>0</v>
      </c>
      <c r="FOJ32" s="28">
        <f t="shared" si="154"/>
        <v>0</v>
      </c>
      <c r="FOK32" s="28">
        <f t="shared" si="154"/>
        <v>0</v>
      </c>
      <c r="FOL32" s="28">
        <f t="shared" si="154"/>
        <v>0</v>
      </c>
      <c r="FOM32" s="28">
        <f t="shared" si="154"/>
        <v>0</v>
      </c>
      <c r="FON32" s="28">
        <f t="shared" si="154"/>
        <v>0</v>
      </c>
      <c r="FOO32" s="28">
        <f t="shared" si="154"/>
        <v>0</v>
      </c>
      <c r="FOP32" s="28">
        <f t="shared" si="154"/>
        <v>0</v>
      </c>
      <c r="FOQ32" s="28">
        <f t="shared" si="154"/>
        <v>0</v>
      </c>
      <c r="FOR32" s="28">
        <f t="shared" si="154"/>
        <v>0</v>
      </c>
      <c r="FOS32" s="28">
        <f t="shared" si="154"/>
        <v>0</v>
      </c>
      <c r="FOT32" s="28">
        <f t="shared" si="154"/>
        <v>0</v>
      </c>
      <c r="FOU32" s="28">
        <f t="shared" si="154"/>
        <v>0</v>
      </c>
      <c r="FOV32" s="28">
        <f t="shared" si="154"/>
        <v>0</v>
      </c>
      <c r="FOW32" s="28">
        <f t="shared" si="154"/>
        <v>0</v>
      </c>
      <c r="FOX32" s="28">
        <f t="shared" si="154"/>
        <v>0</v>
      </c>
      <c r="FOY32" s="28">
        <f t="shared" si="154"/>
        <v>0</v>
      </c>
      <c r="FOZ32" s="28">
        <f t="shared" si="154"/>
        <v>0</v>
      </c>
      <c r="FPA32" s="28">
        <f t="shared" si="154"/>
        <v>0</v>
      </c>
      <c r="FPB32" s="28">
        <f t="shared" si="154"/>
        <v>0</v>
      </c>
      <c r="FPC32" s="28">
        <f t="shared" si="154"/>
        <v>0</v>
      </c>
      <c r="FPD32" s="28">
        <f t="shared" si="154"/>
        <v>0</v>
      </c>
      <c r="FPE32" s="28">
        <f t="shared" si="154"/>
        <v>0</v>
      </c>
      <c r="FPF32" s="28">
        <f t="shared" si="154"/>
        <v>0</v>
      </c>
      <c r="FPG32" s="28">
        <f t="shared" si="154"/>
        <v>0</v>
      </c>
      <c r="FPH32" s="28">
        <f t="shared" si="154"/>
        <v>0</v>
      </c>
      <c r="FPI32" s="28">
        <f t="shared" si="154"/>
        <v>0</v>
      </c>
      <c r="FPJ32" s="28">
        <f t="shared" si="154"/>
        <v>0</v>
      </c>
      <c r="FPK32" s="28">
        <f t="shared" si="154"/>
        <v>0</v>
      </c>
      <c r="FPL32" s="28">
        <f t="shared" si="154"/>
        <v>0</v>
      </c>
      <c r="FPM32" s="28">
        <f t="shared" si="154"/>
        <v>0</v>
      </c>
      <c r="FPN32" s="28">
        <f t="shared" si="154"/>
        <v>0</v>
      </c>
      <c r="FPO32" s="28">
        <f t="shared" si="154"/>
        <v>0</v>
      </c>
      <c r="FPP32" s="28">
        <f t="shared" si="154"/>
        <v>0</v>
      </c>
      <c r="FPQ32" s="28">
        <f t="shared" ref="FPQ32:FSB32" si="155">IFERROR(FPQ31/FPQ$4,0)</f>
        <v>0</v>
      </c>
      <c r="FPR32" s="28">
        <f t="shared" si="155"/>
        <v>0</v>
      </c>
      <c r="FPS32" s="28">
        <f t="shared" si="155"/>
        <v>0</v>
      </c>
      <c r="FPT32" s="28">
        <f t="shared" si="155"/>
        <v>0</v>
      </c>
      <c r="FPU32" s="28">
        <f t="shared" si="155"/>
        <v>0</v>
      </c>
      <c r="FPV32" s="28">
        <f t="shared" si="155"/>
        <v>0</v>
      </c>
      <c r="FPW32" s="28">
        <f t="shared" si="155"/>
        <v>0</v>
      </c>
      <c r="FPX32" s="28">
        <f t="shared" si="155"/>
        <v>0</v>
      </c>
      <c r="FPY32" s="28">
        <f t="shared" si="155"/>
        <v>0</v>
      </c>
      <c r="FPZ32" s="28">
        <f t="shared" si="155"/>
        <v>0</v>
      </c>
      <c r="FQA32" s="28">
        <f t="shared" si="155"/>
        <v>0</v>
      </c>
      <c r="FQB32" s="28">
        <f t="shared" si="155"/>
        <v>0</v>
      </c>
      <c r="FQC32" s="28">
        <f t="shared" si="155"/>
        <v>0</v>
      </c>
      <c r="FQD32" s="28">
        <f t="shared" si="155"/>
        <v>0</v>
      </c>
      <c r="FQE32" s="28">
        <f t="shared" si="155"/>
        <v>0</v>
      </c>
      <c r="FQF32" s="28">
        <f t="shared" si="155"/>
        <v>0</v>
      </c>
      <c r="FQG32" s="28">
        <f t="shared" si="155"/>
        <v>0</v>
      </c>
      <c r="FQH32" s="28">
        <f t="shared" si="155"/>
        <v>0</v>
      </c>
      <c r="FQI32" s="28">
        <f t="shared" si="155"/>
        <v>0</v>
      </c>
      <c r="FQJ32" s="28">
        <f t="shared" si="155"/>
        <v>0</v>
      </c>
      <c r="FQK32" s="28">
        <f t="shared" si="155"/>
        <v>0</v>
      </c>
      <c r="FQL32" s="28">
        <f t="shared" si="155"/>
        <v>0</v>
      </c>
      <c r="FQM32" s="28">
        <f t="shared" si="155"/>
        <v>0</v>
      </c>
      <c r="FQN32" s="28">
        <f t="shared" si="155"/>
        <v>0</v>
      </c>
      <c r="FQO32" s="28">
        <f t="shared" si="155"/>
        <v>0</v>
      </c>
      <c r="FQP32" s="28">
        <f t="shared" si="155"/>
        <v>0</v>
      </c>
      <c r="FQQ32" s="28">
        <f t="shared" si="155"/>
        <v>0</v>
      </c>
      <c r="FQR32" s="28">
        <f t="shared" si="155"/>
        <v>0</v>
      </c>
      <c r="FQS32" s="28">
        <f t="shared" si="155"/>
        <v>0</v>
      </c>
      <c r="FQT32" s="28">
        <f t="shared" si="155"/>
        <v>0</v>
      </c>
      <c r="FQU32" s="28">
        <f t="shared" si="155"/>
        <v>0</v>
      </c>
      <c r="FQV32" s="28">
        <f t="shared" si="155"/>
        <v>0</v>
      </c>
      <c r="FQW32" s="28">
        <f t="shared" si="155"/>
        <v>0</v>
      </c>
      <c r="FQX32" s="28">
        <f t="shared" si="155"/>
        <v>0</v>
      </c>
      <c r="FQY32" s="28">
        <f t="shared" si="155"/>
        <v>0</v>
      </c>
      <c r="FQZ32" s="28">
        <f t="shared" si="155"/>
        <v>0</v>
      </c>
      <c r="FRA32" s="28">
        <f t="shared" si="155"/>
        <v>0</v>
      </c>
      <c r="FRB32" s="28">
        <f t="shared" si="155"/>
        <v>0</v>
      </c>
      <c r="FRC32" s="28">
        <f t="shared" si="155"/>
        <v>0</v>
      </c>
      <c r="FRD32" s="28">
        <f t="shared" si="155"/>
        <v>0</v>
      </c>
      <c r="FRE32" s="28">
        <f t="shared" si="155"/>
        <v>0</v>
      </c>
      <c r="FRF32" s="28">
        <f t="shared" si="155"/>
        <v>0</v>
      </c>
      <c r="FRG32" s="28">
        <f t="shared" si="155"/>
        <v>0</v>
      </c>
      <c r="FRH32" s="28">
        <f t="shared" si="155"/>
        <v>0</v>
      </c>
      <c r="FRI32" s="28">
        <f t="shared" si="155"/>
        <v>0</v>
      </c>
      <c r="FRJ32" s="28">
        <f t="shared" si="155"/>
        <v>0</v>
      </c>
      <c r="FRK32" s="28">
        <f t="shared" si="155"/>
        <v>0</v>
      </c>
      <c r="FRL32" s="28">
        <f t="shared" si="155"/>
        <v>0</v>
      </c>
      <c r="FRM32" s="28">
        <f t="shared" si="155"/>
        <v>0</v>
      </c>
      <c r="FRN32" s="28">
        <f t="shared" si="155"/>
        <v>0</v>
      </c>
      <c r="FRO32" s="28">
        <f t="shared" si="155"/>
        <v>0</v>
      </c>
      <c r="FRP32" s="28">
        <f t="shared" si="155"/>
        <v>0</v>
      </c>
      <c r="FRQ32" s="28">
        <f t="shared" si="155"/>
        <v>0</v>
      </c>
      <c r="FRR32" s="28">
        <f t="shared" si="155"/>
        <v>0</v>
      </c>
      <c r="FRS32" s="28">
        <f t="shared" si="155"/>
        <v>0</v>
      </c>
      <c r="FRT32" s="28">
        <f t="shared" si="155"/>
        <v>0</v>
      </c>
      <c r="FRU32" s="28">
        <f t="shared" si="155"/>
        <v>0</v>
      </c>
      <c r="FRV32" s="28">
        <f t="shared" si="155"/>
        <v>0</v>
      </c>
      <c r="FRW32" s="28">
        <f t="shared" si="155"/>
        <v>0</v>
      </c>
      <c r="FRX32" s="28">
        <f t="shared" si="155"/>
        <v>0</v>
      </c>
      <c r="FRY32" s="28">
        <f t="shared" si="155"/>
        <v>0</v>
      </c>
      <c r="FRZ32" s="28">
        <f t="shared" si="155"/>
        <v>0</v>
      </c>
      <c r="FSA32" s="28">
        <f t="shared" si="155"/>
        <v>0</v>
      </c>
      <c r="FSB32" s="28">
        <f t="shared" si="155"/>
        <v>0</v>
      </c>
      <c r="FSC32" s="28">
        <f t="shared" ref="FSC32:FUN32" si="156">IFERROR(FSC31/FSC$4,0)</f>
        <v>0</v>
      </c>
      <c r="FSD32" s="28">
        <f t="shared" si="156"/>
        <v>0</v>
      </c>
      <c r="FSE32" s="28">
        <f t="shared" si="156"/>
        <v>0</v>
      </c>
      <c r="FSF32" s="28">
        <f t="shared" si="156"/>
        <v>0</v>
      </c>
      <c r="FSG32" s="28">
        <f t="shared" si="156"/>
        <v>0</v>
      </c>
      <c r="FSH32" s="28">
        <f t="shared" si="156"/>
        <v>0</v>
      </c>
      <c r="FSI32" s="28">
        <f t="shared" si="156"/>
        <v>0</v>
      </c>
      <c r="FSJ32" s="28">
        <f t="shared" si="156"/>
        <v>0</v>
      </c>
      <c r="FSK32" s="28">
        <f t="shared" si="156"/>
        <v>0</v>
      </c>
      <c r="FSL32" s="28">
        <f t="shared" si="156"/>
        <v>0</v>
      </c>
      <c r="FSM32" s="28">
        <f t="shared" si="156"/>
        <v>0</v>
      </c>
      <c r="FSN32" s="28">
        <f t="shared" si="156"/>
        <v>0</v>
      </c>
      <c r="FSO32" s="28">
        <f t="shared" si="156"/>
        <v>0</v>
      </c>
      <c r="FSP32" s="28">
        <f t="shared" si="156"/>
        <v>0</v>
      </c>
      <c r="FSQ32" s="28">
        <f t="shared" si="156"/>
        <v>0</v>
      </c>
      <c r="FSR32" s="28">
        <f t="shared" si="156"/>
        <v>0</v>
      </c>
      <c r="FSS32" s="28">
        <f t="shared" si="156"/>
        <v>0</v>
      </c>
      <c r="FST32" s="28">
        <f t="shared" si="156"/>
        <v>0</v>
      </c>
      <c r="FSU32" s="28">
        <f t="shared" si="156"/>
        <v>0</v>
      </c>
      <c r="FSV32" s="28">
        <f t="shared" si="156"/>
        <v>0</v>
      </c>
      <c r="FSW32" s="28">
        <f t="shared" si="156"/>
        <v>0</v>
      </c>
      <c r="FSX32" s="28">
        <f t="shared" si="156"/>
        <v>0</v>
      </c>
      <c r="FSY32" s="28">
        <f t="shared" si="156"/>
        <v>0</v>
      </c>
      <c r="FSZ32" s="28">
        <f t="shared" si="156"/>
        <v>0</v>
      </c>
      <c r="FTA32" s="28">
        <f t="shared" si="156"/>
        <v>0</v>
      </c>
      <c r="FTB32" s="28">
        <f t="shared" si="156"/>
        <v>0</v>
      </c>
      <c r="FTC32" s="28">
        <f t="shared" si="156"/>
        <v>0</v>
      </c>
      <c r="FTD32" s="28">
        <f t="shared" si="156"/>
        <v>0</v>
      </c>
      <c r="FTE32" s="28">
        <f t="shared" si="156"/>
        <v>0</v>
      </c>
      <c r="FTF32" s="28">
        <f t="shared" si="156"/>
        <v>0</v>
      </c>
      <c r="FTG32" s="28">
        <f t="shared" si="156"/>
        <v>0</v>
      </c>
      <c r="FTH32" s="28">
        <f t="shared" si="156"/>
        <v>0</v>
      </c>
      <c r="FTI32" s="28">
        <f t="shared" si="156"/>
        <v>0</v>
      </c>
      <c r="FTJ32" s="28">
        <f t="shared" si="156"/>
        <v>0</v>
      </c>
      <c r="FTK32" s="28">
        <f t="shared" si="156"/>
        <v>0</v>
      </c>
      <c r="FTL32" s="28">
        <f t="shared" si="156"/>
        <v>0</v>
      </c>
      <c r="FTM32" s="28">
        <f t="shared" si="156"/>
        <v>0</v>
      </c>
      <c r="FTN32" s="28">
        <f t="shared" si="156"/>
        <v>0</v>
      </c>
      <c r="FTO32" s="28">
        <f t="shared" si="156"/>
        <v>0</v>
      </c>
      <c r="FTP32" s="28">
        <f t="shared" si="156"/>
        <v>0</v>
      </c>
      <c r="FTQ32" s="28">
        <f t="shared" si="156"/>
        <v>0</v>
      </c>
      <c r="FTR32" s="28">
        <f t="shared" si="156"/>
        <v>0</v>
      </c>
      <c r="FTS32" s="28">
        <f t="shared" si="156"/>
        <v>0</v>
      </c>
      <c r="FTT32" s="28">
        <f t="shared" si="156"/>
        <v>0</v>
      </c>
      <c r="FTU32" s="28">
        <f t="shared" si="156"/>
        <v>0</v>
      </c>
      <c r="FTV32" s="28">
        <f t="shared" si="156"/>
        <v>0</v>
      </c>
      <c r="FTW32" s="28">
        <f t="shared" si="156"/>
        <v>0</v>
      </c>
      <c r="FTX32" s="28">
        <f t="shared" si="156"/>
        <v>0</v>
      </c>
      <c r="FTY32" s="28">
        <f t="shared" si="156"/>
        <v>0</v>
      </c>
      <c r="FTZ32" s="28">
        <f t="shared" si="156"/>
        <v>0</v>
      </c>
      <c r="FUA32" s="28">
        <f t="shared" si="156"/>
        <v>0</v>
      </c>
      <c r="FUB32" s="28">
        <f t="shared" si="156"/>
        <v>0</v>
      </c>
      <c r="FUC32" s="28">
        <f t="shared" si="156"/>
        <v>0</v>
      </c>
      <c r="FUD32" s="28">
        <f t="shared" si="156"/>
        <v>0</v>
      </c>
      <c r="FUE32" s="28">
        <f t="shared" si="156"/>
        <v>0</v>
      </c>
      <c r="FUF32" s="28">
        <f t="shared" si="156"/>
        <v>0</v>
      </c>
      <c r="FUG32" s="28">
        <f t="shared" si="156"/>
        <v>0</v>
      </c>
      <c r="FUH32" s="28">
        <f t="shared" si="156"/>
        <v>0</v>
      </c>
      <c r="FUI32" s="28">
        <f t="shared" si="156"/>
        <v>0</v>
      </c>
      <c r="FUJ32" s="28">
        <f t="shared" si="156"/>
        <v>0</v>
      </c>
      <c r="FUK32" s="28">
        <f t="shared" si="156"/>
        <v>0</v>
      </c>
      <c r="FUL32" s="28">
        <f t="shared" si="156"/>
        <v>0</v>
      </c>
      <c r="FUM32" s="28">
        <f t="shared" si="156"/>
        <v>0</v>
      </c>
      <c r="FUN32" s="28">
        <f t="shared" si="156"/>
        <v>0</v>
      </c>
      <c r="FUO32" s="28">
        <f t="shared" ref="FUO32:FWZ32" si="157">IFERROR(FUO31/FUO$4,0)</f>
        <v>0</v>
      </c>
      <c r="FUP32" s="28">
        <f t="shared" si="157"/>
        <v>0</v>
      </c>
      <c r="FUQ32" s="28">
        <f t="shared" si="157"/>
        <v>0</v>
      </c>
      <c r="FUR32" s="28">
        <f t="shared" si="157"/>
        <v>0</v>
      </c>
      <c r="FUS32" s="28">
        <f t="shared" si="157"/>
        <v>0</v>
      </c>
      <c r="FUT32" s="28">
        <f t="shared" si="157"/>
        <v>0</v>
      </c>
      <c r="FUU32" s="28">
        <f t="shared" si="157"/>
        <v>0</v>
      </c>
      <c r="FUV32" s="28">
        <f t="shared" si="157"/>
        <v>0</v>
      </c>
      <c r="FUW32" s="28">
        <f t="shared" si="157"/>
        <v>0</v>
      </c>
      <c r="FUX32" s="28">
        <f t="shared" si="157"/>
        <v>0</v>
      </c>
      <c r="FUY32" s="28">
        <f t="shared" si="157"/>
        <v>0</v>
      </c>
      <c r="FUZ32" s="28">
        <f t="shared" si="157"/>
        <v>0</v>
      </c>
      <c r="FVA32" s="28">
        <f t="shared" si="157"/>
        <v>0</v>
      </c>
      <c r="FVB32" s="28">
        <f t="shared" si="157"/>
        <v>0</v>
      </c>
      <c r="FVC32" s="28">
        <f t="shared" si="157"/>
        <v>0</v>
      </c>
      <c r="FVD32" s="28">
        <f t="shared" si="157"/>
        <v>0</v>
      </c>
      <c r="FVE32" s="28">
        <f t="shared" si="157"/>
        <v>0</v>
      </c>
      <c r="FVF32" s="28">
        <f t="shared" si="157"/>
        <v>0</v>
      </c>
      <c r="FVG32" s="28">
        <f t="shared" si="157"/>
        <v>0</v>
      </c>
      <c r="FVH32" s="28">
        <f t="shared" si="157"/>
        <v>0</v>
      </c>
      <c r="FVI32" s="28">
        <f t="shared" si="157"/>
        <v>0</v>
      </c>
      <c r="FVJ32" s="28">
        <f t="shared" si="157"/>
        <v>0</v>
      </c>
      <c r="FVK32" s="28">
        <f t="shared" si="157"/>
        <v>0</v>
      </c>
      <c r="FVL32" s="28">
        <f t="shared" si="157"/>
        <v>0</v>
      </c>
      <c r="FVM32" s="28">
        <f t="shared" si="157"/>
        <v>0</v>
      </c>
      <c r="FVN32" s="28">
        <f t="shared" si="157"/>
        <v>0</v>
      </c>
      <c r="FVO32" s="28">
        <f t="shared" si="157"/>
        <v>0</v>
      </c>
      <c r="FVP32" s="28">
        <f t="shared" si="157"/>
        <v>0</v>
      </c>
      <c r="FVQ32" s="28">
        <f t="shared" si="157"/>
        <v>0</v>
      </c>
      <c r="FVR32" s="28">
        <f t="shared" si="157"/>
        <v>0</v>
      </c>
      <c r="FVS32" s="28">
        <f t="shared" si="157"/>
        <v>0</v>
      </c>
      <c r="FVT32" s="28">
        <f t="shared" si="157"/>
        <v>0</v>
      </c>
      <c r="FVU32" s="28">
        <f t="shared" si="157"/>
        <v>0</v>
      </c>
      <c r="FVV32" s="28">
        <f t="shared" si="157"/>
        <v>0</v>
      </c>
      <c r="FVW32" s="28">
        <f t="shared" si="157"/>
        <v>0</v>
      </c>
      <c r="FVX32" s="28">
        <f t="shared" si="157"/>
        <v>0</v>
      </c>
      <c r="FVY32" s="28">
        <f t="shared" si="157"/>
        <v>0</v>
      </c>
      <c r="FVZ32" s="28">
        <f t="shared" si="157"/>
        <v>0</v>
      </c>
      <c r="FWA32" s="28">
        <f t="shared" si="157"/>
        <v>0</v>
      </c>
      <c r="FWB32" s="28">
        <f t="shared" si="157"/>
        <v>0</v>
      </c>
      <c r="FWC32" s="28">
        <f t="shared" si="157"/>
        <v>0</v>
      </c>
      <c r="FWD32" s="28">
        <f t="shared" si="157"/>
        <v>0</v>
      </c>
      <c r="FWE32" s="28">
        <f t="shared" si="157"/>
        <v>0</v>
      </c>
      <c r="FWF32" s="28">
        <f t="shared" si="157"/>
        <v>0</v>
      </c>
      <c r="FWG32" s="28">
        <f t="shared" si="157"/>
        <v>0</v>
      </c>
      <c r="FWH32" s="28">
        <f t="shared" si="157"/>
        <v>0</v>
      </c>
      <c r="FWI32" s="28">
        <f t="shared" si="157"/>
        <v>0</v>
      </c>
      <c r="FWJ32" s="28">
        <f t="shared" si="157"/>
        <v>0</v>
      </c>
      <c r="FWK32" s="28">
        <f t="shared" si="157"/>
        <v>0</v>
      </c>
      <c r="FWL32" s="28">
        <f t="shared" si="157"/>
        <v>0</v>
      </c>
      <c r="FWM32" s="28">
        <f t="shared" si="157"/>
        <v>0</v>
      </c>
      <c r="FWN32" s="28">
        <f t="shared" si="157"/>
        <v>0</v>
      </c>
      <c r="FWO32" s="28">
        <f t="shared" si="157"/>
        <v>0</v>
      </c>
      <c r="FWP32" s="28">
        <f t="shared" si="157"/>
        <v>0</v>
      </c>
      <c r="FWQ32" s="28">
        <f t="shared" si="157"/>
        <v>0</v>
      </c>
      <c r="FWR32" s="28">
        <f t="shared" si="157"/>
        <v>0</v>
      </c>
      <c r="FWS32" s="28">
        <f t="shared" si="157"/>
        <v>0</v>
      </c>
      <c r="FWT32" s="28">
        <f t="shared" si="157"/>
        <v>0</v>
      </c>
      <c r="FWU32" s="28">
        <f t="shared" si="157"/>
        <v>0</v>
      </c>
      <c r="FWV32" s="28">
        <f t="shared" si="157"/>
        <v>0</v>
      </c>
      <c r="FWW32" s="28">
        <f t="shared" si="157"/>
        <v>0</v>
      </c>
      <c r="FWX32" s="28">
        <f t="shared" si="157"/>
        <v>0</v>
      </c>
      <c r="FWY32" s="28">
        <f t="shared" si="157"/>
        <v>0</v>
      </c>
      <c r="FWZ32" s="28">
        <f t="shared" si="157"/>
        <v>0</v>
      </c>
      <c r="FXA32" s="28">
        <f t="shared" ref="FXA32:FZL32" si="158">IFERROR(FXA31/FXA$4,0)</f>
        <v>0</v>
      </c>
      <c r="FXB32" s="28">
        <f t="shared" si="158"/>
        <v>0</v>
      </c>
      <c r="FXC32" s="28">
        <f t="shared" si="158"/>
        <v>0</v>
      </c>
      <c r="FXD32" s="28">
        <f t="shared" si="158"/>
        <v>0</v>
      </c>
      <c r="FXE32" s="28">
        <f t="shared" si="158"/>
        <v>0</v>
      </c>
      <c r="FXF32" s="28">
        <f t="shared" si="158"/>
        <v>0</v>
      </c>
      <c r="FXG32" s="28">
        <f t="shared" si="158"/>
        <v>0</v>
      </c>
      <c r="FXH32" s="28">
        <f t="shared" si="158"/>
        <v>0</v>
      </c>
      <c r="FXI32" s="28">
        <f t="shared" si="158"/>
        <v>0</v>
      </c>
      <c r="FXJ32" s="28">
        <f t="shared" si="158"/>
        <v>0</v>
      </c>
      <c r="FXK32" s="28">
        <f t="shared" si="158"/>
        <v>0</v>
      </c>
      <c r="FXL32" s="28">
        <f t="shared" si="158"/>
        <v>0</v>
      </c>
      <c r="FXM32" s="28">
        <f t="shared" si="158"/>
        <v>0</v>
      </c>
      <c r="FXN32" s="28">
        <f t="shared" si="158"/>
        <v>0</v>
      </c>
      <c r="FXO32" s="28">
        <f t="shared" si="158"/>
        <v>0</v>
      </c>
      <c r="FXP32" s="28">
        <f t="shared" si="158"/>
        <v>0</v>
      </c>
      <c r="FXQ32" s="28">
        <f t="shared" si="158"/>
        <v>0</v>
      </c>
      <c r="FXR32" s="28">
        <f t="shared" si="158"/>
        <v>0</v>
      </c>
      <c r="FXS32" s="28">
        <f t="shared" si="158"/>
        <v>0</v>
      </c>
      <c r="FXT32" s="28">
        <f t="shared" si="158"/>
        <v>0</v>
      </c>
      <c r="FXU32" s="28">
        <f t="shared" si="158"/>
        <v>0</v>
      </c>
      <c r="FXV32" s="28">
        <f t="shared" si="158"/>
        <v>0</v>
      </c>
      <c r="FXW32" s="28">
        <f t="shared" si="158"/>
        <v>0</v>
      </c>
      <c r="FXX32" s="28">
        <f t="shared" si="158"/>
        <v>0</v>
      </c>
      <c r="FXY32" s="28">
        <f t="shared" si="158"/>
        <v>0</v>
      </c>
      <c r="FXZ32" s="28">
        <f t="shared" si="158"/>
        <v>0</v>
      </c>
      <c r="FYA32" s="28">
        <f t="shared" si="158"/>
        <v>0</v>
      </c>
      <c r="FYB32" s="28">
        <f t="shared" si="158"/>
        <v>0</v>
      </c>
      <c r="FYC32" s="28">
        <f t="shared" si="158"/>
        <v>0</v>
      </c>
      <c r="FYD32" s="28">
        <f t="shared" si="158"/>
        <v>0</v>
      </c>
      <c r="FYE32" s="28">
        <f t="shared" si="158"/>
        <v>0</v>
      </c>
      <c r="FYF32" s="28">
        <f t="shared" si="158"/>
        <v>0</v>
      </c>
      <c r="FYG32" s="28">
        <f t="shared" si="158"/>
        <v>0</v>
      </c>
      <c r="FYH32" s="28">
        <f t="shared" si="158"/>
        <v>0</v>
      </c>
      <c r="FYI32" s="28">
        <f t="shared" si="158"/>
        <v>0</v>
      </c>
      <c r="FYJ32" s="28">
        <f t="shared" si="158"/>
        <v>0</v>
      </c>
      <c r="FYK32" s="28">
        <f t="shared" si="158"/>
        <v>0</v>
      </c>
      <c r="FYL32" s="28">
        <f t="shared" si="158"/>
        <v>0</v>
      </c>
      <c r="FYM32" s="28">
        <f t="shared" si="158"/>
        <v>0</v>
      </c>
      <c r="FYN32" s="28">
        <f t="shared" si="158"/>
        <v>0</v>
      </c>
      <c r="FYO32" s="28">
        <f t="shared" si="158"/>
        <v>0</v>
      </c>
      <c r="FYP32" s="28">
        <f t="shared" si="158"/>
        <v>0</v>
      </c>
      <c r="FYQ32" s="28">
        <f t="shared" si="158"/>
        <v>0</v>
      </c>
      <c r="FYR32" s="28">
        <f t="shared" si="158"/>
        <v>0</v>
      </c>
      <c r="FYS32" s="28">
        <f t="shared" si="158"/>
        <v>0</v>
      </c>
      <c r="FYT32" s="28">
        <f t="shared" si="158"/>
        <v>0</v>
      </c>
      <c r="FYU32" s="28">
        <f t="shared" si="158"/>
        <v>0</v>
      </c>
      <c r="FYV32" s="28">
        <f t="shared" si="158"/>
        <v>0</v>
      </c>
      <c r="FYW32" s="28">
        <f t="shared" si="158"/>
        <v>0</v>
      </c>
      <c r="FYX32" s="28">
        <f t="shared" si="158"/>
        <v>0</v>
      </c>
      <c r="FYY32" s="28">
        <f t="shared" si="158"/>
        <v>0</v>
      </c>
      <c r="FYZ32" s="28">
        <f t="shared" si="158"/>
        <v>0</v>
      </c>
      <c r="FZA32" s="28">
        <f t="shared" si="158"/>
        <v>0</v>
      </c>
      <c r="FZB32" s="28">
        <f t="shared" si="158"/>
        <v>0</v>
      </c>
      <c r="FZC32" s="28">
        <f t="shared" si="158"/>
        <v>0</v>
      </c>
      <c r="FZD32" s="28">
        <f t="shared" si="158"/>
        <v>0</v>
      </c>
      <c r="FZE32" s="28">
        <f t="shared" si="158"/>
        <v>0</v>
      </c>
      <c r="FZF32" s="28">
        <f t="shared" si="158"/>
        <v>0</v>
      </c>
      <c r="FZG32" s="28">
        <f t="shared" si="158"/>
        <v>0</v>
      </c>
      <c r="FZH32" s="28">
        <f t="shared" si="158"/>
        <v>0</v>
      </c>
      <c r="FZI32" s="28">
        <f t="shared" si="158"/>
        <v>0</v>
      </c>
      <c r="FZJ32" s="28">
        <f t="shared" si="158"/>
        <v>0</v>
      </c>
      <c r="FZK32" s="28">
        <f t="shared" si="158"/>
        <v>0</v>
      </c>
      <c r="FZL32" s="28">
        <f t="shared" si="158"/>
        <v>0</v>
      </c>
      <c r="FZM32" s="28">
        <f t="shared" ref="FZM32:GBX32" si="159">IFERROR(FZM31/FZM$4,0)</f>
        <v>0</v>
      </c>
      <c r="FZN32" s="28">
        <f t="shared" si="159"/>
        <v>0</v>
      </c>
      <c r="FZO32" s="28">
        <f t="shared" si="159"/>
        <v>0</v>
      </c>
      <c r="FZP32" s="28">
        <f t="shared" si="159"/>
        <v>0</v>
      </c>
      <c r="FZQ32" s="28">
        <f t="shared" si="159"/>
        <v>0</v>
      </c>
      <c r="FZR32" s="28">
        <f t="shared" si="159"/>
        <v>0</v>
      </c>
      <c r="FZS32" s="28">
        <f t="shared" si="159"/>
        <v>0</v>
      </c>
      <c r="FZT32" s="28">
        <f t="shared" si="159"/>
        <v>0</v>
      </c>
      <c r="FZU32" s="28">
        <f t="shared" si="159"/>
        <v>0</v>
      </c>
      <c r="FZV32" s="28">
        <f t="shared" si="159"/>
        <v>0</v>
      </c>
      <c r="FZW32" s="28">
        <f t="shared" si="159"/>
        <v>0</v>
      </c>
      <c r="FZX32" s="28">
        <f t="shared" si="159"/>
        <v>0</v>
      </c>
      <c r="FZY32" s="28">
        <f t="shared" si="159"/>
        <v>0</v>
      </c>
      <c r="FZZ32" s="28">
        <f t="shared" si="159"/>
        <v>0</v>
      </c>
      <c r="GAA32" s="28">
        <f t="shared" si="159"/>
        <v>0</v>
      </c>
      <c r="GAB32" s="28">
        <f t="shared" si="159"/>
        <v>0</v>
      </c>
      <c r="GAC32" s="28">
        <f t="shared" si="159"/>
        <v>0</v>
      </c>
      <c r="GAD32" s="28">
        <f t="shared" si="159"/>
        <v>0</v>
      </c>
      <c r="GAE32" s="28">
        <f t="shared" si="159"/>
        <v>0</v>
      </c>
      <c r="GAF32" s="28">
        <f t="shared" si="159"/>
        <v>0</v>
      </c>
      <c r="GAG32" s="28">
        <f t="shared" si="159"/>
        <v>0</v>
      </c>
      <c r="GAH32" s="28">
        <f t="shared" si="159"/>
        <v>0</v>
      </c>
      <c r="GAI32" s="28">
        <f t="shared" si="159"/>
        <v>0</v>
      </c>
      <c r="GAJ32" s="28">
        <f t="shared" si="159"/>
        <v>0</v>
      </c>
      <c r="GAK32" s="28">
        <f t="shared" si="159"/>
        <v>0</v>
      </c>
      <c r="GAL32" s="28">
        <f t="shared" si="159"/>
        <v>0</v>
      </c>
      <c r="GAM32" s="28">
        <f t="shared" si="159"/>
        <v>0</v>
      </c>
      <c r="GAN32" s="28">
        <f t="shared" si="159"/>
        <v>0</v>
      </c>
      <c r="GAO32" s="28">
        <f t="shared" si="159"/>
        <v>0</v>
      </c>
      <c r="GAP32" s="28">
        <f t="shared" si="159"/>
        <v>0</v>
      </c>
      <c r="GAQ32" s="28">
        <f t="shared" si="159"/>
        <v>0</v>
      </c>
      <c r="GAR32" s="28">
        <f t="shared" si="159"/>
        <v>0</v>
      </c>
      <c r="GAS32" s="28">
        <f t="shared" si="159"/>
        <v>0</v>
      </c>
      <c r="GAT32" s="28">
        <f t="shared" si="159"/>
        <v>0</v>
      </c>
      <c r="GAU32" s="28">
        <f t="shared" si="159"/>
        <v>0</v>
      </c>
      <c r="GAV32" s="28">
        <f t="shared" si="159"/>
        <v>0</v>
      </c>
      <c r="GAW32" s="28">
        <f t="shared" si="159"/>
        <v>0</v>
      </c>
      <c r="GAX32" s="28">
        <f t="shared" si="159"/>
        <v>0</v>
      </c>
      <c r="GAY32" s="28">
        <f t="shared" si="159"/>
        <v>0</v>
      </c>
      <c r="GAZ32" s="28">
        <f t="shared" si="159"/>
        <v>0</v>
      </c>
      <c r="GBA32" s="28">
        <f t="shared" si="159"/>
        <v>0</v>
      </c>
      <c r="GBB32" s="28">
        <f t="shared" si="159"/>
        <v>0</v>
      </c>
      <c r="GBC32" s="28">
        <f t="shared" si="159"/>
        <v>0</v>
      </c>
      <c r="GBD32" s="28">
        <f t="shared" si="159"/>
        <v>0</v>
      </c>
      <c r="GBE32" s="28">
        <f t="shared" si="159"/>
        <v>0</v>
      </c>
      <c r="GBF32" s="28">
        <f t="shared" si="159"/>
        <v>0</v>
      </c>
      <c r="GBG32" s="28">
        <f t="shared" si="159"/>
        <v>0</v>
      </c>
      <c r="GBH32" s="28">
        <f t="shared" si="159"/>
        <v>0</v>
      </c>
      <c r="GBI32" s="28">
        <f t="shared" si="159"/>
        <v>0</v>
      </c>
      <c r="GBJ32" s="28">
        <f t="shared" si="159"/>
        <v>0</v>
      </c>
      <c r="GBK32" s="28">
        <f t="shared" si="159"/>
        <v>0</v>
      </c>
      <c r="GBL32" s="28">
        <f t="shared" si="159"/>
        <v>0</v>
      </c>
      <c r="GBM32" s="28">
        <f t="shared" si="159"/>
        <v>0</v>
      </c>
      <c r="GBN32" s="28">
        <f t="shared" si="159"/>
        <v>0</v>
      </c>
      <c r="GBO32" s="28">
        <f t="shared" si="159"/>
        <v>0</v>
      </c>
      <c r="GBP32" s="28">
        <f t="shared" si="159"/>
        <v>0</v>
      </c>
      <c r="GBQ32" s="28">
        <f t="shared" si="159"/>
        <v>0</v>
      </c>
      <c r="GBR32" s="28">
        <f t="shared" si="159"/>
        <v>0</v>
      </c>
      <c r="GBS32" s="28">
        <f t="shared" si="159"/>
        <v>0</v>
      </c>
      <c r="GBT32" s="28">
        <f t="shared" si="159"/>
        <v>0</v>
      </c>
      <c r="GBU32" s="28">
        <f t="shared" si="159"/>
        <v>0</v>
      </c>
      <c r="GBV32" s="28">
        <f t="shared" si="159"/>
        <v>0</v>
      </c>
      <c r="GBW32" s="28">
        <f t="shared" si="159"/>
        <v>0</v>
      </c>
      <c r="GBX32" s="28">
        <f t="shared" si="159"/>
        <v>0</v>
      </c>
      <c r="GBY32" s="28">
        <f t="shared" ref="GBY32:GEJ32" si="160">IFERROR(GBY31/GBY$4,0)</f>
        <v>0</v>
      </c>
      <c r="GBZ32" s="28">
        <f t="shared" si="160"/>
        <v>0</v>
      </c>
      <c r="GCA32" s="28">
        <f t="shared" si="160"/>
        <v>0</v>
      </c>
      <c r="GCB32" s="28">
        <f t="shared" si="160"/>
        <v>0</v>
      </c>
      <c r="GCC32" s="28">
        <f t="shared" si="160"/>
        <v>0</v>
      </c>
      <c r="GCD32" s="28">
        <f t="shared" si="160"/>
        <v>0</v>
      </c>
      <c r="GCE32" s="28">
        <f t="shared" si="160"/>
        <v>0</v>
      </c>
      <c r="GCF32" s="28">
        <f t="shared" si="160"/>
        <v>0</v>
      </c>
      <c r="GCG32" s="28">
        <f t="shared" si="160"/>
        <v>0</v>
      </c>
      <c r="GCH32" s="28">
        <f t="shared" si="160"/>
        <v>0</v>
      </c>
      <c r="GCI32" s="28">
        <f t="shared" si="160"/>
        <v>0</v>
      </c>
      <c r="GCJ32" s="28">
        <f t="shared" si="160"/>
        <v>0</v>
      </c>
      <c r="GCK32" s="28">
        <f t="shared" si="160"/>
        <v>0</v>
      </c>
      <c r="GCL32" s="28">
        <f t="shared" si="160"/>
        <v>0</v>
      </c>
      <c r="GCM32" s="28">
        <f t="shared" si="160"/>
        <v>0</v>
      </c>
      <c r="GCN32" s="28">
        <f t="shared" si="160"/>
        <v>0</v>
      </c>
      <c r="GCO32" s="28">
        <f t="shared" si="160"/>
        <v>0</v>
      </c>
      <c r="GCP32" s="28">
        <f t="shared" si="160"/>
        <v>0</v>
      </c>
      <c r="GCQ32" s="28">
        <f t="shared" si="160"/>
        <v>0</v>
      </c>
      <c r="GCR32" s="28">
        <f t="shared" si="160"/>
        <v>0</v>
      </c>
      <c r="GCS32" s="28">
        <f t="shared" si="160"/>
        <v>0</v>
      </c>
      <c r="GCT32" s="28">
        <f t="shared" si="160"/>
        <v>0</v>
      </c>
      <c r="GCU32" s="28">
        <f t="shared" si="160"/>
        <v>0</v>
      </c>
      <c r="GCV32" s="28">
        <f t="shared" si="160"/>
        <v>0</v>
      </c>
      <c r="GCW32" s="28">
        <f t="shared" si="160"/>
        <v>0</v>
      </c>
      <c r="GCX32" s="28">
        <f t="shared" si="160"/>
        <v>0</v>
      </c>
      <c r="GCY32" s="28">
        <f t="shared" si="160"/>
        <v>0</v>
      </c>
      <c r="GCZ32" s="28">
        <f t="shared" si="160"/>
        <v>0</v>
      </c>
      <c r="GDA32" s="28">
        <f t="shared" si="160"/>
        <v>0</v>
      </c>
      <c r="GDB32" s="28">
        <f t="shared" si="160"/>
        <v>0</v>
      </c>
      <c r="GDC32" s="28">
        <f t="shared" si="160"/>
        <v>0</v>
      </c>
      <c r="GDD32" s="28">
        <f t="shared" si="160"/>
        <v>0</v>
      </c>
      <c r="GDE32" s="28">
        <f t="shared" si="160"/>
        <v>0</v>
      </c>
      <c r="GDF32" s="28">
        <f t="shared" si="160"/>
        <v>0</v>
      </c>
      <c r="GDG32" s="28">
        <f t="shared" si="160"/>
        <v>0</v>
      </c>
      <c r="GDH32" s="28">
        <f t="shared" si="160"/>
        <v>0</v>
      </c>
      <c r="GDI32" s="28">
        <f t="shared" si="160"/>
        <v>0</v>
      </c>
      <c r="GDJ32" s="28">
        <f t="shared" si="160"/>
        <v>0</v>
      </c>
      <c r="GDK32" s="28">
        <f t="shared" si="160"/>
        <v>0</v>
      </c>
      <c r="GDL32" s="28">
        <f t="shared" si="160"/>
        <v>0</v>
      </c>
      <c r="GDM32" s="28">
        <f t="shared" si="160"/>
        <v>0</v>
      </c>
      <c r="GDN32" s="28">
        <f t="shared" si="160"/>
        <v>0</v>
      </c>
      <c r="GDO32" s="28">
        <f t="shared" si="160"/>
        <v>0</v>
      </c>
      <c r="GDP32" s="28">
        <f t="shared" si="160"/>
        <v>0</v>
      </c>
      <c r="GDQ32" s="28">
        <f t="shared" si="160"/>
        <v>0</v>
      </c>
      <c r="GDR32" s="28">
        <f t="shared" si="160"/>
        <v>0</v>
      </c>
      <c r="GDS32" s="28">
        <f t="shared" si="160"/>
        <v>0</v>
      </c>
      <c r="GDT32" s="28">
        <f t="shared" si="160"/>
        <v>0</v>
      </c>
      <c r="GDU32" s="28">
        <f t="shared" si="160"/>
        <v>0</v>
      </c>
      <c r="GDV32" s="28">
        <f t="shared" si="160"/>
        <v>0</v>
      </c>
      <c r="GDW32" s="28">
        <f t="shared" si="160"/>
        <v>0</v>
      </c>
      <c r="GDX32" s="28">
        <f t="shared" si="160"/>
        <v>0</v>
      </c>
      <c r="GDY32" s="28">
        <f t="shared" si="160"/>
        <v>0</v>
      </c>
      <c r="GDZ32" s="28">
        <f t="shared" si="160"/>
        <v>0</v>
      </c>
      <c r="GEA32" s="28">
        <f t="shared" si="160"/>
        <v>0</v>
      </c>
      <c r="GEB32" s="28">
        <f t="shared" si="160"/>
        <v>0</v>
      </c>
      <c r="GEC32" s="28">
        <f t="shared" si="160"/>
        <v>0</v>
      </c>
      <c r="GED32" s="28">
        <f t="shared" si="160"/>
        <v>0</v>
      </c>
      <c r="GEE32" s="28">
        <f t="shared" si="160"/>
        <v>0</v>
      </c>
      <c r="GEF32" s="28">
        <f t="shared" si="160"/>
        <v>0</v>
      </c>
      <c r="GEG32" s="28">
        <f t="shared" si="160"/>
        <v>0</v>
      </c>
      <c r="GEH32" s="28">
        <f t="shared" si="160"/>
        <v>0</v>
      </c>
      <c r="GEI32" s="28">
        <f t="shared" si="160"/>
        <v>0</v>
      </c>
      <c r="GEJ32" s="28">
        <f t="shared" si="160"/>
        <v>0</v>
      </c>
      <c r="GEK32" s="28">
        <f t="shared" ref="GEK32:GGV32" si="161">IFERROR(GEK31/GEK$4,0)</f>
        <v>0</v>
      </c>
      <c r="GEL32" s="28">
        <f t="shared" si="161"/>
        <v>0</v>
      </c>
      <c r="GEM32" s="28">
        <f t="shared" si="161"/>
        <v>0</v>
      </c>
      <c r="GEN32" s="28">
        <f t="shared" si="161"/>
        <v>0</v>
      </c>
      <c r="GEO32" s="28">
        <f t="shared" si="161"/>
        <v>0</v>
      </c>
      <c r="GEP32" s="28">
        <f t="shared" si="161"/>
        <v>0</v>
      </c>
      <c r="GEQ32" s="28">
        <f t="shared" si="161"/>
        <v>0</v>
      </c>
      <c r="GER32" s="28">
        <f t="shared" si="161"/>
        <v>0</v>
      </c>
      <c r="GES32" s="28">
        <f t="shared" si="161"/>
        <v>0</v>
      </c>
      <c r="GET32" s="28">
        <f t="shared" si="161"/>
        <v>0</v>
      </c>
      <c r="GEU32" s="28">
        <f t="shared" si="161"/>
        <v>0</v>
      </c>
      <c r="GEV32" s="28">
        <f t="shared" si="161"/>
        <v>0</v>
      </c>
      <c r="GEW32" s="28">
        <f t="shared" si="161"/>
        <v>0</v>
      </c>
      <c r="GEX32" s="28">
        <f t="shared" si="161"/>
        <v>0</v>
      </c>
      <c r="GEY32" s="28">
        <f t="shared" si="161"/>
        <v>0</v>
      </c>
      <c r="GEZ32" s="28">
        <f t="shared" si="161"/>
        <v>0</v>
      </c>
      <c r="GFA32" s="28">
        <f t="shared" si="161"/>
        <v>0</v>
      </c>
      <c r="GFB32" s="28">
        <f t="shared" si="161"/>
        <v>0</v>
      </c>
      <c r="GFC32" s="28">
        <f t="shared" si="161"/>
        <v>0</v>
      </c>
      <c r="GFD32" s="28">
        <f t="shared" si="161"/>
        <v>0</v>
      </c>
      <c r="GFE32" s="28">
        <f t="shared" si="161"/>
        <v>0</v>
      </c>
      <c r="GFF32" s="28">
        <f t="shared" si="161"/>
        <v>0</v>
      </c>
      <c r="GFG32" s="28">
        <f t="shared" si="161"/>
        <v>0</v>
      </c>
      <c r="GFH32" s="28">
        <f t="shared" si="161"/>
        <v>0</v>
      </c>
      <c r="GFI32" s="28">
        <f t="shared" si="161"/>
        <v>0</v>
      </c>
      <c r="GFJ32" s="28">
        <f t="shared" si="161"/>
        <v>0</v>
      </c>
      <c r="GFK32" s="28">
        <f t="shared" si="161"/>
        <v>0</v>
      </c>
      <c r="GFL32" s="28">
        <f t="shared" si="161"/>
        <v>0</v>
      </c>
      <c r="GFM32" s="28">
        <f t="shared" si="161"/>
        <v>0</v>
      </c>
      <c r="GFN32" s="28">
        <f t="shared" si="161"/>
        <v>0</v>
      </c>
      <c r="GFO32" s="28">
        <f t="shared" si="161"/>
        <v>0</v>
      </c>
      <c r="GFP32" s="28">
        <f t="shared" si="161"/>
        <v>0</v>
      </c>
      <c r="GFQ32" s="28">
        <f t="shared" si="161"/>
        <v>0</v>
      </c>
      <c r="GFR32" s="28">
        <f t="shared" si="161"/>
        <v>0</v>
      </c>
      <c r="GFS32" s="28">
        <f t="shared" si="161"/>
        <v>0</v>
      </c>
      <c r="GFT32" s="28">
        <f t="shared" si="161"/>
        <v>0</v>
      </c>
      <c r="GFU32" s="28">
        <f t="shared" si="161"/>
        <v>0</v>
      </c>
      <c r="GFV32" s="28">
        <f t="shared" si="161"/>
        <v>0</v>
      </c>
      <c r="GFW32" s="28">
        <f t="shared" si="161"/>
        <v>0</v>
      </c>
      <c r="GFX32" s="28">
        <f t="shared" si="161"/>
        <v>0</v>
      </c>
      <c r="GFY32" s="28">
        <f t="shared" si="161"/>
        <v>0</v>
      </c>
      <c r="GFZ32" s="28">
        <f t="shared" si="161"/>
        <v>0</v>
      </c>
      <c r="GGA32" s="28">
        <f t="shared" si="161"/>
        <v>0</v>
      </c>
      <c r="GGB32" s="28">
        <f t="shared" si="161"/>
        <v>0</v>
      </c>
      <c r="GGC32" s="28">
        <f t="shared" si="161"/>
        <v>0</v>
      </c>
      <c r="GGD32" s="28">
        <f t="shared" si="161"/>
        <v>0</v>
      </c>
      <c r="GGE32" s="28">
        <f t="shared" si="161"/>
        <v>0</v>
      </c>
      <c r="GGF32" s="28">
        <f t="shared" si="161"/>
        <v>0</v>
      </c>
      <c r="GGG32" s="28">
        <f t="shared" si="161"/>
        <v>0</v>
      </c>
      <c r="GGH32" s="28">
        <f t="shared" si="161"/>
        <v>0</v>
      </c>
      <c r="GGI32" s="28">
        <f t="shared" si="161"/>
        <v>0</v>
      </c>
      <c r="GGJ32" s="28">
        <f t="shared" si="161"/>
        <v>0</v>
      </c>
      <c r="GGK32" s="28">
        <f t="shared" si="161"/>
        <v>0</v>
      </c>
      <c r="GGL32" s="28">
        <f t="shared" si="161"/>
        <v>0</v>
      </c>
      <c r="GGM32" s="28">
        <f t="shared" si="161"/>
        <v>0</v>
      </c>
      <c r="GGN32" s="28">
        <f t="shared" si="161"/>
        <v>0</v>
      </c>
      <c r="GGO32" s="28">
        <f t="shared" si="161"/>
        <v>0</v>
      </c>
      <c r="GGP32" s="28">
        <f t="shared" si="161"/>
        <v>0</v>
      </c>
      <c r="GGQ32" s="28">
        <f t="shared" si="161"/>
        <v>0</v>
      </c>
      <c r="GGR32" s="28">
        <f t="shared" si="161"/>
        <v>0</v>
      </c>
      <c r="GGS32" s="28">
        <f t="shared" si="161"/>
        <v>0</v>
      </c>
      <c r="GGT32" s="28">
        <f t="shared" si="161"/>
        <v>0</v>
      </c>
      <c r="GGU32" s="28">
        <f t="shared" si="161"/>
        <v>0</v>
      </c>
      <c r="GGV32" s="28">
        <f t="shared" si="161"/>
        <v>0</v>
      </c>
      <c r="GGW32" s="28">
        <f t="shared" ref="GGW32:GJH32" si="162">IFERROR(GGW31/GGW$4,0)</f>
        <v>0</v>
      </c>
      <c r="GGX32" s="28">
        <f t="shared" si="162"/>
        <v>0</v>
      </c>
      <c r="GGY32" s="28">
        <f t="shared" si="162"/>
        <v>0</v>
      </c>
      <c r="GGZ32" s="28">
        <f t="shared" si="162"/>
        <v>0</v>
      </c>
      <c r="GHA32" s="28">
        <f t="shared" si="162"/>
        <v>0</v>
      </c>
      <c r="GHB32" s="28">
        <f t="shared" si="162"/>
        <v>0</v>
      </c>
      <c r="GHC32" s="28">
        <f t="shared" si="162"/>
        <v>0</v>
      </c>
      <c r="GHD32" s="28">
        <f t="shared" si="162"/>
        <v>0</v>
      </c>
      <c r="GHE32" s="28">
        <f t="shared" si="162"/>
        <v>0</v>
      </c>
      <c r="GHF32" s="28">
        <f t="shared" si="162"/>
        <v>0</v>
      </c>
      <c r="GHG32" s="28">
        <f t="shared" si="162"/>
        <v>0</v>
      </c>
      <c r="GHH32" s="28">
        <f t="shared" si="162"/>
        <v>0</v>
      </c>
      <c r="GHI32" s="28">
        <f t="shared" si="162"/>
        <v>0</v>
      </c>
      <c r="GHJ32" s="28">
        <f t="shared" si="162"/>
        <v>0</v>
      </c>
      <c r="GHK32" s="28">
        <f t="shared" si="162"/>
        <v>0</v>
      </c>
      <c r="GHL32" s="28">
        <f t="shared" si="162"/>
        <v>0</v>
      </c>
      <c r="GHM32" s="28">
        <f t="shared" si="162"/>
        <v>0</v>
      </c>
      <c r="GHN32" s="28">
        <f t="shared" si="162"/>
        <v>0</v>
      </c>
      <c r="GHO32" s="28">
        <f t="shared" si="162"/>
        <v>0</v>
      </c>
      <c r="GHP32" s="28">
        <f t="shared" si="162"/>
        <v>0</v>
      </c>
      <c r="GHQ32" s="28">
        <f t="shared" si="162"/>
        <v>0</v>
      </c>
      <c r="GHR32" s="28">
        <f t="shared" si="162"/>
        <v>0</v>
      </c>
      <c r="GHS32" s="28">
        <f t="shared" si="162"/>
        <v>0</v>
      </c>
      <c r="GHT32" s="28">
        <f t="shared" si="162"/>
        <v>0</v>
      </c>
      <c r="GHU32" s="28">
        <f t="shared" si="162"/>
        <v>0</v>
      </c>
      <c r="GHV32" s="28">
        <f t="shared" si="162"/>
        <v>0</v>
      </c>
      <c r="GHW32" s="28">
        <f t="shared" si="162"/>
        <v>0</v>
      </c>
      <c r="GHX32" s="28">
        <f t="shared" si="162"/>
        <v>0</v>
      </c>
      <c r="GHY32" s="28">
        <f t="shared" si="162"/>
        <v>0</v>
      </c>
      <c r="GHZ32" s="28">
        <f t="shared" si="162"/>
        <v>0</v>
      </c>
      <c r="GIA32" s="28">
        <f t="shared" si="162"/>
        <v>0</v>
      </c>
      <c r="GIB32" s="28">
        <f t="shared" si="162"/>
        <v>0</v>
      </c>
      <c r="GIC32" s="28">
        <f t="shared" si="162"/>
        <v>0</v>
      </c>
      <c r="GID32" s="28">
        <f t="shared" si="162"/>
        <v>0</v>
      </c>
      <c r="GIE32" s="28">
        <f t="shared" si="162"/>
        <v>0</v>
      </c>
      <c r="GIF32" s="28">
        <f t="shared" si="162"/>
        <v>0</v>
      </c>
      <c r="GIG32" s="28">
        <f t="shared" si="162"/>
        <v>0</v>
      </c>
      <c r="GIH32" s="28">
        <f t="shared" si="162"/>
        <v>0</v>
      </c>
      <c r="GII32" s="28">
        <f t="shared" si="162"/>
        <v>0</v>
      </c>
      <c r="GIJ32" s="28">
        <f t="shared" si="162"/>
        <v>0</v>
      </c>
      <c r="GIK32" s="28">
        <f t="shared" si="162"/>
        <v>0</v>
      </c>
      <c r="GIL32" s="28">
        <f t="shared" si="162"/>
        <v>0</v>
      </c>
      <c r="GIM32" s="28">
        <f t="shared" si="162"/>
        <v>0</v>
      </c>
      <c r="GIN32" s="28">
        <f t="shared" si="162"/>
        <v>0</v>
      </c>
      <c r="GIO32" s="28">
        <f t="shared" si="162"/>
        <v>0</v>
      </c>
      <c r="GIP32" s="28">
        <f t="shared" si="162"/>
        <v>0</v>
      </c>
      <c r="GIQ32" s="28">
        <f t="shared" si="162"/>
        <v>0</v>
      </c>
      <c r="GIR32" s="28">
        <f t="shared" si="162"/>
        <v>0</v>
      </c>
      <c r="GIS32" s="28">
        <f t="shared" si="162"/>
        <v>0</v>
      </c>
      <c r="GIT32" s="28">
        <f t="shared" si="162"/>
        <v>0</v>
      </c>
      <c r="GIU32" s="28">
        <f t="shared" si="162"/>
        <v>0</v>
      </c>
      <c r="GIV32" s="28">
        <f t="shared" si="162"/>
        <v>0</v>
      </c>
      <c r="GIW32" s="28">
        <f t="shared" si="162"/>
        <v>0</v>
      </c>
      <c r="GIX32" s="28">
        <f t="shared" si="162"/>
        <v>0</v>
      </c>
      <c r="GIY32" s="28">
        <f t="shared" si="162"/>
        <v>0</v>
      </c>
      <c r="GIZ32" s="28">
        <f t="shared" si="162"/>
        <v>0</v>
      </c>
      <c r="GJA32" s="28">
        <f t="shared" si="162"/>
        <v>0</v>
      </c>
      <c r="GJB32" s="28">
        <f t="shared" si="162"/>
        <v>0</v>
      </c>
      <c r="GJC32" s="28">
        <f t="shared" si="162"/>
        <v>0</v>
      </c>
      <c r="GJD32" s="28">
        <f t="shared" si="162"/>
        <v>0</v>
      </c>
      <c r="GJE32" s="28">
        <f t="shared" si="162"/>
        <v>0</v>
      </c>
      <c r="GJF32" s="28">
        <f t="shared" si="162"/>
        <v>0</v>
      </c>
      <c r="GJG32" s="28">
        <f t="shared" si="162"/>
        <v>0</v>
      </c>
      <c r="GJH32" s="28">
        <f t="shared" si="162"/>
        <v>0</v>
      </c>
      <c r="GJI32" s="28">
        <f t="shared" ref="GJI32:GLT32" si="163">IFERROR(GJI31/GJI$4,0)</f>
        <v>0</v>
      </c>
      <c r="GJJ32" s="28">
        <f t="shared" si="163"/>
        <v>0</v>
      </c>
      <c r="GJK32" s="28">
        <f t="shared" si="163"/>
        <v>0</v>
      </c>
      <c r="GJL32" s="28">
        <f t="shared" si="163"/>
        <v>0</v>
      </c>
      <c r="GJM32" s="28">
        <f t="shared" si="163"/>
        <v>0</v>
      </c>
      <c r="GJN32" s="28">
        <f t="shared" si="163"/>
        <v>0</v>
      </c>
      <c r="GJO32" s="28">
        <f t="shared" si="163"/>
        <v>0</v>
      </c>
      <c r="GJP32" s="28">
        <f t="shared" si="163"/>
        <v>0</v>
      </c>
      <c r="GJQ32" s="28">
        <f t="shared" si="163"/>
        <v>0</v>
      </c>
      <c r="GJR32" s="28">
        <f t="shared" si="163"/>
        <v>0</v>
      </c>
      <c r="GJS32" s="28">
        <f t="shared" si="163"/>
        <v>0</v>
      </c>
      <c r="GJT32" s="28">
        <f t="shared" si="163"/>
        <v>0</v>
      </c>
      <c r="GJU32" s="28">
        <f t="shared" si="163"/>
        <v>0</v>
      </c>
      <c r="GJV32" s="28">
        <f t="shared" si="163"/>
        <v>0</v>
      </c>
      <c r="GJW32" s="28">
        <f t="shared" si="163"/>
        <v>0</v>
      </c>
      <c r="GJX32" s="28">
        <f t="shared" si="163"/>
        <v>0</v>
      </c>
      <c r="GJY32" s="28">
        <f t="shared" si="163"/>
        <v>0</v>
      </c>
      <c r="GJZ32" s="28">
        <f t="shared" si="163"/>
        <v>0</v>
      </c>
      <c r="GKA32" s="28">
        <f t="shared" si="163"/>
        <v>0</v>
      </c>
      <c r="GKB32" s="28">
        <f t="shared" si="163"/>
        <v>0</v>
      </c>
      <c r="GKC32" s="28">
        <f t="shared" si="163"/>
        <v>0</v>
      </c>
      <c r="GKD32" s="28">
        <f t="shared" si="163"/>
        <v>0</v>
      </c>
      <c r="GKE32" s="28">
        <f t="shared" si="163"/>
        <v>0</v>
      </c>
      <c r="GKF32" s="28">
        <f t="shared" si="163"/>
        <v>0</v>
      </c>
      <c r="GKG32" s="28">
        <f t="shared" si="163"/>
        <v>0</v>
      </c>
      <c r="GKH32" s="28">
        <f t="shared" si="163"/>
        <v>0</v>
      </c>
      <c r="GKI32" s="28">
        <f t="shared" si="163"/>
        <v>0</v>
      </c>
      <c r="GKJ32" s="28">
        <f t="shared" si="163"/>
        <v>0</v>
      </c>
      <c r="GKK32" s="28">
        <f t="shared" si="163"/>
        <v>0</v>
      </c>
      <c r="GKL32" s="28">
        <f t="shared" si="163"/>
        <v>0</v>
      </c>
      <c r="GKM32" s="28">
        <f t="shared" si="163"/>
        <v>0</v>
      </c>
      <c r="GKN32" s="28">
        <f t="shared" si="163"/>
        <v>0</v>
      </c>
      <c r="GKO32" s="28">
        <f t="shared" si="163"/>
        <v>0</v>
      </c>
      <c r="GKP32" s="28">
        <f t="shared" si="163"/>
        <v>0</v>
      </c>
      <c r="GKQ32" s="28">
        <f t="shared" si="163"/>
        <v>0</v>
      </c>
      <c r="GKR32" s="28">
        <f t="shared" si="163"/>
        <v>0</v>
      </c>
      <c r="GKS32" s="28">
        <f t="shared" si="163"/>
        <v>0</v>
      </c>
      <c r="GKT32" s="28">
        <f t="shared" si="163"/>
        <v>0</v>
      </c>
      <c r="GKU32" s="28">
        <f t="shared" si="163"/>
        <v>0</v>
      </c>
      <c r="GKV32" s="28">
        <f t="shared" si="163"/>
        <v>0</v>
      </c>
      <c r="GKW32" s="28">
        <f t="shared" si="163"/>
        <v>0</v>
      </c>
      <c r="GKX32" s="28">
        <f t="shared" si="163"/>
        <v>0</v>
      </c>
      <c r="GKY32" s="28">
        <f t="shared" si="163"/>
        <v>0</v>
      </c>
      <c r="GKZ32" s="28">
        <f t="shared" si="163"/>
        <v>0</v>
      </c>
      <c r="GLA32" s="28">
        <f t="shared" si="163"/>
        <v>0</v>
      </c>
      <c r="GLB32" s="28">
        <f t="shared" si="163"/>
        <v>0</v>
      </c>
      <c r="GLC32" s="28">
        <f t="shared" si="163"/>
        <v>0</v>
      </c>
      <c r="GLD32" s="28">
        <f t="shared" si="163"/>
        <v>0</v>
      </c>
      <c r="GLE32" s="28">
        <f t="shared" si="163"/>
        <v>0</v>
      </c>
      <c r="GLF32" s="28">
        <f t="shared" si="163"/>
        <v>0</v>
      </c>
      <c r="GLG32" s="28">
        <f t="shared" si="163"/>
        <v>0</v>
      </c>
      <c r="GLH32" s="28">
        <f t="shared" si="163"/>
        <v>0</v>
      </c>
      <c r="GLI32" s="28">
        <f t="shared" si="163"/>
        <v>0</v>
      </c>
      <c r="GLJ32" s="28">
        <f t="shared" si="163"/>
        <v>0</v>
      </c>
      <c r="GLK32" s="28">
        <f t="shared" si="163"/>
        <v>0</v>
      </c>
      <c r="GLL32" s="28">
        <f t="shared" si="163"/>
        <v>0</v>
      </c>
      <c r="GLM32" s="28">
        <f t="shared" si="163"/>
        <v>0</v>
      </c>
      <c r="GLN32" s="28">
        <f t="shared" si="163"/>
        <v>0</v>
      </c>
      <c r="GLO32" s="28">
        <f t="shared" si="163"/>
        <v>0</v>
      </c>
      <c r="GLP32" s="28">
        <f t="shared" si="163"/>
        <v>0</v>
      </c>
      <c r="GLQ32" s="28">
        <f t="shared" si="163"/>
        <v>0</v>
      </c>
      <c r="GLR32" s="28">
        <f t="shared" si="163"/>
        <v>0</v>
      </c>
      <c r="GLS32" s="28">
        <f t="shared" si="163"/>
        <v>0</v>
      </c>
      <c r="GLT32" s="28">
        <f t="shared" si="163"/>
        <v>0</v>
      </c>
      <c r="GLU32" s="28">
        <f t="shared" ref="GLU32:GOF32" si="164">IFERROR(GLU31/GLU$4,0)</f>
        <v>0</v>
      </c>
      <c r="GLV32" s="28">
        <f t="shared" si="164"/>
        <v>0</v>
      </c>
      <c r="GLW32" s="28">
        <f t="shared" si="164"/>
        <v>0</v>
      </c>
      <c r="GLX32" s="28">
        <f t="shared" si="164"/>
        <v>0</v>
      </c>
      <c r="GLY32" s="28">
        <f t="shared" si="164"/>
        <v>0</v>
      </c>
      <c r="GLZ32" s="28">
        <f t="shared" si="164"/>
        <v>0</v>
      </c>
      <c r="GMA32" s="28">
        <f t="shared" si="164"/>
        <v>0</v>
      </c>
      <c r="GMB32" s="28">
        <f t="shared" si="164"/>
        <v>0</v>
      </c>
      <c r="GMC32" s="28">
        <f t="shared" si="164"/>
        <v>0</v>
      </c>
      <c r="GMD32" s="28">
        <f t="shared" si="164"/>
        <v>0</v>
      </c>
      <c r="GME32" s="28">
        <f t="shared" si="164"/>
        <v>0</v>
      </c>
      <c r="GMF32" s="28">
        <f t="shared" si="164"/>
        <v>0</v>
      </c>
      <c r="GMG32" s="28">
        <f t="shared" si="164"/>
        <v>0</v>
      </c>
      <c r="GMH32" s="28">
        <f t="shared" si="164"/>
        <v>0</v>
      </c>
      <c r="GMI32" s="28">
        <f t="shared" si="164"/>
        <v>0</v>
      </c>
      <c r="GMJ32" s="28">
        <f t="shared" si="164"/>
        <v>0</v>
      </c>
      <c r="GMK32" s="28">
        <f t="shared" si="164"/>
        <v>0</v>
      </c>
      <c r="GML32" s="28">
        <f t="shared" si="164"/>
        <v>0</v>
      </c>
      <c r="GMM32" s="28">
        <f t="shared" si="164"/>
        <v>0</v>
      </c>
      <c r="GMN32" s="28">
        <f t="shared" si="164"/>
        <v>0</v>
      </c>
      <c r="GMO32" s="28">
        <f t="shared" si="164"/>
        <v>0</v>
      </c>
      <c r="GMP32" s="28">
        <f t="shared" si="164"/>
        <v>0</v>
      </c>
      <c r="GMQ32" s="28">
        <f t="shared" si="164"/>
        <v>0</v>
      </c>
      <c r="GMR32" s="28">
        <f t="shared" si="164"/>
        <v>0</v>
      </c>
      <c r="GMS32" s="28">
        <f t="shared" si="164"/>
        <v>0</v>
      </c>
      <c r="GMT32" s="28">
        <f t="shared" si="164"/>
        <v>0</v>
      </c>
      <c r="GMU32" s="28">
        <f t="shared" si="164"/>
        <v>0</v>
      </c>
      <c r="GMV32" s="28">
        <f t="shared" si="164"/>
        <v>0</v>
      </c>
      <c r="GMW32" s="28">
        <f t="shared" si="164"/>
        <v>0</v>
      </c>
      <c r="GMX32" s="28">
        <f t="shared" si="164"/>
        <v>0</v>
      </c>
      <c r="GMY32" s="28">
        <f t="shared" si="164"/>
        <v>0</v>
      </c>
      <c r="GMZ32" s="28">
        <f t="shared" si="164"/>
        <v>0</v>
      </c>
      <c r="GNA32" s="28">
        <f t="shared" si="164"/>
        <v>0</v>
      </c>
      <c r="GNB32" s="28">
        <f t="shared" si="164"/>
        <v>0</v>
      </c>
      <c r="GNC32" s="28">
        <f t="shared" si="164"/>
        <v>0</v>
      </c>
      <c r="GND32" s="28">
        <f t="shared" si="164"/>
        <v>0</v>
      </c>
      <c r="GNE32" s="28">
        <f t="shared" si="164"/>
        <v>0</v>
      </c>
      <c r="GNF32" s="28">
        <f t="shared" si="164"/>
        <v>0</v>
      </c>
      <c r="GNG32" s="28">
        <f t="shared" si="164"/>
        <v>0</v>
      </c>
      <c r="GNH32" s="28">
        <f t="shared" si="164"/>
        <v>0</v>
      </c>
      <c r="GNI32" s="28">
        <f t="shared" si="164"/>
        <v>0</v>
      </c>
      <c r="GNJ32" s="28">
        <f t="shared" si="164"/>
        <v>0</v>
      </c>
      <c r="GNK32" s="28">
        <f t="shared" si="164"/>
        <v>0</v>
      </c>
      <c r="GNL32" s="28">
        <f t="shared" si="164"/>
        <v>0</v>
      </c>
      <c r="GNM32" s="28">
        <f t="shared" si="164"/>
        <v>0</v>
      </c>
      <c r="GNN32" s="28">
        <f t="shared" si="164"/>
        <v>0</v>
      </c>
      <c r="GNO32" s="28">
        <f t="shared" si="164"/>
        <v>0</v>
      </c>
      <c r="GNP32" s="28">
        <f t="shared" si="164"/>
        <v>0</v>
      </c>
      <c r="GNQ32" s="28">
        <f t="shared" si="164"/>
        <v>0</v>
      </c>
      <c r="GNR32" s="28">
        <f t="shared" si="164"/>
        <v>0</v>
      </c>
      <c r="GNS32" s="28">
        <f t="shared" si="164"/>
        <v>0</v>
      </c>
      <c r="GNT32" s="28">
        <f t="shared" si="164"/>
        <v>0</v>
      </c>
      <c r="GNU32" s="28">
        <f t="shared" si="164"/>
        <v>0</v>
      </c>
      <c r="GNV32" s="28">
        <f t="shared" si="164"/>
        <v>0</v>
      </c>
      <c r="GNW32" s="28">
        <f t="shared" si="164"/>
        <v>0</v>
      </c>
      <c r="GNX32" s="28">
        <f t="shared" si="164"/>
        <v>0</v>
      </c>
      <c r="GNY32" s="28">
        <f t="shared" si="164"/>
        <v>0</v>
      </c>
      <c r="GNZ32" s="28">
        <f t="shared" si="164"/>
        <v>0</v>
      </c>
      <c r="GOA32" s="28">
        <f t="shared" si="164"/>
        <v>0</v>
      </c>
      <c r="GOB32" s="28">
        <f t="shared" si="164"/>
        <v>0</v>
      </c>
      <c r="GOC32" s="28">
        <f t="shared" si="164"/>
        <v>0</v>
      </c>
      <c r="GOD32" s="28">
        <f t="shared" si="164"/>
        <v>0</v>
      </c>
      <c r="GOE32" s="28">
        <f t="shared" si="164"/>
        <v>0</v>
      </c>
      <c r="GOF32" s="28">
        <f t="shared" si="164"/>
        <v>0</v>
      </c>
      <c r="GOG32" s="28">
        <f t="shared" ref="GOG32:GQR32" si="165">IFERROR(GOG31/GOG$4,0)</f>
        <v>0</v>
      </c>
      <c r="GOH32" s="28">
        <f t="shared" si="165"/>
        <v>0</v>
      </c>
      <c r="GOI32" s="28">
        <f t="shared" si="165"/>
        <v>0</v>
      </c>
      <c r="GOJ32" s="28">
        <f t="shared" si="165"/>
        <v>0</v>
      </c>
      <c r="GOK32" s="28">
        <f t="shared" si="165"/>
        <v>0</v>
      </c>
      <c r="GOL32" s="28">
        <f t="shared" si="165"/>
        <v>0</v>
      </c>
      <c r="GOM32" s="28">
        <f t="shared" si="165"/>
        <v>0</v>
      </c>
      <c r="GON32" s="28">
        <f t="shared" si="165"/>
        <v>0</v>
      </c>
      <c r="GOO32" s="28">
        <f t="shared" si="165"/>
        <v>0</v>
      </c>
      <c r="GOP32" s="28">
        <f t="shared" si="165"/>
        <v>0</v>
      </c>
      <c r="GOQ32" s="28">
        <f t="shared" si="165"/>
        <v>0</v>
      </c>
      <c r="GOR32" s="28">
        <f t="shared" si="165"/>
        <v>0</v>
      </c>
      <c r="GOS32" s="28">
        <f t="shared" si="165"/>
        <v>0</v>
      </c>
      <c r="GOT32" s="28">
        <f t="shared" si="165"/>
        <v>0</v>
      </c>
      <c r="GOU32" s="28">
        <f t="shared" si="165"/>
        <v>0</v>
      </c>
      <c r="GOV32" s="28">
        <f t="shared" si="165"/>
        <v>0</v>
      </c>
      <c r="GOW32" s="28">
        <f t="shared" si="165"/>
        <v>0</v>
      </c>
      <c r="GOX32" s="28">
        <f t="shared" si="165"/>
        <v>0</v>
      </c>
      <c r="GOY32" s="28">
        <f t="shared" si="165"/>
        <v>0</v>
      </c>
      <c r="GOZ32" s="28">
        <f t="shared" si="165"/>
        <v>0</v>
      </c>
      <c r="GPA32" s="28">
        <f t="shared" si="165"/>
        <v>0</v>
      </c>
      <c r="GPB32" s="28">
        <f t="shared" si="165"/>
        <v>0</v>
      </c>
      <c r="GPC32" s="28">
        <f t="shared" si="165"/>
        <v>0</v>
      </c>
      <c r="GPD32" s="28">
        <f t="shared" si="165"/>
        <v>0</v>
      </c>
      <c r="GPE32" s="28">
        <f t="shared" si="165"/>
        <v>0</v>
      </c>
      <c r="GPF32" s="28">
        <f t="shared" si="165"/>
        <v>0</v>
      </c>
      <c r="GPG32" s="28">
        <f t="shared" si="165"/>
        <v>0</v>
      </c>
      <c r="GPH32" s="28">
        <f t="shared" si="165"/>
        <v>0</v>
      </c>
      <c r="GPI32" s="28">
        <f t="shared" si="165"/>
        <v>0</v>
      </c>
      <c r="GPJ32" s="28">
        <f t="shared" si="165"/>
        <v>0</v>
      </c>
      <c r="GPK32" s="28">
        <f t="shared" si="165"/>
        <v>0</v>
      </c>
      <c r="GPL32" s="28">
        <f t="shared" si="165"/>
        <v>0</v>
      </c>
      <c r="GPM32" s="28">
        <f t="shared" si="165"/>
        <v>0</v>
      </c>
      <c r="GPN32" s="28">
        <f t="shared" si="165"/>
        <v>0</v>
      </c>
      <c r="GPO32" s="28">
        <f t="shared" si="165"/>
        <v>0</v>
      </c>
      <c r="GPP32" s="28">
        <f t="shared" si="165"/>
        <v>0</v>
      </c>
      <c r="GPQ32" s="28">
        <f t="shared" si="165"/>
        <v>0</v>
      </c>
      <c r="GPR32" s="28">
        <f t="shared" si="165"/>
        <v>0</v>
      </c>
      <c r="GPS32" s="28">
        <f t="shared" si="165"/>
        <v>0</v>
      </c>
      <c r="GPT32" s="28">
        <f t="shared" si="165"/>
        <v>0</v>
      </c>
      <c r="GPU32" s="28">
        <f t="shared" si="165"/>
        <v>0</v>
      </c>
      <c r="GPV32" s="28">
        <f t="shared" si="165"/>
        <v>0</v>
      </c>
      <c r="GPW32" s="28">
        <f t="shared" si="165"/>
        <v>0</v>
      </c>
      <c r="GPX32" s="28">
        <f t="shared" si="165"/>
        <v>0</v>
      </c>
      <c r="GPY32" s="28">
        <f t="shared" si="165"/>
        <v>0</v>
      </c>
      <c r="GPZ32" s="28">
        <f t="shared" si="165"/>
        <v>0</v>
      </c>
      <c r="GQA32" s="28">
        <f t="shared" si="165"/>
        <v>0</v>
      </c>
      <c r="GQB32" s="28">
        <f t="shared" si="165"/>
        <v>0</v>
      </c>
      <c r="GQC32" s="28">
        <f t="shared" si="165"/>
        <v>0</v>
      </c>
      <c r="GQD32" s="28">
        <f t="shared" si="165"/>
        <v>0</v>
      </c>
      <c r="GQE32" s="28">
        <f t="shared" si="165"/>
        <v>0</v>
      </c>
      <c r="GQF32" s="28">
        <f t="shared" si="165"/>
        <v>0</v>
      </c>
      <c r="GQG32" s="28">
        <f t="shared" si="165"/>
        <v>0</v>
      </c>
      <c r="GQH32" s="28">
        <f t="shared" si="165"/>
        <v>0</v>
      </c>
      <c r="GQI32" s="28">
        <f t="shared" si="165"/>
        <v>0</v>
      </c>
      <c r="GQJ32" s="28">
        <f t="shared" si="165"/>
        <v>0</v>
      </c>
      <c r="GQK32" s="28">
        <f t="shared" si="165"/>
        <v>0</v>
      </c>
      <c r="GQL32" s="28">
        <f t="shared" si="165"/>
        <v>0</v>
      </c>
      <c r="GQM32" s="28">
        <f t="shared" si="165"/>
        <v>0</v>
      </c>
      <c r="GQN32" s="28">
        <f t="shared" si="165"/>
        <v>0</v>
      </c>
      <c r="GQO32" s="28">
        <f t="shared" si="165"/>
        <v>0</v>
      </c>
      <c r="GQP32" s="28">
        <f t="shared" si="165"/>
        <v>0</v>
      </c>
      <c r="GQQ32" s="28">
        <f t="shared" si="165"/>
        <v>0</v>
      </c>
      <c r="GQR32" s="28">
        <f t="shared" si="165"/>
        <v>0</v>
      </c>
      <c r="GQS32" s="28">
        <f t="shared" ref="GQS32:GTD32" si="166">IFERROR(GQS31/GQS$4,0)</f>
        <v>0</v>
      </c>
      <c r="GQT32" s="28">
        <f t="shared" si="166"/>
        <v>0</v>
      </c>
      <c r="GQU32" s="28">
        <f t="shared" si="166"/>
        <v>0</v>
      </c>
      <c r="GQV32" s="28">
        <f t="shared" si="166"/>
        <v>0</v>
      </c>
      <c r="GQW32" s="28">
        <f t="shared" si="166"/>
        <v>0</v>
      </c>
      <c r="GQX32" s="28">
        <f t="shared" si="166"/>
        <v>0</v>
      </c>
      <c r="GQY32" s="28">
        <f t="shared" si="166"/>
        <v>0</v>
      </c>
      <c r="GQZ32" s="28">
        <f t="shared" si="166"/>
        <v>0</v>
      </c>
      <c r="GRA32" s="28">
        <f t="shared" si="166"/>
        <v>0</v>
      </c>
      <c r="GRB32" s="28">
        <f t="shared" si="166"/>
        <v>0</v>
      </c>
      <c r="GRC32" s="28">
        <f t="shared" si="166"/>
        <v>0</v>
      </c>
      <c r="GRD32" s="28">
        <f t="shared" si="166"/>
        <v>0</v>
      </c>
      <c r="GRE32" s="28">
        <f t="shared" si="166"/>
        <v>0</v>
      </c>
      <c r="GRF32" s="28">
        <f t="shared" si="166"/>
        <v>0</v>
      </c>
      <c r="GRG32" s="28">
        <f t="shared" si="166"/>
        <v>0</v>
      </c>
      <c r="GRH32" s="28">
        <f t="shared" si="166"/>
        <v>0</v>
      </c>
      <c r="GRI32" s="28">
        <f t="shared" si="166"/>
        <v>0</v>
      </c>
      <c r="GRJ32" s="28">
        <f t="shared" si="166"/>
        <v>0</v>
      </c>
      <c r="GRK32" s="28">
        <f t="shared" si="166"/>
        <v>0</v>
      </c>
      <c r="GRL32" s="28">
        <f t="shared" si="166"/>
        <v>0</v>
      </c>
      <c r="GRM32" s="28">
        <f t="shared" si="166"/>
        <v>0</v>
      </c>
      <c r="GRN32" s="28">
        <f t="shared" si="166"/>
        <v>0</v>
      </c>
      <c r="GRO32" s="28">
        <f t="shared" si="166"/>
        <v>0</v>
      </c>
      <c r="GRP32" s="28">
        <f t="shared" si="166"/>
        <v>0</v>
      </c>
      <c r="GRQ32" s="28">
        <f t="shared" si="166"/>
        <v>0</v>
      </c>
      <c r="GRR32" s="28">
        <f t="shared" si="166"/>
        <v>0</v>
      </c>
      <c r="GRS32" s="28">
        <f t="shared" si="166"/>
        <v>0</v>
      </c>
      <c r="GRT32" s="28">
        <f t="shared" si="166"/>
        <v>0</v>
      </c>
      <c r="GRU32" s="28">
        <f t="shared" si="166"/>
        <v>0</v>
      </c>
      <c r="GRV32" s="28">
        <f t="shared" si="166"/>
        <v>0</v>
      </c>
      <c r="GRW32" s="28">
        <f t="shared" si="166"/>
        <v>0</v>
      </c>
      <c r="GRX32" s="28">
        <f t="shared" si="166"/>
        <v>0</v>
      </c>
      <c r="GRY32" s="28">
        <f t="shared" si="166"/>
        <v>0</v>
      </c>
      <c r="GRZ32" s="28">
        <f t="shared" si="166"/>
        <v>0</v>
      </c>
      <c r="GSA32" s="28">
        <f t="shared" si="166"/>
        <v>0</v>
      </c>
      <c r="GSB32" s="28">
        <f t="shared" si="166"/>
        <v>0</v>
      </c>
      <c r="GSC32" s="28">
        <f t="shared" si="166"/>
        <v>0</v>
      </c>
      <c r="GSD32" s="28">
        <f t="shared" si="166"/>
        <v>0</v>
      </c>
      <c r="GSE32" s="28">
        <f t="shared" si="166"/>
        <v>0</v>
      </c>
      <c r="GSF32" s="28">
        <f t="shared" si="166"/>
        <v>0</v>
      </c>
      <c r="GSG32" s="28">
        <f t="shared" si="166"/>
        <v>0</v>
      </c>
      <c r="GSH32" s="28">
        <f t="shared" si="166"/>
        <v>0</v>
      </c>
      <c r="GSI32" s="28">
        <f t="shared" si="166"/>
        <v>0</v>
      </c>
      <c r="GSJ32" s="28">
        <f t="shared" si="166"/>
        <v>0</v>
      </c>
      <c r="GSK32" s="28">
        <f t="shared" si="166"/>
        <v>0</v>
      </c>
      <c r="GSL32" s="28">
        <f t="shared" si="166"/>
        <v>0</v>
      </c>
      <c r="GSM32" s="28">
        <f t="shared" si="166"/>
        <v>0</v>
      </c>
      <c r="GSN32" s="28">
        <f t="shared" si="166"/>
        <v>0</v>
      </c>
      <c r="GSO32" s="28">
        <f t="shared" si="166"/>
        <v>0</v>
      </c>
      <c r="GSP32" s="28">
        <f t="shared" si="166"/>
        <v>0</v>
      </c>
      <c r="GSQ32" s="28">
        <f t="shared" si="166"/>
        <v>0</v>
      </c>
      <c r="GSR32" s="28">
        <f t="shared" si="166"/>
        <v>0</v>
      </c>
      <c r="GSS32" s="28">
        <f t="shared" si="166"/>
        <v>0</v>
      </c>
      <c r="GST32" s="28">
        <f t="shared" si="166"/>
        <v>0</v>
      </c>
      <c r="GSU32" s="28">
        <f t="shared" si="166"/>
        <v>0</v>
      </c>
      <c r="GSV32" s="28">
        <f t="shared" si="166"/>
        <v>0</v>
      </c>
      <c r="GSW32" s="28">
        <f t="shared" si="166"/>
        <v>0</v>
      </c>
      <c r="GSX32" s="28">
        <f t="shared" si="166"/>
        <v>0</v>
      </c>
      <c r="GSY32" s="28">
        <f t="shared" si="166"/>
        <v>0</v>
      </c>
      <c r="GSZ32" s="28">
        <f t="shared" si="166"/>
        <v>0</v>
      </c>
      <c r="GTA32" s="28">
        <f t="shared" si="166"/>
        <v>0</v>
      </c>
      <c r="GTB32" s="28">
        <f t="shared" si="166"/>
        <v>0</v>
      </c>
      <c r="GTC32" s="28">
        <f t="shared" si="166"/>
        <v>0</v>
      </c>
      <c r="GTD32" s="28">
        <f t="shared" si="166"/>
        <v>0</v>
      </c>
      <c r="GTE32" s="28">
        <f t="shared" ref="GTE32:GVP32" si="167">IFERROR(GTE31/GTE$4,0)</f>
        <v>0</v>
      </c>
      <c r="GTF32" s="28">
        <f t="shared" si="167"/>
        <v>0</v>
      </c>
      <c r="GTG32" s="28">
        <f t="shared" si="167"/>
        <v>0</v>
      </c>
      <c r="GTH32" s="28">
        <f t="shared" si="167"/>
        <v>0</v>
      </c>
      <c r="GTI32" s="28">
        <f t="shared" si="167"/>
        <v>0</v>
      </c>
      <c r="GTJ32" s="28">
        <f t="shared" si="167"/>
        <v>0</v>
      </c>
      <c r="GTK32" s="28">
        <f t="shared" si="167"/>
        <v>0</v>
      </c>
      <c r="GTL32" s="28">
        <f t="shared" si="167"/>
        <v>0</v>
      </c>
      <c r="GTM32" s="28">
        <f t="shared" si="167"/>
        <v>0</v>
      </c>
      <c r="GTN32" s="28">
        <f t="shared" si="167"/>
        <v>0</v>
      </c>
      <c r="GTO32" s="28">
        <f t="shared" si="167"/>
        <v>0</v>
      </c>
      <c r="GTP32" s="28">
        <f t="shared" si="167"/>
        <v>0</v>
      </c>
      <c r="GTQ32" s="28">
        <f t="shared" si="167"/>
        <v>0</v>
      </c>
      <c r="GTR32" s="28">
        <f t="shared" si="167"/>
        <v>0</v>
      </c>
      <c r="GTS32" s="28">
        <f t="shared" si="167"/>
        <v>0</v>
      </c>
      <c r="GTT32" s="28">
        <f t="shared" si="167"/>
        <v>0</v>
      </c>
      <c r="GTU32" s="28">
        <f t="shared" si="167"/>
        <v>0</v>
      </c>
      <c r="GTV32" s="28">
        <f t="shared" si="167"/>
        <v>0</v>
      </c>
      <c r="GTW32" s="28">
        <f t="shared" si="167"/>
        <v>0</v>
      </c>
      <c r="GTX32" s="28">
        <f t="shared" si="167"/>
        <v>0</v>
      </c>
      <c r="GTY32" s="28">
        <f t="shared" si="167"/>
        <v>0</v>
      </c>
      <c r="GTZ32" s="28">
        <f t="shared" si="167"/>
        <v>0</v>
      </c>
      <c r="GUA32" s="28">
        <f t="shared" si="167"/>
        <v>0</v>
      </c>
      <c r="GUB32" s="28">
        <f t="shared" si="167"/>
        <v>0</v>
      </c>
      <c r="GUC32" s="28">
        <f t="shared" si="167"/>
        <v>0</v>
      </c>
      <c r="GUD32" s="28">
        <f t="shared" si="167"/>
        <v>0</v>
      </c>
      <c r="GUE32" s="28">
        <f t="shared" si="167"/>
        <v>0</v>
      </c>
      <c r="GUF32" s="28">
        <f t="shared" si="167"/>
        <v>0</v>
      </c>
      <c r="GUG32" s="28">
        <f t="shared" si="167"/>
        <v>0</v>
      </c>
      <c r="GUH32" s="28">
        <f t="shared" si="167"/>
        <v>0</v>
      </c>
      <c r="GUI32" s="28">
        <f t="shared" si="167"/>
        <v>0</v>
      </c>
      <c r="GUJ32" s="28">
        <f t="shared" si="167"/>
        <v>0</v>
      </c>
      <c r="GUK32" s="28">
        <f t="shared" si="167"/>
        <v>0</v>
      </c>
      <c r="GUL32" s="28">
        <f t="shared" si="167"/>
        <v>0</v>
      </c>
      <c r="GUM32" s="28">
        <f t="shared" si="167"/>
        <v>0</v>
      </c>
      <c r="GUN32" s="28">
        <f t="shared" si="167"/>
        <v>0</v>
      </c>
      <c r="GUO32" s="28">
        <f t="shared" si="167"/>
        <v>0</v>
      </c>
      <c r="GUP32" s="28">
        <f t="shared" si="167"/>
        <v>0</v>
      </c>
      <c r="GUQ32" s="28">
        <f t="shared" si="167"/>
        <v>0</v>
      </c>
      <c r="GUR32" s="28">
        <f t="shared" si="167"/>
        <v>0</v>
      </c>
      <c r="GUS32" s="28">
        <f t="shared" si="167"/>
        <v>0</v>
      </c>
      <c r="GUT32" s="28">
        <f t="shared" si="167"/>
        <v>0</v>
      </c>
      <c r="GUU32" s="28">
        <f t="shared" si="167"/>
        <v>0</v>
      </c>
      <c r="GUV32" s="28">
        <f t="shared" si="167"/>
        <v>0</v>
      </c>
      <c r="GUW32" s="28">
        <f t="shared" si="167"/>
        <v>0</v>
      </c>
      <c r="GUX32" s="28">
        <f t="shared" si="167"/>
        <v>0</v>
      </c>
      <c r="GUY32" s="28">
        <f t="shared" si="167"/>
        <v>0</v>
      </c>
      <c r="GUZ32" s="28">
        <f t="shared" si="167"/>
        <v>0</v>
      </c>
      <c r="GVA32" s="28">
        <f t="shared" si="167"/>
        <v>0</v>
      </c>
      <c r="GVB32" s="28">
        <f t="shared" si="167"/>
        <v>0</v>
      </c>
      <c r="GVC32" s="28">
        <f t="shared" si="167"/>
        <v>0</v>
      </c>
      <c r="GVD32" s="28">
        <f t="shared" si="167"/>
        <v>0</v>
      </c>
      <c r="GVE32" s="28">
        <f t="shared" si="167"/>
        <v>0</v>
      </c>
      <c r="GVF32" s="28">
        <f t="shared" si="167"/>
        <v>0</v>
      </c>
      <c r="GVG32" s="28">
        <f t="shared" si="167"/>
        <v>0</v>
      </c>
      <c r="GVH32" s="28">
        <f t="shared" si="167"/>
        <v>0</v>
      </c>
      <c r="GVI32" s="28">
        <f t="shared" si="167"/>
        <v>0</v>
      </c>
      <c r="GVJ32" s="28">
        <f t="shared" si="167"/>
        <v>0</v>
      </c>
      <c r="GVK32" s="28">
        <f t="shared" si="167"/>
        <v>0</v>
      </c>
      <c r="GVL32" s="28">
        <f t="shared" si="167"/>
        <v>0</v>
      </c>
      <c r="GVM32" s="28">
        <f t="shared" si="167"/>
        <v>0</v>
      </c>
      <c r="GVN32" s="28">
        <f t="shared" si="167"/>
        <v>0</v>
      </c>
      <c r="GVO32" s="28">
        <f t="shared" si="167"/>
        <v>0</v>
      </c>
      <c r="GVP32" s="28">
        <f t="shared" si="167"/>
        <v>0</v>
      </c>
      <c r="GVQ32" s="28">
        <f t="shared" ref="GVQ32:GYB32" si="168">IFERROR(GVQ31/GVQ$4,0)</f>
        <v>0</v>
      </c>
      <c r="GVR32" s="28">
        <f t="shared" si="168"/>
        <v>0</v>
      </c>
      <c r="GVS32" s="28">
        <f t="shared" si="168"/>
        <v>0</v>
      </c>
      <c r="GVT32" s="28">
        <f t="shared" si="168"/>
        <v>0</v>
      </c>
      <c r="GVU32" s="28">
        <f t="shared" si="168"/>
        <v>0</v>
      </c>
      <c r="GVV32" s="28">
        <f t="shared" si="168"/>
        <v>0</v>
      </c>
      <c r="GVW32" s="28">
        <f t="shared" si="168"/>
        <v>0</v>
      </c>
      <c r="GVX32" s="28">
        <f t="shared" si="168"/>
        <v>0</v>
      </c>
      <c r="GVY32" s="28">
        <f t="shared" si="168"/>
        <v>0</v>
      </c>
      <c r="GVZ32" s="28">
        <f t="shared" si="168"/>
        <v>0</v>
      </c>
      <c r="GWA32" s="28">
        <f t="shared" si="168"/>
        <v>0</v>
      </c>
      <c r="GWB32" s="28">
        <f t="shared" si="168"/>
        <v>0</v>
      </c>
      <c r="GWC32" s="28">
        <f t="shared" si="168"/>
        <v>0</v>
      </c>
      <c r="GWD32" s="28">
        <f t="shared" si="168"/>
        <v>0</v>
      </c>
      <c r="GWE32" s="28">
        <f t="shared" si="168"/>
        <v>0</v>
      </c>
      <c r="GWF32" s="28">
        <f t="shared" si="168"/>
        <v>0</v>
      </c>
      <c r="GWG32" s="28">
        <f t="shared" si="168"/>
        <v>0</v>
      </c>
      <c r="GWH32" s="28">
        <f t="shared" si="168"/>
        <v>0</v>
      </c>
      <c r="GWI32" s="28">
        <f t="shared" si="168"/>
        <v>0</v>
      </c>
      <c r="GWJ32" s="28">
        <f t="shared" si="168"/>
        <v>0</v>
      </c>
      <c r="GWK32" s="28">
        <f t="shared" si="168"/>
        <v>0</v>
      </c>
      <c r="GWL32" s="28">
        <f t="shared" si="168"/>
        <v>0</v>
      </c>
      <c r="GWM32" s="28">
        <f t="shared" si="168"/>
        <v>0</v>
      </c>
      <c r="GWN32" s="28">
        <f t="shared" si="168"/>
        <v>0</v>
      </c>
      <c r="GWO32" s="28">
        <f t="shared" si="168"/>
        <v>0</v>
      </c>
      <c r="GWP32" s="28">
        <f t="shared" si="168"/>
        <v>0</v>
      </c>
      <c r="GWQ32" s="28">
        <f t="shared" si="168"/>
        <v>0</v>
      </c>
      <c r="GWR32" s="28">
        <f t="shared" si="168"/>
        <v>0</v>
      </c>
      <c r="GWS32" s="28">
        <f t="shared" si="168"/>
        <v>0</v>
      </c>
      <c r="GWT32" s="28">
        <f t="shared" si="168"/>
        <v>0</v>
      </c>
      <c r="GWU32" s="28">
        <f t="shared" si="168"/>
        <v>0</v>
      </c>
      <c r="GWV32" s="28">
        <f t="shared" si="168"/>
        <v>0</v>
      </c>
      <c r="GWW32" s="28">
        <f t="shared" si="168"/>
        <v>0</v>
      </c>
      <c r="GWX32" s="28">
        <f t="shared" si="168"/>
        <v>0</v>
      </c>
      <c r="GWY32" s="28">
        <f t="shared" si="168"/>
        <v>0</v>
      </c>
      <c r="GWZ32" s="28">
        <f t="shared" si="168"/>
        <v>0</v>
      </c>
      <c r="GXA32" s="28">
        <f t="shared" si="168"/>
        <v>0</v>
      </c>
      <c r="GXB32" s="28">
        <f t="shared" si="168"/>
        <v>0</v>
      </c>
      <c r="GXC32" s="28">
        <f t="shared" si="168"/>
        <v>0</v>
      </c>
      <c r="GXD32" s="28">
        <f t="shared" si="168"/>
        <v>0</v>
      </c>
      <c r="GXE32" s="28">
        <f t="shared" si="168"/>
        <v>0</v>
      </c>
      <c r="GXF32" s="28">
        <f t="shared" si="168"/>
        <v>0</v>
      </c>
      <c r="GXG32" s="28">
        <f t="shared" si="168"/>
        <v>0</v>
      </c>
      <c r="GXH32" s="28">
        <f t="shared" si="168"/>
        <v>0</v>
      </c>
      <c r="GXI32" s="28">
        <f t="shared" si="168"/>
        <v>0</v>
      </c>
      <c r="GXJ32" s="28">
        <f t="shared" si="168"/>
        <v>0</v>
      </c>
      <c r="GXK32" s="28">
        <f t="shared" si="168"/>
        <v>0</v>
      </c>
      <c r="GXL32" s="28">
        <f t="shared" si="168"/>
        <v>0</v>
      </c>
      <c r="GXM32" s="28">
        <f t="shared" si="168"/>
        <v>0</v>
      </c>
      <c r="GXN32" s="28">
        <f t="shared" si="168"/>
        <v>0</v>
      </c>
      <c r="GXO32" s="28">
        <f t="shared" si="168"/>
        <v>0</v>
      </c>
      <c r="GXP32" s="28">
        <f t="shared" si="168"/>
        <v>0</v>
      </c>
      <c r="GXQ32" s="28">
        <f t="shared" si="168"/>
        <v>0</v>
      </c>
      <c r="GXR32" s="28">
        <f t="shared" si="168"/>
        <v>0</v>
      </c>
      <c r="GXS32" s="28">
        <f t="shared" si="168"/>
        <v>0</v>
      </c>
      <c r="GXT32" s="28">
        <f t="shared" si="168"/>
        <v>0</v>
      </c>
      <c r="GXU32" s="28">
        <f t="shared" si="168"/>
        <v>0</v>
      </c>
      <c r="GXV32" s="28">
        <f t="shared" si="168"/>
        <v>0</v>
      </c>
      <c r="GXW32" s="28">
        <f t="shared" si="168"/>
        <v>0</v>
      </c>
      <c r="GXX32" s="28">
        <f t="shared" si="168"/>
        <v>0</v>
      </c>
      <c r="GXY32" s="28">
        <f t="shared" si="168"/>
        <v>0</v>
      </c>
      <c r="GXZ32" s="28">
        <f t="shared" si="168"/>
        <v>0</v>
      </c>
      <c r="GYA32" s="28">
        <f t="shared" si="168"/>
        <v>0</v>
      </c>
      <c r="GYB32" s="28">
        <f t="shared" si="168"/>
        <v>0</v>
      </c>
      <c r="GYC32" s="28">
        <f t="shared" ref="GYC32:HAN32" si="169">IFERROR(GYC31/GYC$4,0)</f>
        <v>0</v>
      </c>
      <c r="GYD32" s="28">
        <f t="shared" si="169"/>
        <v>0</v>
      </c>
      <c r="GYE32" s="28">
        <f t="shared" si="169"/>
        <v>0</v>
      </c>
      <c r="GYF32" s="28">
        <f t="shared" si="169"/>
        <v>0</v>
      </c>
      <c r="GYG32" s="28">
        <f t="shared" si="169"/>
        <v>0</v>
      </c>
      <c r="GYH32" s="28">
        <f t="shared" si="169"/>
        <v>0</v>
      </c>
      <c r="GYI32" s="28">
        <f t="shared" si="169"/>
        <v>0</v>
      </c>
      <c r="GYJ32" s="28">
        <f t="shared" si="169"/>
        <v>0</v>
      </c>
      <c r="GYK32" s="28">
        <f t="shared" si="169"/>
        <v>0</v>
      </c>
      <c r="GYL32" s="28">
        <f t="shared" si="169"/>
        <v>0</v>
      </c>
      <c r="GYM32" s="28">
        <f t="shared" si="169"/>
        <v>0</v>
      </c>
      <c r="GYN32" s="28">
        <f t="shared" si="169"/>
        <v>0</v>
      </c>
      <c r="GYO32" s="28">
        <f t="shared" si="169"/>
        <v>0</v>
      </c>
      <c r="GYP32" s="28">
        <f t="shared" si="169"/>
        <v>0</v>
      </c>
      <c r="GYQ32" s="28">
        <f t="shared" si="169"/>
        <v>0</v>
      </c>
      <c r="GYR32" s="28">
        <f t="shared" si="169"/>
        <v>0</v>
      </c>
      <c r="GYS32" s="28">
        <f t="shared" si="169"/>
        <v>0</v>
      </c>
      <c r="GYT32" s="28">
        <f t="shared" si="169"/>
        <v>0</v>
      </c>
      <c r="GYU32" s="28">
        <f t="shared" si="169"/>
        <v>0</v>
      </c>
      <c r="GYV32" s="28">
        <f t="shared" si="169"/>
        <v>0</v>
      </c>
      <c r="GYW32" s="28">
        <f t="shared" si="169"/>
        <v>0</v>
      </c>
      <c r="GYX32" s="28">
        <f t="shared" si="169"/>
        <v>0</v>
      </c>
      <c r="GYY32" s="28">
        <f t="shared" si="169"/>
        <v>0</v>
      </c>
      <c r="GYZ32" s="28">
        <f t="shared" si="169"/>
        <v>0</v>
      </c>
      <c r="GZA32" s="28">
        <f t="shared" si="169"/>
        <v>0</v>
      </c>
      <c r="GZB32" s="28">
        <f t="shared" si="169"/>
        <v>0</v>
      </c>
      <c r="GZC32" s="28">
        <f t="shared" si="169"/>
        <v>0</v>
      </c>
      <c r="GZD32" s="28">
        <f t="shared" si="169"/>
        <v>0</v>
      </c>
      <c r="GZE32" s="28">
        <f t="shared" si="169"/>
        <v>0</v>
      </c>
      <c r="GZF32" s="28">
        <f t="shared" si="169"/>
        <v>0</v>
      </c>
      <c r="GZG32" s="28">
        <f t="shared" si="169"/>
        <v>0</v>
      </c>
      <c r="GZH32" s="28">
        <f t="shared" si="169"/>
        <v>0</v>
      </c>
      <c r="GZI32" s="28">
        <f t="shared" si="169"/>
        <v>0</v>
      </c>
      <c r="GZJ32" s="28">
        <f t="shared" si="169"/>
        <v>0</v>
      </c>
      <c r="GZK32" s="28">
        <f t="shared" si="169"/>
        <v>0</v>
      </c>
      <c r="GZL32" s="28">
        <f t="shared" si="169"/>
        <v>0</v>
      </c>
      <c r="GZM32" s="28">
        <f t="shared" si="169"/>
        <v>0</v>
      </c>
      <c r="GZN32" s="28">
        <f t="shared" si="169"/>
        <v>0</v>
      </c>
      <c r="GZO32" s="28">
        <f t="shared" si="169"/>
        <v>0</v>
      </c>
      <c r="GZP32" s="28">
        <f t="shared" si="169"/>
        <v>0</v>
      </c>
      <c r="GZQ32" s="28">
        <f t="shared" si="169"/>
        <v>0</v>
      </c>
      <c r="GZR32" s="28">
        <f t="shared" si="169"/>
        <v>0</v>
      </c>
      <c r="GZS32" s="28">
        <f t="shared" si="169"/>
        <v>0</v>
      </c>
      <c r="GZT32" s="28">
        <f t="shared" si="169"/>
        <v>0</v>
      </c>
      <c r="GZU32" s="28">
        <f t="shared" si="169"/>
        <v>0</v>
      </c>
      <c r="GZV32" s="28">
        <f t="shared" si="169"/>
        <v>0</v>
      </c>
      <c r="GZW32" s="28">
        <f t="shared" si="169"/>
        <v>0</v>
      </c>
      <c r="GZX32" s="28">
        <f t="shared" si="169"/>
        <v>0</v>
      </c>
      <c r="GZY32" s="28">
        <f t="shared" si="169"/>
        <v>0</v>
      </c>
      <c r="GZZ32" s="28">
        <f t="shared" si="169"/>
        <v>0</v>
      </c>
      <c r="HAA32" s="28">
        <f t="shared" si="169"/>
        <v>0</v>
      </c>
      <c r="HAB32" s="28">
        <f t="shared" si="169"/>
        <v>0</v>
      </c>
      <c r="HAC32" s="28">
        <f t="shared" si="169"/>
        <v>0</v>
      </c>
      <c r="HAD32" s="28">
        <f t="shared" si="169"/>
        <v>0</v>
      </c>
      <c r="HAE32" s="28">
        <f t="shared" si="169"/>
        <v>0</v>
      </c>
      <c r="HAF32" s="28">
        <f t="shared" si="169"/>
        <v>0</v>
      </c>
      <c r="HAG32" s="28">
        <f t="shared" si="169"/>
        <v>0</v>
      </c>
      <c r="HAH32" s="28">
        <f t="shared" si="169"/>
        <v>0</v>
      </c>
      <c r="HAI32" s="28">
        <f t="shared" si="169"/>
        <v>0</v>
      </c>
      <c r="HAJ32" s="28">
        <f t="shared" si="169"/>
        <v>0</v>
      </c>
      <c r="HAK32" s="28">
        <f t="shared" si="169"/>
        <v>0</v>
      </c>
      <c r="HAL32" s="28">
        <f t="shared" si="169"/>
        <v>0</v>
      </c>
      <c r="HAM32" s="28">
        <f t="shared" si="169"/>
        <v>0</v>
      </c>
      <c r="HAN32" s="28">
        <f t="shared" si="169"/>
        <v>0</v>
      </c>
      <c r="HAO32" s="28">
        <f t="shared" ref="HAO32:HCZ32" si="170">IFERROR(HAO31/HAO$4,0)</f>
        <v>0</v>
      </c>
      <c r="HAP32" s="28">
        <f t="shared" si="170"/>
        <v>0</v>
      </c>
      <c r="HAQ32" s="28">
        <f t="shared" si="170"/>
        <v>0</v>
      </c>
      <c r="HAR32" s="28">
        <f t="shared" si="170"/>
        <v>0</v>
      </c>
      <c r="HAS32" s="28">
        <f t="shared" si="170"/>
        <v>0</v>
      </c>
      <c r="HAT32" s="28">
        <f t="shared" si="170"/>
        <v>0</v>
      </c>
      <c r="HAU32" s="28">
        <f t="shared" si="170"/>
        <v>0</v>
      </c>
      <c r="HAV32" s="28">
        <f t="shared" si="170"/>
        <v>0</v>
      </c>
      <c r="HAW32" s="28">
        <f t="shared" si="170"/>
        <v>0</v>
      </c>
      <c r="HAX32" s="28">
        <f t="shared" si="170"/>
        <v>0</v>
      </c>
      <c r="HAY32" s="28">
        <f t="shared" si="170"/>
        <v>0</v>
      </c>
      <c r="HAZ32" s="28">
        <f t="shared" si="170"/>
        <v>0</v>
      </c>
      <c r="HBA32" s="28">
        <f t="shared" si="170"/>
        <v>0</v>
      </c>
      <c r="HBB32" s="28">
        <f t="shared" si="170"/>
        <v>0</v>
      </c>
      <c r="HBC32" s="28">
        <f t="shared" si="170"/>
        <v>0</v>
      </c>
      <c r="HBD32" s="28">
        <f t="shared" si="170"/>
        <v>0</v>
      </c>
      <c r="HBE32" s="28">
        <f t="shared" si="170"/>
        <v>0</v>
      </c>
      <c r="HBF32" s="28">
        <f t="shared" si="170"/>
        <v>0</v>
      </c>
      <c r="HBG32" s="28">
        <f t="shared" si="170"/>
        <v>0</v>
      </c>
      <c r="HBH32" s="28">
        <f t="shared" si="170"/>
        <v>0</v>
      </c>
      <c r="HBI32" s="28">
        <f t="shared" si="170"/>
        <v>0</v>
      </c>
      <c r="HBJ32" s="28">
        <f t="shared" si="170"/>
        <v>0</v>
      </c>
      <c r="HBK32" s="28">
        <f t="shared" si="170"/>
        <v>0</v>
      </c>
      <c r="HBL32" s="28">
        <f t="shared" si="170"/>
        <v>0</v>
      </c>
      <c r="HBM32" s="28">
        <f t="shared" si="170"/>
        <v>0</v>
      </c>
      <c r="HBN32" s="28">
        <f t="shared" si="170"/>
        <v>0</v>
      </c>
      <c r="HBO32" s="28">
        <f t="shared" si="170"/>
        <v>0</v>
      </c>
      <c r="HBP32" s="28">
        <f t="shared" si="170"/>
        <v>0</v>
      </c>
      <c r="HBQ32" s="28">
        <f t="shared" si="170"/>
        <v>0</v>
      </c>
      <c r="HBR32" s="28">
        <f t="shared" si="170"/>
        <v>0</v>
      </c>
      <c r="HBS32" s="28">
        <f t="shared" si="170"/>
        <v>0</v>
      </c>
      <c r="HBT32" s="28">
        <f t="shared" si="170"/>
        <v>0</v>
      </c>
      <c r="HBU32" s="28">
        <f t="shared" si="170"/>
        <v>0</v>
      </c>
      <c r="HBV32" s="28">
        <f t="shared" si="170"/>
        <v>0</v>
      </c>
      <c r="HBW32" s="28">
        <f t="shared" si="170"/>
        <v>0</v>
      </c>
      <c r="HBX32" s="28">
        <f t="shared" si="170"/>
        <v>0</v>
      </c>
      <c r="HBY32" s="28">
        <f t="shared" si="170"/>
        <v>0</v>
      </c>
      <c r="HBZ32" s="28">
        <f t="shared" si="170"/>
        <v>0</v>
      </c>
      <c r="HCA32" s="28">
        <f t="shared" si="170"/>
        <v>0</v>
      </c>
      <c r="HCB32" s="28">
        <f t="shared" si="170"/>
        <v>0</v>
      </c>
      <c r="HCC32" s="28">
        <f t="shared" si="170"/>
        <v>0</v>
      </c>
      <c r="HCD32" s="28">
        <f t="shared" si="170"/>
        <v>0</v>
      </c>
      <c r="HCE32" s="28">
        <f t="shared" si="170"/>
        <v>0</v>
      </c>
      <c r="HCF32" s="28">
        <f t="shared" si="170"/>
        <v>0</v>
      </c>
      <c r="HCG32" s="28">
        <f t="shared" si="170"/>
        <v>0</v>
      </c>
      <c r="HCH32" s="28">
        <f t="shared" si="170"/>
        <v>0</v>
      </c>
      <c r="HCI32" s="28">
        <f t="shared" si="170"/>
        <v>0</v>
      </c>
      <c r="HCJ32" s="28">
        <f t="shared" si="170"/>
        <v>0</v>
      </c>
      <c r="HCK32" s="28">
        <f t="shared" si="170"/>
        <v>0</v>
      </c>
      <c r="HCL32" s="28">
        <f t="shared" si="170"/>
        <v>0</v>
      </c>
      <c r="HCM32" s="28">
        <f t="shared" si="170"/>
        <v>0</v>
      </c>
      <c r="HCN32" s="28">
        <f t="shared" si="170"/>
        <v>0</v>
      </c>
      <c r="HCO32" s="28">
        <f t="shared" si="170"/>
        <v>0</v>
      </c>
      <c r="HCP32" s="28">
        <f t="shared" si="170"/>
        <v>0</v>
      </c>
      <c r="HCQ32" s="28">
        <f t="shared" si="170"/>
        <v>0</v>
      </c>
      <c r="HCR32" s="28">
        <f t="shared" si="170"/>
        <v>0</v>
      </c>
      <c r="HCS32" s="28">
        <f t="shared" si="170"/>
        <v>0</v>
      </c>
      <c r="HCT32" s="28">
        <f t="shared" si="170"/>
        <v>0</v>
      </c>
      <c r="HCU32" s="28">
        <f t="shared" si="170"/>
        <v>0</v>
      </c>
      <c r="HCV32" s="28">
        <f t="shared" si="170"/>
        <v>0</v>
      </c>
      <c r="HCW32" s="28">
        <f t="shared" si="170"/>
        <v>0</v>
      </c>
      <c r="HCX32" s="28">
        <f t="shared" si="170"/>
        <v>0</v>
      </c>
      <c r="HCY32" s="28">
        <f t="shared" si="170"/>
        <v>0</v>
      </c>
      <c r="HCZ32" s="28">
        <f t="shared" si="170"/>
        <v>0</v>
      </c>
      <c r="HDA32" s="28">
        <f t="shared" ref="HDA32:HFL32" si="171">IFERROR(HDA31/HDA$4,0)</f>
        <v>0</v>
      </c>
      <c r="HDB32" s="28">
        <f t="shared" si="171"/>
        <v>0</v>
      </c>
      <c r="HDC32" s="28">
        <f t="shared" si="171"/>
        <v>0</v>
      </c>
      <c r="HDD32" s="28">
        <f t="shared" si="171"/>
        <v>0</v>
      </c>
      <c r="HDE32" s="28">
        <f t="shared" si="171"/>
        <v>0</v>
      </c>
      <c r="HDF32" s="28">
        <f t="shared" si="171"/>
        <v>0</v>
      </c>
      <c r="HDG32" s="28">
        <f t="shared" si="171"/>
        <v>0</v>
      </c>
      <c r="HDH32" s="28">
        <f t="shared" si="171"/>
        <v>0</v>
      </c>
      <c r="HDI32" s="28">
        <f t="shared" si="171"/>
        <v>0</v>
      </c>
      <c r="HDJ32" s="28">
        <f t="shared" si="171"/>
        <v>0</v>
      </c>
      <c r="HDK32" s="28">
        <f t="shared" si="171"/>
        <v>0</v>
      </c>
      <c r="HDL32" s="28">
        <f t="shared" si="171"/>
        <v>0</v>
      </c>
      <c r="HDM32" s="28">
        <f t="shared" si="171"/>
        <v>0</v>
      </c>
      <c r="HDN32" s="28">
        <f t="shared" si="171"/>
        <v>0</v>
      </c>
      <c r="HDO32" s="28">
        <f t="shared" si="171"/>
        <v>0</v>
      </c>
      <c r="HDP32" s="28">
        <f t="shared" si="171"/>
        <v>0</v>
      </c>
      <c r="HDQ32" s="28">
        <f t="shared" si="171"/>
        <v>0</v>
      </c>
      <c r="HDR32" s="28">
        <f t="shared" si="171"/>
        <v>0</v>
      </c>
      <c r="HDS32" s="28">
        <f t="shared" si="171"/>
        <v>0</v>
      </c>
      <c r="HDT32" s="28">
        <f t="shared" si="171"/>
        <v>0</v>
      </c>
      <c r="HDU32" s="28">
        <f t="shared" si="171"/>
        <v>0</v>
      </c>
      <c r="HDV32" s="28">
        <f t="shared" si="171"/>
        <v>0</v>
      </c>
      <c r="HDW32" s="28">
        <f t="shared" si="171"/>
        <v>0</v>
      </c>
      <c r="HDX32" s="28">
        <f t="shared" si="171"/>
        <v>0</v>
      </c>
      <c r="HDY32" s="28">
        <f t="shared" si="171"/>
        <v>0</v>
      </c>
      <c r="HDZ32" s="28">
        <f t="shared" si="171"/>
        <v>0</v>
      </c>
      <c r="HEA32" s="28">
        <f t="shared" si="171"/>
        <v>0</v>
      </c>
      <c r="HEB32" s="28">
        <f t="shared" si="171"/>
        <v>0</v>
      </c>
      <c r="HEC32" s="28">
        <f t="shared" si="171"/>
        <v>0</v>
      </c>
      <c r="HED32" s="28">
        <f t="shared" si="171"/>
        <v>0</v>
      </c>
      <c r="HEE32" s="28">
        <f t="shared" si="171"/>
        <v>0</v>
      </c>
      <c r="HEF32" s="28">
        <f t="shared" si="171"/>
        <v>0</v>
      </c>
      <c r="HEG32" s="28">
        <f t="shared" si="171"/>
        <v>0</v>
      </c>
      <c r="HEH32" s="28">
        <f t="shared" si="171"/>
        <v>0</v>
      </c>
      <c r="HEI32" s="28">
        <f t="shared" si="171"/>
        <v>0</v>
      </c>
      <c r="HEJ32" s="28">
        <f t="shared" si="171"/>
        <v>0</v>
      </c>
      <c r="HEK32" s="28">
        <f t="shared" si="171"/>
        <v>0</v>
      </c>
      <c r="HEL32" s="28">
        <f t="shared" si="171"/>
        <v>0</v>
      </c>
      <c r="HEM32" s="28">
        <f t="shared" si="171"/>
        <v>0</v>
      </c>
      <c r="HEN32" s="28">
        <f t="shared" si="171"/>
        <v>0</v>
      </c>
      <c r="HEO32" s="28">
        <f t="shared" si="171"/>
        <v>0</v>
      </c>
      <c r="HEP32" s="28">
        <f t="shared" si="171"/>
        <v>0</v>
      </c>
      <c r="HEQ32" s="28">
        <f t="shared" si="171"/>
        <v>0</v>
      </c>
      <c r="HER32" s="28">
        <f t="shared" si="171"/>
        <v>0</v>
      </c>
      <c r="HES32" s="28">
        <f t="shared" si="171"/>
        <v>0</v>
      </c>
      <c r="HET32" s="28">
        <f t="shared" si="171"/>
        <v>0</v>
      </c>
      <c r="HEU32" s="28">
        <f t="shared" si="171"/>
        <v>0</v>
      </c>
      <c r="HEV32" s="28">
        <f t="shared" si="171"/>
        <v>0</v>
      </c>
      <c r="HEW32" s="28">
        <f t="shared" si="171"/>
        <v>0</v>
      </c>
      <c r="HEX32" s="28">
        <f t="shared" si="171"/>
        <v>0</v>
      </c>
      <c r="HEY32" s="28">
        <f t="shared" si="171"/>
        <v>0</v>
      </c>
      <c r="HEZ32" s="28">
        <f t="shared" si="171"/>
        <v>0</v>
      </c>
      <c r="HFA32" s="28">
        <f t="shared" si="171"/>
        <v>0</v>
      </c>
      <c r="HFB32" s="28">
        <f t="shared" si="171"/>
        <v>0</v>
      </c>
      <c r="HFC32" s="28">
        <f t="shared" si="171"/>
        <v>0</v>
      </c>
      <c r="HFD32" s="28">
        <f t="shared" si="171"/>
        <v>0</v>
      </c>
      <c r="HFE32" s="28">
        <f t="shared" si="171"/>
        <v>0</v>
      </c>
      <c r="HFF32" s="28">
        <f t="shared" si="171"/>
        <v>0</v>
      </c>
      <c r="HFG32" s="28">
        <f t="shared" si="171"/>
        <v>0</v>
      </c>
      <c r="HFH32" s="28">
        <f t="shared" si="171"/>
        <v>0</v>
      </c>
      <c r="HFI32" s="28">
        <f t="shared" si="171"/>
        <v>0</v>
      </c>
      <c r="HFJ32" s="28">
        <f t="shared" si="171"/>
        <v>0</v>
      </c>
      <c r="HFK32" s="28">
        <f t="shared" si="171"/>
        <v>0</v>
      </c>
      <c r="HFL32" s="28">
        <f t="shared" si="171"/>
        <v>0</v>
      </c>
      <c r="HFM32" s="28">
        <f t="shared" ref="HFM32:HHX32" si="172">IFERROR(HFM31/HFM$4,0)</f>
        <v>0</v>
      </c>
      <c r="HFN32" s="28">
        <f t="shared" si="172"/>
        <v>0</v>
      </c>
      <c r="HFO32" s="28">
        <f t="shared" si="172"/>
        <v>0</v>
      </c>
      <c r="HFP32" s="28">
        <f t="shared" si="172"/>
        <v>0</v>
      </c>
      <c r="HFQ32" s="28">
        <f t="shared" si="172"/>
        <v>0</v>
      </c>
      <c r="HFR32" s="28">
        <f t="shared" si="172"/>
        <v>0</v>
      </c>
      <c r="HFS32" s="28">
        <f t="shared" si="172"/>
        <v>0</v>
      </c>
      <c r="HFT32" s="28">
        <f t="shared" si="172"/>
        <v>0</v>
      </c>
      <c r="HFU32" s="28">
        <f t="shared" si="172"/>
        <v>0</v>
      </c>
      <c r="HFV32" s="28">
        <f t="shared" si="172"/>
        <v>0</v>
      </c>
      <c r="HFW32" s="28">
        <f t="shared" si="172"/>
        <v>0</v>
      </c>
      <c r="HFX32" s="28">
        <f t="shared" si="172"/>
        <v>0</v>
      </c>
      <c r="HFY32" s="28">
        <f t="shared" si="172"/>
        <v>0</v>
      </c>
      <c r="HFZ32" s="28">
        <f t="shared" si="172"/>
        <v>0</v>
      </c>
      <c r="HGA32" s="28">
        <f t="shared" si="172"/>
        <v>0</v>
      </c>
      <c r="HGB32" s="28">
        <f t="shared" si="172"/>
        <v>0</v>
      </c>
      <c r="HGC32" s="28">
        <f t="shared" si="172"/>
        <v>0</v>
      </c>
      <c r="HGD32" s="28">
        <f t="shared" si="172"/>
        <v>0</v>
      </c>
      <c r="HGE32" s="28">
        <f t="shared" si="172"/>
        <v>0</v>
      </c>
      <c r="HGF32" s="28">
        <f t="shared" si="172"/>
        <v>0</v>
      </c>
      <c r="HGG32" s="28">
        <f t="shared" si="172"/>
        <v>0</v>
      </c>
      <c r="HGH32" s="28">
        <f t="shared" si="172"/>
        <v>0</v>
      </c>
      <c r="HGI32" s="28">
        <f t="shared" si="172"/>
        <v>0</v>
      </c>
      <c r="HGJ32" s="28">
        <f t="shared" si="172"/>
        <v>0</v>
      </c>
      <c r="HGK32" s="28">
        <f t="shared" si="172"/>
        <v>0</v>
      </c>
      <c r="HGL32" s="28">
        <f t="shared" si="172"/>
        <v>0</v>
      </c>
      <c r="HGM32" s="28">
        <f t="shared" si="172"/>
        <v>0</v>
      </c>
      <c r="HGN32" s="28">
        <f t="shared" si="172"/>
        <v>0</v>
      </c>
      <c r="HGO32" s="28">
        <f t="shared" si="172"/>
        <v>0</v>
      </c>
      <c r="HGP32" s="28">
        <f t="shared" si="172"/>
        <v>0</v>
      </c>
      <c r="HGQ32" s="28">
        <f t="shared" si="172"/>
        <v>0</v>
      </c>
      <c r="HGR32" s="28">
        <f t="shared" si="172"/>
        <v>0</v>
      </c>
      <c r="HGS32" s="28">
        <f t="shared" si="172"/>
        <v>0</v>
      </c>
      <c r="HGT32" s="28">
        <f t="shared" si="172"/>
        <v>0</v>
      </c>
      <c r="HGU32" s="28">
        <f t="shared" si="172"/>
        <v>0</v>
      </c>
      <c r="HGV32" s="28">
        <f t="shared" si="172"/>
        <v>0</v>
      </c>
      <c r="HGW32" s="28">
        <f t="shared" si="172"/>
        <v>0</v>
      </c>
      <c r="HGX32" s="28">
        <f t="shared" si="172"/>
        <v>0</v>
      </c>
      <c r="HGY32" s="28">
        <f t="shared" si="172"/>
        <v>0</v>
      </c>
      <c r="HGZ32" s="28">
        <f t="shared" si="172"/>
        <v>0</v>
      </c>
      <c r="HHA32" s="28">
        <f t="shared" si="172"/>
        <v>0</v>
      </c>
      <c r="HHB32" s="28">
        <f t="shared" si="172"/>
        <v>0</v>
      </c>
      <c r="HHC32" s="28">
        <f t="shared" si="172"/>
        <v>0</v>
      </c>
      <c r="HHD32" s="28">
        <f t="shared" si="172"/>
        <v>0</v>
      </c>
      <c r="HHE32" s="28">
        <f t="shared" si="172"/>
        <v>0</v>
      </c>
      <c r="HHF32" s="28">
        <f t="shared" si="172"/>
        <v>0</v>
      </c>
      <c r="HHG32" s="28">
        <f t="shared" si="172"/>
        <v>0</v>
      </c>
      <c r="HHH32" s="28">
        <f t="shared" si="172"/>
        <v>0</v>
      </c>
      <c r="HHI32" s="28">
        <f t="shared" si="172"/>
        <v>0</v>
      </c>
      <c r="HHJ32" s="28">
        <f t="shared" si="172"/>
        <v>0</v>
      </c>
      <c r="HHK32" s="28">
        <f t="shared" si="172"/>
        <v>0</v>
      </c>
      <c r="HHL32" s="28">
        <f t="shared" si="172"/>
        <v>0</v>
      </c>
      <c r="HHM32" s="28">
        <f t="shared" si="172"/>
        <v>0</v>
      </c>
      <c r="HHN32" s="28">
        <f t="shared" si="172"/>
        <v>0</v>
      </c>
      <c r="HHO32" s="28">
        <f t="shared" si="172"/>
        <v>0</v>
      </c>
      <c r="HHP32" s="28">
        <f t="shared" si="172"/>
        <v>0</v>
      </c>
      <c r="HHQ32" s="28">
        <f t="shared" si="172"/>
        <v>0</v>
      </c>
      <c r="HHR32" s="28">
        <f t="shared" si="172"/>
        <v>0</v>
      </c>
      <c r="HHS32" s="28">
        <f t="shared" si="172"/>
        <v>0</v>
      </c>
      <c r="HHT32" s="28">
        <f t="shared" si="172"/>
        <v>0</v>
      </c>
      <c r="HHU32" s="28">
        <f t="shared" si="172"/>
        <v>0</v>
      </c>
      <c r="HHV32" s="28">
        <f t="shared" si="172"/>
        <v>0</v>
      </c>
      <c r="HHW32" s="28">
        <f t="shared" si="172"/>
        <v>0</v>
      </c>
      <c r="HHX32" s="28">
        <f t="shared" si="172"/>
        <v>0</v>
      </c>
      <c r="HHY32" s="28">
        <f t="shared" ref="HHY32:HKJ32" si="173">IFERROR(HHY31/HHY$4,0)</f>
        <v>0</v>
      </c>
      <c r="HHZ32" s="28">
        <f t="shared" si="173"/>
        <v>0</v>
      </c>
      <c r="HIA32" s="28">
        <f t="shared" si="173"/>
        <v>0</v>
      </c>
      <c r="HIB32" s="28">
        <f t="shared" si="173"/>
        <v>0</v>
      </c>
      <c r="HIC32" s="28">
        <f t="shared" si="173"/>
        <v>0</v>
      </c>
      <c r="HID32" s="28">
        <f t="shared" si="173"/>
        <v>0</v>
      </c>
      <c r="HIE32" s="28">
        <f t="shared" si="173"/>
        <v>0</v>
      </c>
      <c r="HIF32" s="28">
        <f t="shared" si="173"/>
        <v>0</v>
      </c>
      <c r="HIG32" s="28">
        <f t="shared" si="173"/>
        <v>0</v>
      </c>
      <c r="HIH32" s="28">
        <f t="shared" si="173"/>
        <v>0</v>
      </c>
      <c r="HII32" s="28">
        <f t="shared" si="173"/>
        <v>0</v>
      </c>
      <c r="HIJ32" s="28">
        <f t="shared" si="173"/>
        <v>0</v>
      </c>
      <c r="HIK32" s="28">
        <f t="shared" si="173"/>
        <v>0</v>
      </c>
      <c r="HIL32" s="28">
        <f t="shared" si="173"/>
        <v>0</v>
      </c>
      <c r="HIM32" s="28">
        <f t="shared" si="173"/>
        <v>0</v>
      </c>
      <c r="HIN32" s="28">
        <f t="shared" si="173"/>
        <v>0</v>
      </c>
      <c r="HIO32" s="28">
        <f t="shared" si="173"/>
        <v>0</v>
      </c>
      <c r="HIP32" s="28">
        <f t="shared" si="173"/>
        <v>0</v>
      </c>
      <c r="HIQ32" s="28">
        <f t="shared" si="173"/>
        <v>0</v>
      </c>
      <c r="HIR32" s="28">
        <f t="shared" si="173"/>
        <v>0</v>
      </c>
      <c r="HIS32" s="28">
        <f t="shared" si="173"/>
        <v>0</v>
      </c>
      <c r="HIT32" s="28">
        <f t="shared" si="173"/>
        <v>0</v>
      </c>
      <c r="HIU32" s="28">
        <f t="shared" si="173"/>
        <v>0</v>
      </c>
      <c r="HIV32" s="28">
        <f t="shared" si="173"/>
        <v>0</v>
      </c>
      <c r="HIW32" s="28">
        <f t="shared" si="173"/>
        <v>0</v>
      </c>
      <c r="HIX32" s="28">
        <f t="shared" si="173"/>
        <v>0</v>
      </c>
      <c r="HIY32" s="28">
        <f t="shared" si="173"/>
        <v>0</v>
      </c>
      <c r="HIZ32" s="28">
        <f t="shared" si="173"/>
        <v>0</v>
      </c>
      <c r="HJA32" s="28">
        <f t="shared" si="173"/>
        <v>0</v>
      </c>
      <c r="HJB32" s="28">
        <f t="shared" si="173"/>
        <v>0</v>
      </c>
      <c r="HJC32" s="28">
        <f t="shared" si="173"/>
        <v>0</v>
      </c>
      <c r="HJD32" s="28">
        <f t="shared" si="173"/>
        <v>0</v>
      </c>
      <c r="HJE32" s="28">
        <f t="shared" si="173"/>
        <v>0</v>
      </c>
      <c r="HJF32" s="28">
        <f t="shared" si="173"/>
        <v>0</v>
      </c>
      <c r="HJG32" s="28">
        <f t="shared" si="173"/>
        <v>0</v>
      </c>
      <c r="HJH32" s="28">
        <f t="shared" si="173"/>
        <v>0</v>
      </c>
      <c r="HJI32" s="28">
        <f t="shared" si="173"/>
        <v>0</v>
      </c>
      <c r="HJJ32" s="28">
        <f t="shared" si="173"/>
        <v>0</v>
      </c>
      <c r="HJK32" s="28">
        <f t="shared" si="173"/>
        <v>0</v>
      </c>
      <c r="HJL32" s="28">
        <f t="shared" si="173"/>
        <v>0</v>
      </c>
      <c r="HJM32" s="28">
        <f t="shared" si="173"/>
        <v>0</v>
      </c>
      <c r="HJN32" s="28">
        <f t="shared" si="173"/>
        <v>0</v>
      </c>
      <c r="HJO32" s="28">
        <f t="shared" si="173"/>
        <v>0</v>
      </c>
      <c r="HJP32" s="28">
        <f t="shared" si="173"/>
        <v>0</v>
      </c>
      <c r="HJQ32" s="28">
        <f t="shared" si="173"/>
        <v>0</v>
      </c>
      <c r="HJR32" s="28">
        <f t="shared" si="173"/>
        <v>0</v>
      </c>
      <c r="HJS32" s="28">
        <f t="shared" si="173"/>
        <v>0</v>
      </c>
      <c r="HJT32" s="28">
        <f t="shared" si="173"/>
        <v>0</v>
      </c>
      <c r="HJU32" s="28">
        <f t="shared" si="173"/>
        <v>0</v>
      </c>
      <c r="HJV32" s="28">
        <f t="shared" si="173"/>
        <v>0</v>
      </c>
      <c r="HJW32" s="28">
        <f t="shared" si="173"/>
        <v>0</v>
      </c>
      <c r="HJX32" s="28">
        <f t="shared" si="173"/>
        <v>0</v>
      </c>
      <c r="HJY32" s="28">
        <f t="shared" si="173"/>
        <v>0</v>
      </c>
      <c r="HJZ32" s="28">
        <f t="shared" si="173"/>
        <v>0</v>
      </c>
      <c r="HKA32" s="28">
        <f t="shared" si="173"/>
        <v>0</v>
      </c>
      <c r="HKB32" s="28">
        <f t="shared" si="173"/>
        <v>0</v>
      </c>
      <c r="HKC32" s="28">
        <f t="shared" si="173"/>
        <v>0</v>
      </c>
      <c r="HKD32" s="28">
        <f t="shared" si="173"/>
        <v>0</v>
      </c>
      <c r="HKE32" s="28">
        <f t="shared" si="173"/>
        <v>0</v>
      </c>
      <c r="HKF32" s="28">
        <f t="shared" si="173"/>
        <v>0</v>
      </c>
      <c r="HKG32" s="28">
        <f t="shared" si="173"/>
        <v>0</v>
      </c>
      <c r="HKH32" s="28">
        <f t="shared" si="173"/>
        <v>0</v>
      </c>
      <c r="HKI32" s="28">
        <f t="shared" si="173"/>
        <v>0</v>
      </c>
      <c r="HKJ32" s="28">
        <f t="shared" si="173"/>
        <v>0</v>
      </c>
      <c r="HKK32" s="28">
        <f t="shared" ref="HKK32:HMV32" si="174">IFERROR(HKK31/HKK$4,0)</f>
        <v>0</v>
      </c>
      <c r="HKL32" s="28">
        <f t="shared" si="174"/>
        <v>0</v>
      </c>
      <c r="HKM32" s="28">
        <f t="shared" si="174"/>
        <v>0</v>
      </c>
      <c r="HKN32" s="28">
        <f t="shared" si="174"/>
        <v>0</v>
      </c>
      <c r="HKO32" s="28">
        <f t="shared" si="174"/>
        <v>0</v>
      </c>
      <c r="HKP32" s="28">
        <f t="shared" si="174"/>
        <v>0</v>
      </c>
      <c r="HKQ32" s="28">
        <f t="shared" si="174"/>
        <v>0</v>
      </c>
      <c r="HKR32" s="28">
        <f t="shared" si="174"/>
        <v>0</v>
      </c>
      <c r="HKS32" s="28">
        <f t="shared" si="174"/>
        <v>0</v>
      </c>
      <c r="HKT32" s="28">
        <f t="shared" si="174"/>
        <v>0</v>
      </c>
      <c r="HKU32" s="28">
        <f t="shared" si="174"/>
        <v>0</v>
      </c>
      <c r="HKV32" s="28">
        <f t="shared" si="174"/>
        <v>0</v>
      </c>
      <c r="HKW32" s="28">
        <f t="shared" si="174"/>
        <v>0</v>
      </c>
      <c r="HKX32" s="28">
        <f t="shared" si="174"/>
        <v>0</v>
      </c>
      <c r="HKY32" s="28">
        <f t="shared" si="174"/>
        <v>0</v>
      </c>
      <c r="HKZ32" s="28">
        <f t="shared" si="174"/>
        <v>0</v>
      </c>
      <c r="HLA32" s="28">
        <f t="shared" si="174"/>
        <v>0</v>
      </c>
      <c r="HLB32" s="28">
        <f t="shared" si="174"/>
        <v>0</v>
      </c>
      <c r="HLC32" s="28">
        <f t="shared" si="174"/>
        <v>0</v>
      </c>
      <c r="HLD32" s="28">
        <f t="shared" si="174"/>
        <v>0</v>
      </c>
      <c r="HLE32" s="28">
        <f t="shared" si="174"/>
        <v>0</v>
      </c>
      <c r="HLF32" s="28">
        <f t="shared" si="174"/>
        <v>0</v>
      </c>
      <c r="HLG32" s="28">
        <f t="shared" si="174"/>
        <v>0</v>
      </c>
      <c r="HLH32" s="28">
        <f t="shared" si="174"/>
        <v>0</v>
      </c>
      <c r="HLI32" s="28">
        <f t="shared" si="174"/>
        <v>0</v>
      </c>
      <c r="HLJ32" s="28">
        <f t="shared" si="174"/>
        <v>0</v>
      </c>
      <c r="HLK32" s="28">
        <f t="shared" si="174"/>
        <v>0</v>
      </c>
      <c r="HLL32" s="28">
        <f t="shared" si="174"/>
        <v>0</v>
      </c>
      <c r="HLM32" s="28">
        <f t="shared" si="174"/>
        <v>0</v>
      </c>
      <c r="HLN32" s="28">
        <f t="shared" si="174"/>
        <v>0</v>
      </c>
      <c r="HLO32" s="28">
        <f t="shared" si="174"/>
        <v>0</v>
      </c>
      <c r="HLP32" s="28">
        <f t="shared" si="174"/>
        <v>0</v>
      </c>
      <c r="HLQ32" s="28">
        <f t="shared" si="174"/>
        <v>0</v>
      </c>
      <c r="HLR32" s="28">
        <f t="shared" si="174"/>
        <v>0</v>
      </c>
      <c r="HLS32" s="28">
        <f t="shared" si="174"/>
        <v>0</v>
      </c>
      <c r="HLT32" s="28">
        <f t="shared" si="174"/>
        <v>0</v>
      </c>
      <c r="HLU32" s="28">
        <f t="shared" si="174"/>
        <v>0</v>
      </c>
      <c r="HLV32" s="28">
        <f t="shared" si="174"/>
        <v>0</v>
      </c>
      <c r="HLW32" s="28">
        <f t="shared" si="174"/>
        <v>0</v>
      </c>
      <c r="HLX32" s="28">
        <f t="shared" si="174"/>
        <v>0</v>
      </c>
      <c r="HLY32" s="28">
        <f t="shared" si="174"/>
        <v>0</v>
      </c>
      <c r="HLZ32" s="28">
        <f t="shared" si="174"/>
        <v>0</v>
      </c>
      <c r="HMA32" s="28">
        <f t="shared" si="174"/>
        <v>0</v>
      </c>
      <c r="HMB32" s="28">
        <f t="shared" si="174"/>
        <v>0</v>
      </c>
      <c r="HMC32" s="28">
        <f t="shared" si="174"/>
        <v>0</v>
      </c>
      <c r="HMD32" s="28">
        <f t="shared" si="174"/>
        <v>0</v>
      </c>
      <c r="HME32" s="28">
        <f t="shared" si="174"/>
        <v>0</v>
      </c>
      <c r="HMF32" s="28">
        <f t="shared" si="174"/>
        <v>0</v>
      </c>
      <c r="HMG32" s="28">
        <f t="shared" si="174"/>
        <v>0</v>
      </c>
      <c r="HMH32" s="28">
        <f t="shared" si="174"/>
        <v>0</v>
      </c>
      <c r="HMI32" s="28">
        <f t="shared" si="174"/>
        <v>0</v>
      </c>
      <c r="HMJ32" s="28">
        <f t="shared" si="174"/>
        <v>0</v>
      </c>
      <c r="HMK32" s="28">
        <f t="shared" si="174"/>
        <v>0</v>
      </c>
      <c r="HML32" s="28">
        <f t="shared" si="174"/>
        <v>0</v>
      </c>
      <c r="HMM32" s="28">
        <f t="shared" si="174"/>
        <v>0</v>
      </c>
      <c r="HMN32" s="28">
        <f t="shared" si="174"/>
        <v>0</v>
      </c>
      <c r="HMO32" s="28">
        <f t="shared" si="174"/>
        <v>0</v>
      </c>
      <c r="HMP32" s="28">
        <f t="shared" si="174"/>
        <v>0</v>
      </c>
      <c r="HMQ32" s="28">
        <f t="shared" si="174"/>
        <v>0</v>
      </c>
      <c r="HMR32" s="28">
        <f t="shared" si="174"/>
        <v>0</v>
      </c>
      <c r="HMS32" s="28">
        <f t="shared" si="174"/>
        <v>0</v>
      </c>
      <c r="HMT32" s="28">
        <f t="shared" si="174"/>
        <v>0</v>
      </c>
      <c r="HMU32" s="28">
        <f t="shared" si="174"/>
        <v>0</v>
      </c>
      <c r="HMV32" s="28">
        <f t="shared" si="174"/>
        <v>0</v>
      </c>
      <c r="HMW32" s="28">
        <f t="shared" ref="HMW32:HPH32" si="175">IFERROR(HMW31/HMW$4,0)</f>
        <v>0</v>
      </c>
      <c r="HMX32" s="28">
        <f t="shared" si="175"/>
        <v>0</v>
      </c>
      <c r="HMY32" s="28">
        <f t="shared" si="175"/>
        <v>0</v>
      </c>
      <c r="HMZ32" s="28">
        <f t="shared" si="175"/>
        <v>0</v>
      </c>
      <c r="HNA32" s="28">
        <f t="shared" si="175"/>
        <v>0</v>
      </c>
      <c r="HNB32" s="28">
        <f t="shared" si="175"/>
        <v>0</v>
      </c>
      <c r="HNC32" s="28">
        <f t="shared" si="175"/>
        <v>0</v>
      </c>
      <c r="HND32" s="28">
        <f t="shared" si="175"/>
        <v>0</v>
      </c>
      <c r="HNE32" s="28">
        <f t="shared" si="175"/>
        <v>0</v>
      </c>
      <c r="HNF32" s="28">
        <f t="shared" si="175"/>
        <v>0</v>
      </c>
      <c r="HNG32" s="28">
        <f t="shared" si="175"/>
        <v>0</v>
      </c>
      <c r="HNH32" s="28">
        <f t="shared" si="175"/>
        <v>0</v>
      </c>
      <c r="HNI32" s="28">
        <f t="shared" si="175"/>
        <v>0</v>
      </c>
      <c r="HNJ32" s="28">
        <f t="shared" si="175"/>
        <v>0</v>
      </c>
      <c r="HNK32" s="28">
        <f t="shared" si="175"/>
        <v>0</v>
      </c>
      <c r="HNL32" s="28">
        <f t="shared" si="175"/>
        <v>0</v>
      </c>
      <c r="HNM32" s="28">
        <f t="shared" si="175"/>
        <v>0</v>
      </c>
      <c r="HNN32" s="28">
        <f t="shared" si="175"/>
        <v>0</v>
      </c>
      <c r="HNO32" s="28">
        <f t="shared" si="175"/>
        <v>0</v>
      </c>
      <c r="HNP32" s="28">
        <f t="shared" si="175"/>
        <v>0</v>
      </c>
      <c r="HNQ32" s="28">
        <f t="shared" si="175"/>
        <v>0</v>
      </c>
      <c r="HNR32" s="28">
        <f t="shared" si="175"/>
        <v>0</v>
      </c>
      <c r="HNS32" s="28">
        <f t="shared" si="175"/>
        <v>0</v>
      </c>
      <c r="HNT32" s="28">
        <f t="shared" si="175"/>
        <v>0</v>
      </c>
      <c r="HNU32" s="28">
        <f t="shared" si="175"/>
        <v>0</v>
      </c>
      <c r="HNV32" s="28">
        <f t="shared" si="175"/>
        <v>0</v>
      </c>
      <c r="HNW32" s="28">
        <f t="shared" si="175"/>
        <v>0</v>
      </c>
      <c r="HNX32" s="28">
        <f t="shared" si="175"/>
        <v>0</v>
      </c>
      <c r="HNY32" s="28">
        <f t="shared" si="175"/>
        <v>0</v>
      </c>
      <c r="HNZ32" s="28">
        <f t="shared" si="175"/>
        <v>0</v>
      </c>
      <c r="HOA32" s="28">
        <f t="shared" si="175"/>
        <v>0</v>
      </c>
      <c r="HOB32" s="28">
        <f t="shared" si="175"/>
        <v>0</v>
      </c>
      <c r="HOC32" s="28">
        <f t="shared" si="175"/>
        <v>0</v>
      </c>
      <c r="HOD32" s="28">
        <f t="shared" si="175"/>
        <v>0</v>
      </c>
      <c r="HOE32" s="28">
        <f t="shared" si="175"/>
        <v>0</v>
      </c>
      <c r="HOF32" s="28">
        <f t="shared" si="175"/>
        <v>0</v>
      </c>
      <c r="HOG32" s="28">
        <f t="shared" si="175"/>
        <v>0</v>
      </c>
      <c r="HOH32" s="28">
        <f t="shared" si="175"/>
        <v>0</v>
      </c>
      <c r="HOI32" s="28">
        <f t="shared" si="175"/>
        <v>0</v>
      </c>
      <c r="HOJ32" s="28">
        <f t="shared" si="175"/>
        <v>0</v>
      </c>
      <c r="HOK32" s="28">
        <f t="shared" si="175"/>
        <v>0</v>
      </c>
      <c r="HOL32" s="28">
        <f t="shared" si="175"/>
        <v>0</v>
      </c>
      <c r="HOM32" s="28">
        <f t="shared" si="175"/>
        <v>0</v>
      </c>
      <c r="HON32" s="28">
        <f t="shared" si="175"/>
        <v>0</v>
      </c>
      <c r="HOO32" s="28">
        <f t="shared" si="175"/>
        <v>0</v>
      </c>
      <c r="HOP32" s="28">
        <f t="shared" si="175"/>
        <v>0</v>
      </c>
      <c r="HOQ32" s="28">
        <f t="shared" si="175"/>
        <v>0</v>
      </c>
      <c r="HOR32" s="28">
        <f t="shared" si="175"/>
        <v>0</v>
      </c>
      <c r="HOS32" s="28">
        <f t="shared" si="175"/>
        <v>0</v>
      </c>
      <c r="HOT32" s="28">
        <f t="shared" si="175"/>
        <v>0</v>
      </c>
      <c r="HOU32" s="28">
        <f t="shared" si="175"/>
        <v>0</v>
      </c>
      <c r="HOV32" s="28">
        <f t="shared" si="175"/>
        <v>0</v>
      </c>
      <c r="HOW32" s="28">
        <f t="shared" si="175"/>
        <v>0</v>
      </c>
      <c r="HOX32" s="28">
        <f t="shared" si="175"/>
        <v>0</v>
      </c>
      <c r="HOY32" s="28">
        <f t="shared" si="175"/>
        <v>0</v>
      </c>
      <c r="HOZ32" s="28">
        <f t="shared" si="175"/>
        <v>0</v>
      </c>
      <c r="HPA32" s="28">
        <f t="shared" si="175"/>
        <v>0</v>
      </c>
      <c r="HPB32" s="28">
        <f t="shared" si="175"/>
        <v>0</v>
      </c>
      <c r="HPC32" s="28">
        <f t="shared" si="175"/>
        <v>0</v>
      </c>
      <c r="HPD32" s="28">
        <f t="shared" si="175"/>
        <v>0</v>
      </c>
      <c r="HPE32" s="28">
        <f t="shared" si="175"/>
        <v>0</v>
      </c>
      <c r="HPF32" s="28">
        <f t="shared" si="175"/>
        <v>0</v>
      </c>
      <c r="HPG32" s="28">
        <f t="shared" si="175"/>
        <v>0</v>
      </c>
      <c r="HPH32" s="28">
        <f t="shared" si="175"/>
        <v>0</v>
      </c>
      <c r="HPI32" s="28">
        <f t="shared" ref="HPI32:HRT32" si="176">IFERROR(HPI31/HPI$4,0)</f>
        <v>0</v>
      </c>
      <c r="HPJ32" s="28">
        <f t="shared" si="176"/>
        <v>0</v>
      </c>
      <c r="HPK32" s="28">
        <f t="shared" si="176"/>
        <v>0</v>
      </c>
      <c r="HPL32" s="28">
        <f t="shared" si="176"/>
        <v>0</v>
      </c>
      <c r="HPM32" s="28">
        <f t="shared" si="176"/>
        <v>0</v>
      </c>
      <c r="HPN32" s="28">
        <f t="shared" si="176"/>
        <v>0</v>
      </c>
      <c r="HPO32" s="28">
        <f t="shared" si="176"/>
        <v>0</v>
      </c>
      <c r="HPP32" s="28">
        <f t="shared" si="176"/>
        <v>0</v>
      </c>
      <c r="HPQ32" s="28">
        <f t="shared" si="176"/>
        <v>0</v>
      </c>
      <c r="HPR32" s="28">
        <f t="shared" si="176"/>
        <v>0</v>
      </c>
      <c r="HPS32" s="28">
        <f t="shared" si="176"/>
        <v>0</v>
      </c>
      <c r="HPT32" s="28">
        <f t="shared" si="176"/>
        <v>0</v>
      </c>
      <c r="HPU32" s="28">
        <f t="shared" si="176"/>
        <v>0</v>
      </c>
      <c r="HPV32" s="28">
        <f t="shared" si="176"/>
        <v>0</v>
      </c>
      <c r="HPW32" s="28">
        <f t="shared" si="176"/>
        <v>0</v>
      </c>
      <c r="HPX32" s="28">
        <f t="shared" si="176"/>
        <v>0</v>
      </c>
      <c r="HPY32" s="28">
        <f t="shared" si="176"/>
        <v>0</v>
      </c>
      <c r="HPZ32" s="28">
        <f t="shared" si="176"/>
        <v>0</v>
      </c>
      <c r="HQA32" s="28">
        <f t="shared" si="176"/>
        <v>0</v>
      </c>
      <c r="HQB32" s="28">
        <f t="shared" si="176"/>
        <v>0</v>
      </c>
      <c r="HQC32" s="28">
        <f t="shared" si="176"/>
        <v>0</v>
      </c>
      <c r="HQD32" s="28">
        <f t="shared" si="176"/>
        <v>0</v>
      </c>
      <c r="HQE32" s="28">
        <f t="shared" si="176"/>
        <v>0</v>
      </c>
      <c r="HQF32" s="28">
        <f t="shared" si="176"/>
        <v>0</v>
      </c>
      <c r="HQG32" s="28">
        <f t="shared" si="176"/>
        <v>0</v>
      </c>
      <c r="HQH32" s="28">
        <f t="shared" si="176"/>
        <v>0</v>
      </c>
      <c r="HQI32" s="28">
        <f t="shared" si="176"/>
        <v>0</v>
      </c>
      <c r="HQJ32" s="28">
        <f t="shared" si="176"/>
        <v>0</v>
      </c>
      <c r="HQK32" s="28">
        <f t="shared" si="176"/>
        <v>0</v>
      </c>
      <c r="HQL32" s="28">
        <f t="shared" si="176"/>
        <v>0</v>
      </c>
      <c r="HQM32" s="28">
        <f t="shared" si="176"/>
        <v>0</v>
      </c>
      <c r="HQN32" s="28">
        <f t="shared" si="176"/>
        <v>0</v>
      </c>
      <c r="HQO32" s="28">
        <f t="shared" si="176"/>
        <v>0</v>
      </c>
      <c r="HQP32" s="28">
        <f t="shared" si="176"/>
        <v>0</v>
      </c>
      <c r="HQQ32" s="28">
        <f t="shared" si="176"/>
        <v>0</v>
      </c>
      <c r="HQR32" s="28">
        <f t="shared" si="176"/>
        <v>0</v>
      </c>
      <c r="HQS32" s="28">
        <f t="shared" si="176"/>
        <v>0</v>
      </c>
      <c r="HQT32" s="28">
        <f t="shared" si="176"/>
        <v>0</v>
      </c>
      <c r="HQU32" s="28">
        <f t="shared" si="176"/>
        <v>0</v>
      </c>
      <c r="HQV32" s="28">
        <f t="shared" si="176"/>
        <v>0</v>
      </c>
      <c r="HQW32" s="28">
        <f t="shared" si="176"/>
        <v>0</v>
      </c>
      <c r="HQX32" s="28">
        <f t="shared" si="176"/>
        <v>0</v>
      </c>
      <c r="HQY32" s="28">
        <f t="shared" si="176"/>
        <v>0</v>
      </c>
      <c r="HQZ32" s="28">
        <f t="shared" si="176"/>
        <v>0</v>
      </c>
      <c r="HRA32" s="28">
        <f t="shared" si="176"/>
        <v>0</v>
      </c>
      <c r="HRB32" s="28">
        <f t="shared" si="176"/>
        <v>0</v>
      </c>
      <c r="HRC32" s="28">
        <f t="shared" si="176"/>
        <v>0</v>
      </c>
      <c r="HRD32" s="28">
        <f t="shared" si="176"/>
        <v>0</v>
      </c>
      <c r="HRE32" s="28">
        <f t="shared" si="176"/>
        <v>0</v>
      </c>
      <c r="HRF32" s="28">
        <f t="shared" si="176"/>
        <v>0</v>
      </c>
      <c r="HRG32" s="28">
        <f t="shared" si="176"/>
        <v>0</v>
      </c>
      <c r="HRH32" s="28">
        <f t="shared" si="176"/>
        <v>0</v>
      </c>
      <c r="HRI32" s="28">
        <f t="shared" si="176"/>
        <v>0</v>
      </c>
      <c r="HRJ32" s="28">
        <f t="shared" si="176"/>
        <v>0</v>
      </c>
      <c r="HRK32" s="28">
        <f t="shared" si="176"/>
        <v>0</v>
      </c>
      <c r="HRL32" s="28">
        <f t="shared" si="176"/>
        <v>0</v>
      </c>
      <c r="HRM32" s="28">
        <f t="shared" si="176"/>
        <v>0</v>
      </c>
      <c r="HRN32" s="28">
        <f t="shared" si="176"/>
        <v>0</v>
      </c>
      <c r="HRO32" s="28">
        <f t="shared" si="176"/>
        <v>0</v>
      </c>
      <c r="HRP32" s="28">
        <f t="shared" si="176"/>
        <v>0</v>
      </c>
      <c r="HRQ32" s="28">
        <f t="shared" si="176"/>
        <v>0</v>
      </c>
      <c r="HRR32" s="28">
        <f t="shared" si="176"/>
        <v>0</v>
      </c>
      <c r="HRS32" s="28">
        <f t="shared" si="176"/>
        <v>0</v>
      </c>
      <c r="HRT32" s="28">
        <f t="shared" si="176"/>
        <v>0</v>
      </c>
      <c r="HRU32" s="28">
        <f t="shared" ref="HRU32:HUF32" si="177">IFERROR(HRU31/HRU$4,0)</f>
        <v>0</v>
      </c>
      <c r="HRV32" s="28">
        <f t="shared" si="177"/>
        <v>0</v>
      </c>
      <c r="HRW32" s="28">
        <f t="shared" si="177"/>
        <v>0</v>
      </c>
      <c r="HRX32" s="28">
        <f t="shared" si="177"/>
        <v>0</v>
      </c>
      <c r="HRY32" s="28">
        <f t="shared" si="177"/>
        <v>0</v>
      </c>
      <c r="HRZ32" s="28">
        <f t="shared" si="177"/>
        <v>0</v>
      </c>
      <c r="HSA32" s="28">
        <f t="shared" si="177"/>
        <v>0</v>
      </c>
      <c r="HSB32" s="28">
        <f t="shared" si="177"/>
        <v>0</v>
      </c>
      <c r="HSC32" s="28">
        <f t="shared" si="177"/>
        <v>0</v>
      </c>
      <c r="HSD32" s="28">
        <f t="shared" si="177"/>
        <v>0</v>
      </c>
      <c r="HSE32" s="28">
        <f t="shared" si="177"/>
        <v>0</v>
      </c>
      <c r="HSF32" s="28">
        <f t="shared" si="177"/>
        <v>0</v>
      </c>
      <c r="HSG32" s="28">
        <f t="shared" si="177"/>
        <v>0</v>
      </c>
      <c r="HSH32" s="28">
        <f t="shared" si="177"/>
        <v>0</v>
      </c>
      <c r="HSI32" s="28">
        <f t="shared" si="177"/>
        <v>0</v>
      </c>
      <c r="HSJ32" s="28">
        <f t="shared" si="177"/>
        <v>0</v>
      </c>
      <c r="HSK32" s="28">
        <f t="shared" si="177"/>
        <v>0</v>
      </c>
      <c r="HSL32" s="28">
        <f t="shared" si="177"/>
        <v>0</v>
      </c>
      <c r="HSM32" s="28">
        <f t="shared" si="177"/>
        <v>0</v>
      </c>
      <c r="HSN32" s="28">
        <f t="shared" si="177"/>
        <v>0</v>
      </c>
      <c r="HSO32" s="28">
        <f t="shared" si="177"/>
        <v>0</v>
      </c>
      <c r="HSP32" s="28">
        <f t="shared" si="177"/>
        <v>0</v>
      </c>
      <c r="HSQ32" s="28">
        <f t="shared" si="177"/>
        <v>0</v>
      </c>
      <c r="HSR32" s="28">
        <f t="shared" si="177"/>
        <v>0</v>
      </c>
      <c r="HSS32" s="28">
        <f t="shared" si="177"/>
        <v>0</v>
      </c>
      <c r="HST32" s="28">
        <f t="shared" si="177"/>
        <v>0</v>
      </c>
      <c r="HSU32" s="28">
        <f t="shared" si="177"/>
        <v>0</v>
      </c>
      <c r="HSV32" s="28">
        <f t="shared" si="177"/>
        <v>0</v>
      </c>
      <c r="HSW32" s="28">
        <f t="shared" si="177"/>
        <v>0</v>
      </c>
      <c r="HSX32" s="28">
        <f t="shared" si="177"/>
        <v>0</v>
      </c>
      <c r="HSY32" s="28">
        <f t="shared" si="177"/>
        <v>0</v>
      </c>
      <c r="HSZ32" s="28">
        <f t="shared" si="177"/>
        <v>0</v>
      </c>
      <c r="HTA32" s="28">
        <f t="shared" si="177"/>
        <v>0</v>
      </c>
      <c r="HTB32" s="28">
        <f t="shared" si="177"/>
        <v>0</v>
      </c>
      <c r="HTC32" s="28">
        <f t="shared" si="177"/>
        <v>0</v>
      </c>
      <c r="HTD32" s="28">
        <f t="shared" si="177"/>
        <v>0</v>
      </c>
      <c r="HTE32" s="28">
        <f t="shared" si="177"/>
        <v>0</v>
      </c>
      <c r="HTF32" s="28">
        <f t="shared" si="177"/>
        <v>0</v>
      </c>
      <c r="HTG32" s="28">
        <f t="shared" si="177"/>
        <v>0</v>
      </c>
      <c r="HTH32" s="28">
        <f t="shared" si="177"/>
        <v>0</v>
      </c>
      <c r="HTI32" s="28">
        <f t="shared" si="177"/>
        <v>0</v>
      </c>
      <c r="HTJ32" s="28">
        <f t="shared" si="177"/>
        <v>0</v>
      </c>
      <c r="HTK32" s="28">
        <f t="shared" si="177"/>
        <v>0</v>
      </c>
      <c r="HTL32" s="28">
        <f t="shared" si="177"/>
        <v>0</v>
      </c>
      <c r="HTM32" s="28">
        <f t="shared" si="177"/>
        <v>0</v>
      </c>
      <c r="HTN32" s="28">
        <f t="shared" si="177"/>
        <v>0</v>
      </c>
      <c r="HTO32" s="28">
        <f t="shared" si="177"/>
        <v>0</v>
      </c>
      <c r="HTP32" s="28">
        <f t="shared" si="177"/>
        <v>0</v>
      </c>
      <c r="HTQ32" s="28">
        <f t="shared" si="177"/>
        <v>0</v>
      </c>
      <c r="HTR32" s="28">
        <f t="shared" si="177"/>
        <v>0</v>
      </c>
      <c r="HTS32" s="28">
        <f t="shared" si="177"/>
        <v>0</v>
      </c>
      <c r="HTT32" s="28">
        <f t="shared" si="177"/>
        <v>0</v>
      </c>
      <c r="HTU32" s="28">
        <f t="shared" si="177"/>
        <v>0</v>
      </c>
      <c r="HTV32" s="28">
        <f t="shared" si="177"/>
        <v>0</v>
      </c>
      <c r="HTW32" s="28">
        <f t="shared" si="177"/>
        <v>0</v>
      </c>
      <c r="HTX32" s="28">
        <f t="shared" si="177"/>
        <v>0</v>
      </c>
      <c r="HTY32" s="28">
        <f t="shared" si="177"/>
        <v>0</v>
      </c>
      <c r="HTZ32" s="28">
        <f t="shared" si="177"/>
        <v>0</v>
      </c>
      <c r="HUA32" s="28">
        <f t="shared" si="177"/>
        <v>0</v>
      </c>
      <c r="HUB32" s="28">
        <f t="shared" si="177"/>
        <v>0</v>
      </c>
      <c r="HUC32" s="28">
        <f t="shared" si="177"/>
        <v>0</v>
      </c>
      <c r="HUD32" s="28">
        <f t="shared" si="177"/>
        <v>0</v>
      </c>
      <c r="HUE32" s="28">
        <f t="shared" si="177"/>
        <v>0</v>
      </c>
      <c r="HUF32" s="28">
        <f t="shared" si="177"/>
        <v>0</v>
      </c>
      <c r="HUG32" s="28">
        <f t="shared" ref="HUG32:HWR32" si="178">IFERROR(HUG31/HUG$4,0)</f>
        <v>0</v>
      </c>
      <c r="HUH32" s="28">
        <f t="shared" si="178"/>
        <v>0</v>
      </c>
      <c r="HUI32" s="28">
        <f t="shared" si="178"/>
        <v>0</v>
      </c>
      <c r="HUJ32" s="28">
        <f t="shared" si="178"/>
        <v>0</v>
      </c>
      <c r="HUK32" s="28">
        <f t="shared" si="178"/>
        <v>0</v>
      </c>
      <c r="HUL32" s="28">
        <f t="shared" si="178"/>
        <v>0</v>
      </c>
      <c r="HUM32" s="28">
        <f t="shared" si="178"/>
        <v>0</v>
      </c>
      <c r="HUN32" s="28">
        <f t="shared" si="178"/>
        <v>0</v>
      </c>
      <c r="HUO32" s="28">
        <f t="shared" si="178"/>
        <v>0</v>
      </c>
      <c r="HUP32" s="28">
        <f t="shared" si="178"/>
        <v>0</v>
      </c>
      <c r="HUQ32" s="28">
        <f t="shared" si="178"/>
        <v>0</v>
      </c>
      <c r="HUR32" s="28">
        <f t="shared" si="178"/>
        <v>0</v>
      </c>
      <c r="HUS32" s="28">
        <f t="shared" si="178"/>
        <v>0</v>
      </c>
      <c r="HUT32" s="28">
        <f t="shared" si="178"/>
        <v>0</v>
      </c>
      <c r="HUU32" s="28">
        <f t="shared" si="178"/>
        <v>0</v>
      </c>
      <c r="HUV32" s="28">
        <f t="shared" si="178"/>
        <v>0</v>
      </c>
      <c r="HUW32" s="28">
        <f t="shared" si="178"/>
        <v>0</v>
      </c>
      <c r="HUX32" s="28">
        <f t="shared" si="178"/>
        <v>0</v>
      </c>
      <c r="HUY32" s="28">
        <f t="shared" si="178"/>
        <v>0</v>
      </c>
      <c r="HUZ32" s="28">
        <f t="shared" si="178"/>
        <v>0</v>
      </c>
      <c r="HVA32" s="28">
        <f t="shared" si="178"/>
        <v>0</v>
      </c>
      <c r="HVB32" s="28">
        <f t="shared" si="178"/>
        <v>0</v>
      </c>
      <c r="HVC32" s="28">
        <f t="shared" si="178"/>
        <v>0</v>
      </c>
      <c r="HVD32" s="28">
        <f t="shared" si="178"/>
        <v>0</v>
      </c>
      <c r="HVE32" s="28">
        <f t="shared" si="178"/>
        <v>0</v>
      </c>
      <c r="HVF32" s="28">
        <f t="shared" si="178"/>
        <v>0</v>
      </c>
      <c r="HVG32" s="28">
        <f t="shared" si="178"/>
        <v>0</v>
      </c>
      <c r="HVH32" s="28">
        <f t="shared" si="178"/>
        <v>0</v>
      </c>
      <c r="HVI32" s="28">
        <f t="shared" si="178"/>
        <v>0</v>
      </c>
      <c r="HVJ32" s="28">
        <f t="shared" si="178"/>
        <v>0</v>
      </c>
      <c r="HVK32" s="28">
        <f t="shared" si="178"/>
        <v>0</v>
      </c>
      <c r="HVL32" s="28">
        <f t="shared" si="178"/>
        <v>0</v>
      </c>
      <c r="HVM32" s="28">
        <f t="shared" si="178"/>
        <v>0</v>
      </c>
      <c r="HVN32" s="28">
        <f t="shared" si="178"/>
        <v>0</v>
      </c>
      <c r="HVO32" s="28">
        <f t="shared" si="178"/>
        <v>0</v>
      </c>
      <c r="HVP32" s="28">
        <f t="shared" si="178"/>
        <v>0</v>
      </c>
      <c r="HVQ32" s="28">
        <f t="shared" si="178"/>
        <v>0</v>
      </c>
      <c r="HVR32" s="28">
        <f t="shared" si="178"/>
        <v>0</v>
      </c>
      <c r="HVS32" s="28">
        <f t="shared" si="178"/>
        <v>0</v>
      </c>
      <c r="HVT32" s="28">
        <f t="shared" si="178"/>
        <v>0</v>
      </c>
      <c r="HVU32" s="28">
        <f t="shared" si="178"/>
        <v>0</v>
      </c>
      <c r="HVV32" s="28">
        <f t="shared" si="178"/>
        <v>0</v>
      </c>
      <c r="HVW32" s="28">
        <f t="shared" si="178"/>
        <v>0</v>
      </c>
      <c r="HVX32" s="28">
        <f t="shared" si="178"/>
        <v>0</v>
      </c>
      <c r="HVY32" s="28">
        <f t="shared" si="178"/>
        <v>0</v>
      </c>
      <c r="HVZ32" s="28">
        <f t="shared" si="178"/>
        <v>0</v>
      </c>
      <c r="HWA32" s="28">
        <f t="shared" si="178"/>
        <v>0</v>
      </c>
      <c r="HWB32" s="28">
        <f t="shared" si="178"/>
        <v>0</v>
      </c>
      <c r="HWC32" s="28">
        <f t="shared" si="178"/>
        <v>0</v>
      </c>
      <c r="HWD32" s="28">
        <f t="shared" si="178"/>
        <v>0</v>
      </c>
      <c r="HWE32" s="28">
        <f t="shared" si="178"/>
        <v>0</v>
      </c>
      <c r="HWF32" s="28">
        <f t="shared" si="178"/>
        <v>0</v>
      </c>
      <c r="HWG32" s="28">
        <f t="shared" si="178"/>
        <v>0</v>
      </c>
      <c r="HWH32" s="28">
        <f t="shared" si="178"/>
        <v>0</v>
      </c>
      <c r="HWI32" s="28">
        <f t="shared" si="178"/>
        <v>0</v>
      </c>
      <c r="HWJ32" s="28">
        <f t="shared" si="178"/>
        <v>0</v>
      </c>
      <c r="HWK32" s="28">
        <f t="shared" si="178"/>
        <v>0</v>
      </c>
      <c r="HWL32" s="28">
        <f t="shared" si="178"/>
        <v>0</v>
      </c>
      <c r="HWM32" s="28">
        <f t="shared" si="178"/>
        <v>0</v>
      </c>
      <c r="HWN32" s="28">
        <f t="shared" si="178"/>
        <v>0</v>
      </c>
      <c r="HWO32" s="28">
        <f t="shared" si="178"/>
        <v>0</v>
      </c>
      <c r="HWP32" s="28">
        <f t="shared" si="178"/>
        <v>0</v>
      </c>
      <c r="HWQ32" s="28">
        <f t="shared" si="178"/>
        <v>0</v>
      </c>
      <c r="HWR32" s="28">
        <f t="shared" si="178"/>
        <v>0</v>
      </c>
      <c r="HWS32" s="28">
        <f t="shared" ref="HWS32:HZD32" si="179">IFERROR(HWS31/HWS$4,0)</f>
        <v>0</v>
      </c>
      <c r="HWT32" s="28">
        <f t="shared" si="179"/>
        <v>0</v>
      </c>
      <c r="HWU32" s="28">
        <f t="shared" si="179"/>
        <v>0</v>
      </c>
      <c r="HWV32" s="28">
        <f t="shared" si="179"/>
        <v>0</v>
      </c>
      <c r="HWW32" s="28">
        <f t="shared" si="179"/>
        <v>0</v>
      </c>
      <c r="HWX32" s="28">
        <f t="shared" si="179"/>
        <v>0</v>
      </c>
      <c r="HWY32" s="28">
        <f t="shared" si="179"/>
        <v>0</v>
      </c>
      <c r="HWZ32" s="28">
        <f t="shared" si="179"/>
        <v>0</v>
      </c>
      <c r="HXA32" s="28">
        <f t="shared" si="179"/>
        <v>0</v>
      </c>
      <c r="HXB32" s="28">
        <f t="shared" si="179"/>
        <v>0</v>
      </c>
      <c r="HXC32" s="28">
        <f t="shared" si="179"/>
        <v>0</v>
      </c>
      <c r="HXD32" s="28">
        <f t="shared" si="179"/>
        <v>0</v>
      </c>
      <c r="HXE32" s="28">
        <f t="shared" si="179"/>
        <v>0</v>
      </c>
      <c r="HXF32" s="28">
        <f t="shared" si="179"/>
        <v>0</v>
      </c>
      <c r="HXG32" s="28">
        <f t="shared" si="179"/>
        <v>0</v>
      </c>
      <c r="HXH32" s="28">
        <f t="shared" si="179"/>
        <v>0</v>
      </c>
      <c r="HXI32" s="28">
        <f t="shared" si="179"/>
        <v>0</v>
      </c>
      <c r="HXJ32" s="28">
        <f t="shared" si="179"/>
        <v>0</v>
      </c>
      <c r="HXK32" s="28">
        <f t="shared" si="179"/>
        <v>0</v>
      </c>
      <c r="HXL32" s="28">
        <f t="shared" si="179"/>
        <v>0</v>
      </c>
      <c r="HXM32" s="28">
        <f t="shared" si="179"/>
        <v>0</v>
      </c>
      <c r="HXN32" s="28">
        <f t="shared" si="179"/>
        <v>0</v>
      </c>
      <c r="HXO32" s="28">
        <f t="shared" si="179"/>
        <v>0</v>
      </c>
      <c r="HXP32" s="28">
        <f t="shared" si="179"/>
        <v>0</v>
      </c>
      <c r="HXQ32" s="28">
        <f t="shared" si="179"/>
        <v>0</v>
      </c>
      <c r="HXR32" s="28">
        <f t="shared" si="179"/>
        <v>0</v>
      </c>
      <c r="HXS32" s="28">
        <f t="shared" si="179"/>
        <v>0</v>
      </c>
      <c r="HXT32" s="28">
        <f t="shared" si="179"/>
        <v>0</v>
      </c>
      <c r="HXU32" s="28">
        <f t="shared" si="179"/>
        <v>0</v>
      </c>
      <c r="HXV32" s="28">
        <f t="shared" si="179"/>
        <v>0</v>
      </c>
      <c r="HXW32" s="28">
        <f t="shared" si="179"/>
        <v>0</v>
      </c>
      <c r="HXX32" s="28">
        <f t="shared" si="179"/>
        <v>0</v>
      </c>
      <c r="HXY32" s="28">
        <f t="shared" si="179"/>
        <v>0</v>
      </c>
      <c r="HXZ32" s="28">
        <f t="shared" si="179"/>
        <v>0</v>
      </c>
      <c r="HYA32" s="28">
        <f t="shared" si="179"/>
        <v>0</v>
      </c>
      <c r="HYB32" s="28">
        <f t="shared" si="179"/>
        <v>0</v>
      </c>
      <c r="HYC32" s="28">
        <f t="shared" si="179"/>
        <v>0</v>
      </c>
      <c r="HYD32" s="28">
        <f t="shared" si="179"/>
        <v>0</v>
      </c>
      <c r="HYE32" s="28">
        <f t="shared" si="179"/>
        <v>0</v>
      </c>
      <c r="HYF32" s="28">
        <f t="shared" si="179"/>
        <v>0</v>
      </c>
      <c r="HYG32" s="28">
        <f t="shared" si="179"/>
        <v>0</v>
      </c>
      <c r="HYH32" s="28">
        <f t="shared" si="179"/>
        <v>0</v>
      </c>
      <c r="HYI32" s="28">
        <f t="shared" si="179"/>
        <v>0</v>
      </c>
      <c r="HYJ32" s="28">
        <f t="shared" si="179"/>
        <v>0</v>
      </c>
      <c r="HYK32" s="28">
        <f t="shared" si="179"/>
        <v>0</v>
      </c>
      <c r="HYL32" s="28">
        <f t="shared" si="179"/>
        <v>0</v>
      </c>
      <c r="HYM32" s="28">
        <f t="shared" si="179"/>
        <v>0</v>
      </c>
      <c r="HYN32" s="28">
        <f t="shared" si="179"/>
        <v>0</v>
      </c>
      <c r="HYO32" s="28">
        <f t="shared" si="179"/>
        <v>0</v>
      </c>
      <c r="HYP32" s="28">
        <f t="shared" si="179"/>
        <v>0</v>
      </c>
      <c r="HYQ32" s="28">
        <f t="shared" si="179"/>
        <v>0</v>
      </c>
      <c r="HYR32" s="28">
        <f t="shared" si="179"/>
        <v>0</v>
      </c>
      <c r="HYS32" s="28">
        <f t="shared" si="179"/>
        <v>0</v>
      </c>
      <c r="HYT32" s="28">
        <f t="shared" si="179"/>
        <v>0</v>
      </c>
      <c r="HYU32" s="28">
        <f t="shared" si="179"/>
        <v>0</v>
      </c>
      <c r="HYV32" s="28">
        <f t="shared" si="179"/>
        <v>0</v>
      </c>
      <c r="HYW32" s="28">
        <f t="shared" si="179"/>
        <v>0</v>
      </c>
      <c r="HYX32" s="28">
        <f t="shared" si="179"/>
        <v>0</v>
      </c>
      <c r="HYY32" s="28">
        <f t="shared" si="179"/>
        <v>0</v>
      </c>
      <c r="HYZ32" s="28">
        <f t="shared" si="179"/>
        <v>0</v>
      </c>
      <c r="HZA32" s="28">
        <f t="shared" si="179"/>
        <v>0</v>
      </c>
      <c r="HZB32" s="28">
        <f t="shared" si="179"/>
        <v>0</v>
      </c>
      <c r="HZC32" s="28">
        <f t="shared" si="179"/>
        <v>0</v>
      </c>
      <c r="HZD32" s="28">
        <f t="shared" si="179"/>
        <v>0</v>
      </c>
      <c r="HZE32" s="28">
        <f t="shared" ref="HZE32:IBP32" si="180">IFERROR(HZE31/HZE$4,0)</f>
        <v>0</v>
      </c>
      <c r="HZF32" s="28">
        <f t="shared" si="180"/>
        <v>0</v>
      </c>
      <c r="HZG32" s="28">
        <f t="shared" si="180"/>
        <v>0</v>
      </c>
      <c r="HZH32" s="28">
        <f t="shared" si="180"/>
        <v>0</v>
      </c>
      <c r="HZI32" s="28">
        <f t="shared" si="180"/>
        <v>0</v>
      </c>
      <c r="HZJ32" s="28">
        <f t="shared" si="180"/>
        <v>0</v>
      </c>
      <c r="HZK32" s="28">
        <f t="shared" si="180"/>
        <v>0</v>
      </c>
      <c r="HZL32" s="28">
        <f t="shared" si="180"/>
        <v>0</v>
      </c>
      <c r="HZM32" s="28">
        <f t="shared" si="180"/>
        <v>0</v>
      </c>
      <c r="HZN32" s="28">
        <f t="shared" si="180"/>
        <v>0</v>
      </c>
      <c r="HZO32" s="28">
        <f t="shared" si="180"/>
        <v>0</v>
      </c>
      <c r="HZP32" s="28">
        <f t="shared" si="180"/>
        <v>0</v>
      </c>
      <c r="HZQ32" s="28">
        <f t="shared" si="180"/>
        <v>0</v>
      </c>
      <c r="HZR32" s="28">
        <f t="shared" si="180"/>
        <v>0</v>
      </c>
      <c r="HZS32" s="28">
        <f t="shared" si="180"/>
        <v>0</v>
      </c>
      <c r="HZT32" s="28">
        <f t="shared" si="180"/>
        <v>0</v>
      </c>
      <c r="HZU32" s="28">
        <f t="shared" si="180"/>
        <v>0</v>
      </c>
      <c r="HZV32" s="28">
        <f t="shared" si="180"/>
        <v>0</v>
      </c>
      <c r="HZW32" s="28">
        <f t="shared" si="180"/>
        <v>0</v>
      </c>
      <c r="HZX32" s="28">
        <f t="shared" si="180"/>
        <v>0</v>
      </c>
      <c r="HZY32" s="28">
        <f t="shared" si="180"/>
        <v>0</v>
      </c>
      <c r="HZZ32" s="28">
        <f t="shared" si="180"/>
        <v>0</v>
      </c>
      <c r="IAA32" s="28">
        <f t="shared" si="180"/>
        <v>0</v>
      </c>
      <c r="IAB32" s="28">
        <f t="shared" si="180"/>
        <v>0</v>
      </c>
      <c r="IAC32" s="28">
        <f t="shared" si="180"/>
        <v>0</v>
      </c>
      <c r="IAD32" s="28">
        <f t="shared" si="180"/>
        <v>0</v>
      </c>
      <c r="IAE32" s="28">
        <f t="shared" si="180"/>
        <v>0</v>
      </c>
      <c r="IAF32" s="28">
        <f t="shared" si="180"/>
        <v>0</v>
      </c>
      <c r="IAG32" s="28">
        <f t="shared" si="180"/>
        <v>0</v>
      </c>
      <c r="IAH32" s="28">
        <f t="shared" si="180"/>
        <v>0</v>
      </c>
      <c r="IAI32" s="28">
        <f t="shared" si="180"/>
        <v>0</v>
      </c>
      <c r="IAJ32" s="28">
        <f t="shared" si="180"/>
        <v>0</v>
      </c>
      <c r="IAK32" s="28">
        <f t="shared" si="180"/>
        <v>0</v>
      </c>
      <c r="IAL32" s="28">
        <f t="shared" si="180"/>
        <v>0</v>
      </c>
      <c r="IAM32" s="28">
        <f t="shared" si="180"/>
        <v>0</v>
      </c>
      <c r="IAN32" s="28">
        <f t="shared" si="180"/>
        <v>0</v>
      </c>
      <c r="IAO32" s="28">
        <f t="shared" si="180"/>
        <v>0</v>
      </c>
      <c r="IAP32" s="28">
        <f t="shared" si="180"/>
        <v>0</v>
      </c>
      <c r="IAQ32" s="28">
        <f t="shared" si="180"/>
        <v>0</v>
      </c>
      <c r="IAR32" s="28">
        <f t="shared" si="180"/>
        <v>0</v>
      </c>
      <c r="IAS32" s="28">
        <f t="shared" si="180"/>
        <v>0</v>
      </c>
      <c r="IAT32" s="28">
        <f t="shared" si="180"/>
        <v>0</v>
      </c>
      <c r="IAU32" s="28">
        <f t="shared" si="180"/>
        <v>0</v>
      </c>
      <c r="IAV32" s="28">
        <f t="shared" si="180"/>
        <v>0</v>
      </c>
      <c r="IAW32" s="28">
        <f t="shared" si="180"/>
        <v>0</v>
      </c>
      <c r="IAX32" s="28">
        <f t="shared" si="180"/>
        <v>0</v>
      </c>
      <c r="IAY32" s="28">
        <f t="shared" si="180"/>
        <v>0</v>
      </c>
      <c r="IAZ32" s="28">
        <f t="shared" si="180"/>
        <v>0</v>
      </c>
      <c r="IBA32" s="28">
        <f t="shared" si="180"/>
        <v>0</v>
      </c>
      <c r="IBB32" s="28">
        <f t="shared" si="180"/>
        <v>0</v>
      </c>
      <c r="IBC32" s="28">
        <f t="shared" si="180"/>
        <v>0</v>
      </c>
      <c r="IBD32" s="28">
        <f t="shared" si="180"/>
        <v>0</v>
      </c>
      <c r="IBE32" s="28">
        <f t="shared" si="180"/>
        <v>0</v>
      </c>
      <c r="IBF32" s="28">
        <f t="shared" si="180"/>
        <v>0</v>
      </c>
      <c r="IBG32" s="28">
        <f t="shared" si="180"/>
        <v>0</v>
      </c>
      <c r="IBH32" s="28">
        <f t="shared" si="180"/>
        <v>0</v>
      </c>
      <c r="IBI32" s="28">
        <f t="shared" si="180"/>
        <v>0</v>
      </c>
      <c r="IBJ32" s="28">
        <f t="shared" si="180"/>
        <v>0</v>
      </c>
      <c r="IBK32" s="28">
        <f t="shared" si="180"/>
        <v>0</v>
      </c>
      <c r="IBL32" s="28">
        <f t="shared" si="180"/>
        <v>0</v>
      </c>
      <c r="IBM32" s="28">
        <f t="shared" si="180"/>
        <v>0</v>
      </c>
      <c r="IBN32" s="28">
        <f t="shared" si="180"/>
        <v>0</v>
      </c>
      <c r="IBO32" s="28">
        <f t="shared" si="180"/>
        <v>0</v>
      </c>
      <c r="IBP32" s="28">
        <f t="shared" si="180"/>
        <v>0</v>
      </c>
      <c r="IBQ32" s="28">
        <f t="shared" ref="IBQ32:IEB32" si="181">IFERROR(IBQ31/IBQ$4,0)</f>
        <v>0</v>
      </c>
      <c r="IBR32" s="28">
        <f t="shared" si="181"/>
        <v>0</v>
      </c>
      <c r="IBS32" s="28">
        <f t="shared" si="181"/>
        <v>0</v>
      </c>
      <c r="IBT32" s="28">
        <f t="shared" si="181"/>
        <v>0</v>
      </c>
      <c r="IBU32" s="28">
        <f t="shared" si="181"/>
        <v>0</v>
      </c>
      <c r="IBV32" s="28">
        <f t="shared" si="181"/>
        <v>0</v>
      </c>
      <c r="IBW32" s="28">
        <f t="shared" si="181"/>
        <v>0</v>
      </c>
      <c r="IBX32" s="28">
        <f t="shared" si="181"/>
        <v>0</v>
      </c>
      <c r="IBY32" s="28">
        <f t="shared" si="181"/>
        <v>0</v>
      </c>
      <c r="IBZ32" s="28">
        <f t="shared" si="181"/>
        <v>0</v>
      </c>
      <c r="ICA32" s="28">
        <f t="shared" si="181"/>
        <v>0</v>
      </c>
      <c r="ICB32" s="28">
        <f t="shared" si="181"/>
        <v>0</v>
      </c>
      <c r="ICC32" s="28">
        <f t="shared" si="181"/>
        <v>0</v>
      </c>
      <c r="ICD32" s="28">
        <f t="shared" si="181"/>
        <v>0</v>
      </c>
      <c r="ICE32" s="28">
        <f t="shared" si="181"/>
        <v>0</v>
      </c>
      <c r="ICF32" s="28">
        <f t="shared" si="181"/>
        <v>0</v>
      </c>
      <c r="ICG32" s="28">
        <f t="shared" si="181"/>
        <v>0</v>
      </c>
      <c r="ICH32" s="28">
        <f t="shared" si="181"/>
        <v>0</v>
      </c>
      <c r="ICI32" s="28">
        <f t="shared" si="181"/>
        <v>0</v>
      </c>
      <c r="ICJ32" s="28">
        <f t="shared" si="181"/>
        <v>0</v>
      </c>
      <c r="ICK32" s="28">
        <f t="shared" si="181"/>
        <v>0</v>
      </c>
      <c r="ICL32" s="28">
        <f t="shared" si="181"/>
        <v>0</v>
      </c>
      <c r="ICM32" s="28">
        <f t="shared" si="181"/>
        <v>0</v>
      </c>
      <c r="ICN32" s="28">
        <f t="shared" si="181"/>
        <v>0</v>
      </c>
      <c r="ICO32" s="28">
        <f t="shared" si="181"/>
        <v>0</v>
      </c>
      <c r="ICP32" s="28">
        <f t="shared" si="181"/>
        <v>0</v>
      </c>
      <c r="ICQ32" s="28">
        <f t="shared" si="181"/>
        <v>0</v>
      </c>
      <c r="ICR32" s="28">
        <f t="shared" si="181"/>
        <v>0</v>
      </c>
      <c r="ICS32" s="28">
        <f t="shared" si="181"/>
        <v>0</v>
      </c>
      <c r="ICT32" s="28">
        <f t="shared" si="181"/>
        <v>0</v>
      </c>
      <c r="ICU32" s="28">
        <f t="shared" si="181"/>
        <v>0</v>
      </c>
      <c r="ICV32" s="28">
        <f t="shared" si="181"/>
        <v>0</v>
      </c>
      <c r="ICW32" s="28">
        <f t="shared" si="181"/>
        <v>0</v>
      </c>
      <c r="ICX32" s="28">
        <f t="shared" si="181"/>
        <v>0</v>
      </c>
      <c r="ICY32" s="28">
        <f t="shared" si="181"/>
        <v>0</v>
      </c>
      <c r="ICZ32" s="28">
        <f t="shared" si="181"/>
        <v>0</v>
      </c>
      <c r="IDA32" s="28">
        <f t="shared" si="181"/>
        <v>0</v>
      </c>
      <c r="IDB32" s="28">
        <f t="shared" si="181"/>
        <v>0</v>
      </c>
      <c r="IDC32" s="28">
        <f t="shared" si="181"/>
        <v>0</v>
      </c>
      <c r="IDD32" s="28">
        <f t="shared" si="181"/>
        <v>0</v>
      </c>
      <c r="IDE32" s="28">
        <f t="shared" si="181"/>
        <v>0</v>
      </c>
      <c r="IDF32" s="28">
        <f t="shared" si="181"/>
        <v>0</v>
      </c>
      <c r="IDG32" s="28">
        <f t="shared" si="181"/>
        <v>0</v>
      </c>
      <c r="IDH32" s="28">
        <f t="shared" si="181"/>
        <v>0</v>
      </c>
      <c r="IDI32" s="28">
        <f t="shared" si="181"/>
        <v>0</v>
      </c>
      <c r="IDJ32" s="28">
        <f t="shared" si="181"/>
        <v>0</v>
      </c>
      <c r="IDK32" s="28">
        <f t="shared" si="181"/>
        <v>0</v>
      </c>
      <c r="IDL32" s="28">
        <f t="shared" si="181"/>
        <v>0</v>
      </c>
      <c r="IDM32" s="28">
        <f t="shared" si="181"/>
        <v>0</v>
      </c>
      <c r="IDN32" s="28">
        <f t="shared" si="181"/>
        <v>0</v>
      </c>
      <c r="IDO32" s="28">
        <f t="shared" si="181"/>
        <v>0</v>
      </c>
      <c r="IDP32" s="28">
        <f t="shared" si="181"/>
        <v>0</v>
      </c>
      <c r="IDQ32" s="28">
        <f t="shared" si="181"/>
        <v>0</v>
      </c>
      <c r="IDR32" s="28">
        <f t="shared" si="181"/>
        <v>0</v>
      </c>
      <c r="IDS32" s="28">
        <f t="shared" si="181"/>
        <v>0</v>
      </c>
      <c r="IDT32" s="28">
        <f t="shared" si="181"/>
        <v>0</v>
      </c>
      <c r="IDU32" s="28">
        <f t="shared" si="181"/>
        <v>0</v>
      </c>
      <c r="IDV32" s="28">
        <f t="shared" si="181"/>
        <v>0</v>
      </c>
      <c r="IDW32" s="28">
        <f t="shared" si="181"/>
        <v>0</v>
      </c>
      <c r="IDX32" s="28">
        <f t="shared" si="181"/>
        <v>0</v>
      </c>
      <c r="IDY32" s="28">
        <f t="shared" si="181"/>
        <v>0</v>
      </c>
      <c r="IDZ32" s="28">
        <f t="shared" si="181"/>
        <v>0</v>
      </c>
      <c r="IEA32" s="28">
        <f t="shared" si="181"/>
        <v>0</v>
      </c>
      <c r="IEB32" s="28">
        <f t="shared" si="181"/>
        <v>0</v>
      </c>
      <c r="IEC32" s="28">
        <f t="shared" ref="IEC32:IGN32" si="182">IFERROR(IEC31/IEC$4,0)</f>
        <v>0</v>
      </c>
      <c r="IED32" s="28">
        <f t="shared" si="182"/>
        <v>0</v>
      </c>
      <c r="IEE32" s="28">
        <f t="shared" si="182"/>
        <v>0</v>
      </c>
      <c r="IEF32" s="28">
        <f t="shared" si="182"/>
        <v>0</v>
      </c>
      <c r="IEG32" s="28">
        <f t="shared" si="182"/>
        <v>0</v>
      </c>
      <c r="IEH32" s="28">
        <f t="shared" si="182"/>
        <v>0</v>
      </c>
      <c r="IEI32" s="28">
        <f t="shared" si="182"/>
        <v>0</v>
      </c>
      <c r="IEJ32" s="28">
        <f t="shared" si="182"/>
        <v>0</v>
      </c>
      <c r="IEK32" s="28">
        <f t="shared" si="182"/>
        <v>0</v>
      </c>
      <c r="IEL32" s="28">
        <f t="shared" si="182"/>
        <v>0</v>
      </c>
      <c r="IEM32" s="28">
        <f t="shared" si="182"/>
        <v>0</v>
      </c>
      <c r="IEN32" s="28">
        <f t="shared" si="182"/>
        <v>0</v>
      </c>
      <c r="IEO32" s="28">
        <f t="shared" si="182"/>
        <v>0</v>
      </c>
      <c r="IEP32" s="28">
        <f t="shared" si="182"/>
        <v>0</v>
      </c>
      <c r="IEQ32" s="28">
        <f t="shared" si="182"/>
        <v>0</v>
      </c>
      <c r="IER32" s="28">
        <f t="shared" si="182"/>
        <v>0</v>
      </c>
      <c r="IES32" s="28">
        <f t="shared" si="182"/>
        <v>0</v>
      </c>
      <c r="IET32" s="28">
        <f t="shared" si="182"/>
        <v>0</v>
      </c>
      <c r="IEU32" s="28">
        <f t="shared" si="182"/>
        <v>0</v>
      </c>
      <c r="IEV32" s="28">
        <f t="shared" si="182"/>
        <v>0</v>
      </c>
      <c r="IEW32" s="28">
        <f t="shared" si="182"/>
        <v>0</v>
      </c>
      <c r="IEX32" s="28">
        <f t="shared" si="182"/>
        <v>0</v>
      </c>
      <c r="IEY32" s="28">
        <f t="shared" si="182"/>
        <v>0</v>
      </c>
      <c r="IEZ32" s="28">
        <f t="shared" si="182"/>
        <v>0</v>
      </c>
      <c r="IFA32" s="28">
        <f t="shared" si="182"/>
        <v>0</v>
      </c>
      <c r="IFB32" s="28">
        <f t="shared" si="182"/>
        <v>0</v>
      </c>
      <c r="IFC32" s="28">
        <f t="shared" si="182"/>
        <v>0</v>
      </c>
      <c r="IFD32" s="28">
        <f t="shared" si="182"/>
        <v>0</v>
      </c>
      <c r="IFE32" s="28">
        <f t="shared" si="182"/>
        <v>0</v>
      </c>
      <c r="IFF32" s="28">
        <f t="shared" si="182"/>
        <v>0</v>
      </c>
      <c r="IFG32" s="28">
        <f t="shared" si="182"/>
        <v>0</v>
      </c>
      <c r="IFH32" s="28">
        <f t="shared" si="182"/>
        <v>0</v>
      </c>
      <c r="IFI32" s="28">
        <f t="shared" si="182"/>
        <v>0</v>
      </c>
      <c r="IFJ32" s="28">
        <f t="shared" si="182"/>
        <v>0</v>
      </c>
      <c r="IFK32" s="28">
        <f t="shared" si="182"/>
        <v>0</v>
      </c>
      <c r="IFL32" s="28">
        <f t="shared" si="182"/>
        <v>0</v>
      </c>
      <c r="IFM32" s="28">
        <f t="shared" si="182"/>
        <v>0</v>
      </c>
      <c r="IFN32" s="28">
        <f t="shared" si="182"/>
        <v>0</v>
      </c>
      <c r="IFO32" s="28">
        <f t="shared" si="182"/>
        <v>0</v>
      </c>
      <c r="IFP32" s="28">
        <f t="shared" si="182"/>
        <v>0</v>
      </c>
      <c r="IFQ32" s="28">
        <f t="shared" si="182"/>
        <v>0</v>
      </c>
      <c r="IFR32" s="28">
        <f t="shared" si="182"/>
        <v>0</v>
      </c>
      <c r="IFS32" s="28">
        <f t="shared" si="182"/>
        <v>0</v>
      </c>
      <c r="IFT32" s="28">
        <f t="shared" si="182"/>
        <v>0</v>
      </c>
      <c r="IFU32" s="28">
        <f t="shared" si="182"/>
        <v>0</v>
      </c>
      <c r="IFV32" s="28">
        <f t="shared" si="182"/>
        <v>0</v>
      </c>
      <c r="IFW32" s="28">
        <f t="shared" si="182"/>
        <v>0</v>
      </c>
      <c r="IFX32" s="28">
        <f t="shared" si="182"/>
        <v>0</v>
      </c>
      <c r="IFY32" s="28">
        <f t="shared" si="182"/>
        <v>0</v>
      </c>
      <c r="IFZ32" s="28">
        <f t="shared" si="182"/>
        <v>0</v>
      </c>
      <c r="IGA32" s="28">
        <f t="shared" si="182"/>
        <v>0</v>
      </c>
      <c r="IGB32" s="28">
        <f t="shared" si="182"/>
        <v>0</v>
      </c>
      <c r="IGC32" s="28">
        <f t="shared" si="182"/>
        <v>0</v>
      </c>
      <c r="IGD32" s="28">
        <f t="shared" si="182"/>
        <v>0</v>
      </c>
      <c r="IGE32" s="28">
        <f t="shared" si="182"/>
        <v>0</v>
      </c>
      <c r="IGF32" s="28">
        <f t="shared" si="182"/>
        <v>0</v>
      </c>
      <c r="IGG32" s="28">
        <f t="shared" si="182"/>
        <v>0</v>
      </c>
      <c r="IGH32" s="28">
        <f t="shared" si="182"/>
        <v>0</v>
      </c>
      <c r="IGI32" s="28">
        <f t="shared" si="182"/>
        <v>0</v>
      </c>
      <c r="IGJ32" s="28">
        <f t="shared" si="182"/>
        <v>0</v>
      </c>
      <c r="IGK32" s="28">
        <f t="shared" si="182"/>
        <v>0</v>
      </c>
      <c r="IGL32" s="28">
        <f t="shared" si="182"/>
        <v>0</v>
      </c>
      <c r="IGM32" s="28">
        <f t="shared" si="182"/>
        <v>0</v>
      </c>
      <c r="IGN32" s="28">
        <f t="shared" si="182"/>
        <v>0</v>
      </c>
      <c r="IGO32" s="28">
        <f t="shared" ref="IGO32:IIZ32" si="183">IFERROR(IGO31/IGO$4,0)</f>
        <v>0</v>
      </c>
      <c r="IGP32" s="28">
        <f t="shared" si="183"/>
        <v>0</v>
      </c>
      <c r="IGQ32" s="28">
        <f t="shared" si="183"/>
        <v>0</v>
      </c>
      <c r="IGR32" s="28">
        <f t="shared" si="183"/>
        <v>0</v>
      </c>
      <c r="IGS32" s="28">
        <f t="shared" si="183"/>
        <v>0</v>
      </c>
      <c r="IGT32" s="28">
        <f t="shared" si="183"/>
        <v>0</v>
      </c>
      <c r="IGU32" s="28">
        <f t="shared" si="183"/>
        <v>0</v>
      </c>
      <c r="IGV32" s="28">
        <f t="shared" si="183"/>
        <v>0</v>
      </c>
      <c r="IGW32" s="28">
        <f t="shared" si="183"/>
        <v>0</v>
      </c>
      <c r="IGX32" s="28">
        <f t="shared" si="183"/>
        <v>0</v>
      </c>
      <c r="IGY32" s="28">
        <f t="shared" si="183"/>
        <v>0</v>
      </c>
      <c r="IGZ32" s="28">
        <f t="shared" si="183"/>
        <v>0</v>
      </c>
      <c r="IHA32" s="28">
        <f t="shared" si="183"/>
        <v>0</v>
      </c>
      <c r="IHB32" s="28">
        <f t="shared" si="183"/>
        <v>0</v>
      </c>
      <c r="IHC32" s="28">
        <f t="shared" si="183"/>
        <v>0</v>
      </c>
      <c r="IHD32" s="28">
        <f t="shared" si="183"/>
        <v>0</v>
      </c>
      <c r="IHE32" s="28">
        <f t="shared" si="183"/>
        <v>0</v>
      </c>
      <c r="IHF32" s="28">
        <f t="shared" si="183"/>
        <v>0</v>
      </c>
      <c r="IHG32" s="28">
        <f t="shared" si="183"/>
        <v>0</v>
      </c>
      <c r="IHH32" s="28">
        <f t="shared" si="183"/>
        <v>0</v>
      </c>
      <c r="IHI32" s="28">
        <f t="shared" si="183"/>
        <v>0</v>
      </c>
      <c r="IHJ32" s="28">
        <f t="shared" si="183"/>
        <v>0</v>
      </c>
      <c r="IHK32" s="28">
        <f t="shared" si="183"/>
        <v>0</v>
      </c>
      <c r="IHL32" s="28">
        <f t="shared" si="183"/>
        <v>0</v>
      </c>
      <c r="IHM32" s="28">
        <f t="shared" si="183"/>
        <v>0</v>
      </c>
      <c r="IHN32" s="28">
        <f t="shared" si="183"/>
        <v>0</v>
      </c>
      <c r="IHO32" s="28">
        <f t="shared" si="183"/>
        <v>0</v>
      </c>
      <c r="IHP32" s="28">
        <f t="shared" si="183"/>
        <v>0</v>
      </c>
      <c r="IHQ32" s="28">
        <f t="shared" si="183"/>
        <v>0</v>
      </c>
      <c r="IHR32" s="28">
        <f t="shared" si="183"/>
        <v>0</v>
      </c>
      <c r="IHS32" s="28">
        <f t="shared" si="183"/>
        <v>0</v>
      </c>
      <c r="IHT32" s="28">
        <f t="shared" si="183"/>
        <v>0</v>
      </c>
      <c r="IHU32" s="28">
        <f t="shared" si="183"/>
        <v>0</v>
      </c>
      <c r="IHV32" s="28">
        <f t="shared" si="183"/>
        <v>0</v>
      </c>
      <c r="IHW32" s="28">
        <f t="shared" si="183"/>
        <v>0</v>
      </c>
      <c r="IHX32" s="28">
        <f t="shared" si="183"/>
        <v>0</v>
      </c>
      <c r="IHY32" s="28">
        <f t="shared" si="183"/>
        <v>0</v>
      </c>
      <c r="IHZ32" s="28">
        <f t="shared" si="183"/>
        <v>0</v>
      </c>
      <c r="IIA32" s="28">
        <f t="shared" si="183"/>
        <v>0</v>
      </c>
      <c r="IIB32" s="28">
        <f t="shared" si="183"/>
        <v>0</v>
      </c>
      <c r="IIC32" s="28">
        <f t="shared" si="183"/>
        <v>0</v>
      </c>
      <c r="IID32" s="28">
        <f t="shared" si="183"/>
        <v>0</v>
      </c>
      <c r="IIE32" s="28">
        <f t="shared" si="183"/>
        <v>0</v>
      </c>
      <c r="IIF32" s="28">
        <f t="shared" si="183"/>
        <v>0</v>
      </c>
      <c r="IIG32" s="28">
        <f t="shared" si="183"/>
        <v>0</v>
      </c>
      <c r="IIH32" s="28">
        <f t="shared" si="183"/>
        <v>0</v>
      </c>
      <c r="III32" s="28">
        <f t="shared" si="183"/>
        <v>0</v>
      </c>
      <c r="IIJ32" s="28">
        <f t="shared" si="183"/>
        <v>0</v>
      </c>
      <c r="IIK32" s="28">
        <f t="shared" si="183"/>
        <v>0</v>
      </c>
      <c r="IIL32" s="28">
        <f t="shared" si="183"/>
        <v>0</v>
      </c>
      <c r="IIM32" s="28">
        <f t="shared" si="183"/>
        <v>0</v>
      </c>
      <c r="IIN32" s="28">
        <f t="shared" si="183"/>
        <v>0</v>
      </c>
      <c r="IIO32" s="28">
        <f t="shared" si="183"/>
        <v>0</v>
      </c>
      <c r="IIP32" s="28">
        <f t="shared" si="183"/>
        <v>0</v>
      </c>
      <c r="IIQ32" s="28">
        <f t="shared" si="183"/>
        <v>0</v>
      </c>
      <c r="IIR32" s="28">
        <f t="shared" si="183"/>
        <v>0</v>
      </c>
      <c r="IIS32" s="28">
        <f t="shared" si="183"/>
        <v>0</v>
      </c>
      <c r="IIT32" s="28">
        <f t="shared" si="183"/>
        <v>0</v>
      </c>
      <c r="IIU32" s="28">
        <f t="shared" si="183"/>
        <v>0</v>
      </c>
      <c r="IIV32" s="28">
        <f t="shared" si="183"/>
        <v>0</v>
      </c>
      <c r="IIW32" s="28">
        <f t="shared" si="183"/>
        <v>0</v>
      </c>
      <c r="IIX32" s="28">
        <f t="shared" si="183"/>
        <v>0</v>
      </c>
      <c r="IIY32" s="28">
        <f t="shared" si="183"/>
        <v>0</v>
      </c>
      <c r="IIZ32" s="28">
        <f t="shared" si="183"/>
        <v>0</v>
      </c>
      <c r="IJA32" s="28">
        <f t="shared" ref="IJA32:ILL32" si="184">IFERROR(IJA31/IJA$4,0)</f>
        <v>0</v>
      </c>
      <c r="IJB32" s="28">
        <f t="shared" si="184"/>
        <v>0</v>
      </c>
      <c r="IJC32" s="28">
        <f t="shared" si="184"/>
        <v>0</v>
      </c>
      <c r="IJD32" s="28">
        <f t="shared" si="184"/>
        <v>0</v>
      </c>
      <c r="IJE32" s="28">
        <f t="shared" si="184"/>
        <v>0</v>
      </c>
      <c r="IJF32" s="28">
        <f t="shared" si="184"/>
        <v>0</v>
      </c>
      <c r="IJG32" s="28">
        <f t="shared" si="184"/>
        <v>0</v>
      </c>
      <c r="IJH32" s="28">
        <f t="shared" si="184"/>
        <v>0</v>
      </c>
      <c r="IJI32" s="28">
        <f t="shared" si="184"/>
        <v>0</v>
      </c>
      <c r="IJJ32" s="28">
        <f t="shared" si="184"/>
        <v>0</v>
      </c>
      <c r="IJK32" s="28">
        <f t="shared" si="184"/>
        <v>0</v>
      </c>
      <c r="IJL32" s="28">
        <f t="shared" si="184"/>
        <v>0</v>
      </c>
      <c r="IJM32" s="28">
        <f t="shared" si="184"/>
        <v>0</v>
      </c>
      <c r="IJN32" s="28">
        <f t="shared" si="184"/>
        <v>0</v>
      </c>
      <c r="IJO32" s="28">
        <f t="shared" si="184"/>
        <v>0</v>
      </c>
      <c r="IJP32" s="28">
        <f t="shared" si="184"/>
        <v>0</v>
      </c>
      <c r="IJQ32" s="28">
        <f t="shared" si="184"/>
        <v>0</v>
      </c>
      <c r="IJR32" s="28">
        <f t="shared" si="184"/>
        <v>0</v>
      </c>
      <c r="IJS32" s="28">
        <f t="shared" si="184"/>
        <v>0</v>
      </c>
      <c r="IJT32" s="28">
        <f t="shared" si="184"/>
        <v>0</v>
      </c>
      <c r="IJU32" s="28">
        <f t="shared" si="184"/>
        <v>0</v>
      </c>
      <c r="IJV32" s="28">
        <f t="shared" si="184"/>
        <v>0</v>
      </c>
      <c r="IJW32" s="28">
        <f t="shared" si="184"/>
        <v>0</v>
      </c>
      <c r="IJX32" s="28">
        <f t="shared" si="184"/>
        <v>0</v>
      </c>
      <c r="IJY32" s="28">
        <f t="shared" si="184"/>
        <v>0</v>
      </c>
      <c r="IJZ32" s="28">
        <f t="shared" si="184"/>
        <v>0</v>
      </c>
      <c r="IKA32" s="28">
        <f t="shared" si="184"/>
        <v>0</v>
      </c>
      <c r="IKB32" s="28">
        <f t="shared" si="184"/>
        <v>0</v>
      </c>
      <c r="IKC32" s="28">
        <f t="shared" si="184"/>
        <v>0</v>
      </c>
      <c r="IKD32" s="28">
        <f t="shared" si="184"/>
        <v>0</v>
      </c>
      <c r="IKE32" s="28">
        <f t="shared" si="184"/>
        <v>0</v>
      </c>
      <c r="IKF32" s="28">
        <f t="shared" si="184"/>
        <v>0</v>
      </c>
      <c r="IKG32" s="28">
        <f t="shared" si="184"/>
        <v>0</v>
      </c>
      <c r="IKH32" s="28">
        <f t="shared" si="184"/>
        <v>0</v>
      </c>
      <c r="IKI32" s="28">
        <f t="shared" si="184"/>
        <v>0</v>
      </c>
      <c r="IKJ32" s="28">
        <f t="shared" si="184"/>
        <v>0</v>
      </c>
      <c r="IKK32" s="28">
        <f t="shared" si="184"/>
        <v>0</v>
      </c>
      <c r="IKL32" s="28">
        <f t="shared" si="184"/>
        <v>0</v>
      </c>
      <c r="IKM32" s="28">
        <f t="shared" si="184"/>
        <v>0</v>
      </c>
      <c r="IKN32" s="28">
        <f t="shared" si="184"/>
        <v>0</v>
      </c>
      <c r="IKO32" s="28">
        <f t="shared" si="184"/>
        <v>0</v>
      </c>
      <c r="IKP32" s="28">
        <f t="shared" si="184"/>
        <v>0</v>
      </c>
      <c r="IKQ32" s="28">
        <f t="shared" si="184"/>
        <v>0</v>
      </c>
      <c r="IKR32" s="28">
        <f t="shared" si="184"/>
        <v>0</v>
      </c>
      <c r="IKS32" s="28">
        <f t="shared" si="184"/>
        <v>0</v>
      </c>
      <c r="IKT32" s="28">
        <f t="shared" si="184"/>
        <v>0</v>
      </c>
      <c r="IKU32" s="28">
        <f t="shared" si="184"/>
        <v>0</v>
      </c>
      <c r="IKV32" s="28">
        <f t="shared" si="184"/>
        <v>0</v>
      </c>
      <c r="IKW32" s="28">
        <f t="shared" si="184"/>
        <v>0</v>
      </c>
      <c r="IKX32" s="28">
        <f t="shared" si="184"/>
        <v>0</v>
      </c>
      <c r="IKY32" s="28">
        <f t="shared" si="184"/>
        <v>0</v>
      </c>
      <c r="IKZ32" s="28">
        <f t="shared" si="184"/>
        <v>0</v>
      </c>
      <c r="ILA32" s="28">
        <f t="shared" si="184"/>
        <v>0</v>
      </c>
      <c r="ILB32" s="28">
        <f t="shared" si="184"/>
        <v>0</v>
      </c>
      <c r="ILC32" s="28">
        <f t="shared" si="184"/>
        <v>0</v>
      </c>
      <c r="ILD32" s="28">
        <f t="shared" si="184"/>
        <v>0</v>
      </c>
      <c r="ILE32" s="28">
        <f t="shared" si="184"/>
        <v>0</v>
      </c>
      <c r="ILF32" s="28">
        <f t="shared" si="184"/>
        <v>0</v>
      </c>
      <c r="ILG32" s="28">
        <f t="shared" si="184"/>
        <v>0</v>
      </c>
      <c r="ILH32" s="28">
        <f t="shared" si="184"/>
        <v>0</v>
      </c>
      <c r="ILI32" s="28">
        <f t="shared" si="184"/>
        <v>0</v>
      </c>
      <c r="ILJ32" s="28">
        <f t="shared" si="184"/>
        <v>0</v>
      </c>
      <c r="ILK32" s="28">
        <f t="shared" si="184"/>
        <v>0</v>
      </c>
      <c r="ILL32" s="28">
        <f t="shared" si="184"/>
        <v>0</v>
      </c>
      <c r="ILM32" s="28">
        <f t="shared" ref="ILM32:INX32" si="185">IFERROR(ILM31/ILM$4,0)</f>
        <v>0</v>
      </c>
      <c r="ILN32" s="28">
        <f t="shared" si="185"/>
        <v>0</v>
      </c>
      <c r="ILO32" s="28">
        <f t="shared" si="185"/>
        <v>0</v>
      </c>
      <c r="ILP32" s="28">
        <f t="shared" si="185"/>
        <v>0</v>
      </c>
      <c r="ILQ32" s="28">
        <f t="shared" si="185"/>
        <v>0</v>
      </c>
      <c r="ILR32" s="28">
        <f t="shared" si="185"/>
        <v>0</v>
      </c>
      <c r="ILS32" s="28">
        <f t="shared" si="185"/>
        <v>0</v>
      </c>
      <c r="ILT32" s="28">
        <f t="shared" si="185"/>
        <v>0</v>
      </c>
      <c r="ILU32" s="28">
        <f t="shared" si="185"/>
        <v>0</v>
      </c>
      <c r="ILV32" s="28">
        <f t="shared" si="185"/>
        <v>0</v>
      </c>
      <c r="ILW32" s="28">
        <f t="shared" si="185"/>
        <v>0</v>
      </c>
      <c r="ILX32" s="28">
        <f t="shared" si="185"/>
        <v>0</v>
      </c>
      <c r="ILY32" s="28">
        <f t="shared" si="185"/>
        <v>0</v>
      </c>
      <c r="ILZ32" s="28">
        <f t="shared" si="185"/>
        <v>0</v>
      </c>
      <c r="IMA32" s="28">
        <f t="shared" si="185"/>
        <v>0</v>
      </c>
      <c r="IMB32" s="28">
        <f t="shared" si="185"/>
        <v>0</v>
      </c>
      <c r="IMC32" s="28">
        <f t="shared" si="185"/>
        <v>0</v>
      </c>
      <c r="IMD32" s="28">
        <f t="shared" si="185"/>
        <v>0</v>
      </c>
      <c r="IME32" s="28">
        <f t="shared" si="185"/>
        <v>0</v>
      </c>
      <c r="IMF32" s="28">
        <f t="shared" si="185"/>
        <v>0</v>
      </c>
      <c r="IMG32" s="28">
        <f t="shared" si="185"/>
        <v>0</v>
      </c>
      <c r="IMH32" s="28">
        <f t="shared" si="185"/>
        <v>0</v>
      </c>
      <c r="IMI32" s="28">
        <f t="shared" si="185"/>
        <v>0</v>
      </c>
      <c r="IMJ32" s="28">
        <f t="shared" si="185"/>
        <v>0</v>
      </c>
      <c r="IMK32" s="28">
        <f t="shared" si="185"/>
        <v>0</v>
      </c>
      <c r="IML32" s="28">
        <f t="shared" si="185"/>
        <v>0</v>
      </c>
      <c r="IMM32" s="28">
        <f t="shared" si="185"/>
        <v>0</v>
      </c>
      <c r="IMN32" s="28">
        <f t="shared" si="185"/>
        <v>0</v>
      </c>
      <c r="IMO32" s="28">
        <f t="shared" si="185"/>
        <v>0</v>
      </c>
      <c r="IMP32" s="28">
        <f t="shared" si="185"/>
        <v>0</v>
      </c>
      <c r="IMQ32" s="28">
        <f t="shared" si="185"/>
        <v>0</v>
      </c>
      <c r="IMR32" s="28">
        <f t="shared" si="185"/>
        <v>0</v>
      </c>
      <c r="IMS32" s="28">
        <f t="shared" si="185"/>
        <v>0</v>
      </c>
      <c r="IMT32" s="28">
        <f t="shared" si="185"/>
        <v>0</v>
      </c>
      <c r="IMU32" s="28">
        <f t="shared" si="185"/>
        <v>0</v>
      </c>
      <c r="IMV32" s="28">
        <f t="shared" si="185"/>
        <v>0</v>
      </c>
      <c r="IMW32" s="28">
        <f t="shared" si="185"/>
        <v>0</v>
      </c>
      <c r="IMX32" s="28">
        <f t="shared" si="185"/>
        <v>0</v>
      </c>
      <c r="IMY32" s="28">
        <f t="shared" si="185"/>
        <v>0</v>
      </c>
      <c r="IMZ32" s="28">
        <f t="shared" si="185"/>
        <v>0</v>
      </c>
      <c r="INA32" s="28">
        <f t="shared" si="185"/>
        <v>0</v>
      </c>
      <c r="INB32" s="28">
        <f t="shared" si="185"/>
        <v>0</v>
      </c>
      <c r="INC32" s="28">
        <f t="shared" si="185"/>
        <v>0</v>
      </c>
      <c r="IND32" s="28">
        <f t="shared" si="185"/>
        <v>0</v>
      </c>
      <c r="INE32" s="28">
        <f t="shared" si="185"/>
        <v>0</v>
      </c>
      <c r="INF32" s="28">
        <f t="shared" si="185"/>
        <v>0</v>
      </c>
      <c r="ING32" s="28">
        <f t="shared" si="185"/>
        <v>0</v>
      </c>
      <c r="INH32" s="28">
        <f t="shared" si="185"/>
        <v>0</v>
      </c>
      <c r="INI32" s="28">
        <f t="shared" si="185"/>
        <v>0</v>
      </c>
      <c r="INJ32" s="28">
        <f t="shared" si="185"/>
        <v>0</v>
      </c>
      <c r="INK32" s="28">
        <f t="shared" si="185"/>
        <v>0</v>
      </c>
      <c r="INL32" s="28">
        <f t="shared" si="185"/>
        <v>0</v>
      </c>
      <c r="INM32" s="28">
        <f t="shared" si="185"/>
        <v>0</v>
      </c>
      <c r="INN32" s="28">
        <f t="shared" si="185"/>
        <v>0</v>
      </c>
      <c r="INO32" s="28">
        <f t="shared" si="185"/>
        <v>0</v>
      </c>
      <c r="INP32" s="28">
        <f t="shared" si="185"/>
        <v>0</v>
      </c>
      <c r="INQ32" s="28">
        <f t="shared" si="185"/>
        <v>0</v>
      </c>
      <c r="INR32" s="28">
        <f t="shared" si="185"/>
        <v>0</v>
      </c>
      <c r="INS32" s="28">
        <f t="shared" si="185"/>
        <v>0</v>
      </c>
      <c r="INT32" s="28">
        <f t="shared" si="185"/>
        <v>0</v>
      </c>
      <c r="INU32" s="28">
        <f t="shared" si="185"/>
        <v>0</v>
      </c>
      <c r="INV32" s="28">
        <f t="shared" si="185"/>
        <v>0</v>
      </c>
      <c r="INW32" s="28">
        <f t="shared" si="185"/>
        <v>0</v>
      </c>
      <c r="INX32" s="28">
        <f t="shared" si="185"/>
        <v>0</v>
      </c>
      <c r="INY32" s="28">
        <f t="shared" ref="INY32:IQJ32" si="186">IFERROR(INY31/INY$4,0)</f>
        <v>0</v>
      </c>
      <c r="INZ32" s="28">
        <f t="shared" si="186"/>
        <v>0</v>
      </c>
      <c r="IOA32" s="28">
        <f t="shared" si="186"/>
        <v>0</v>
      </c>
      <c r="IOB32" s="28">
        <f t="shared" si="186"/>
        <v>0</v>
      </c>
      <c r="IOC32" s="28">
        <f t="shared" si="186"/>
        <v>0</v>
      </c>
      <c r="IOD32" s="28">
        <f t="shared" si="186"/>
        <v>0</v>
      </c>
      <c r="IOE32" s="28">
        <f t="shared" si="186"/>
        <v>0</v>
      </c>
      <c r="IOF32" s="28">
        <f t="shared" si="186"/>
        <v>0</v>
      </c>
      <c r="IOG32" s="28">
        <f t="shared" si="186"/>
        <v>0</v>
      </c>
      <c r="IOH32" s="28">
        <f t="shared" si="186"/>
        <v>0</v>
      </c>
      <c r="IOI32" s="28">
        <f t="shared" si="186"/>
        <v>0</v>
      </c>
      <c r="IOJ32" s="28">
        <f t="shared" si="186"/>
        <v>0</v>
      </c>
      <c r="IOK32" s="28">
        <f t="shared" si="186"/>
        <v>0</v>
      </c>
      <c r="IOL32" s="28">
        <f t="shared" si="186"/>
        <v>0</v>
      </c>
      <c r="IOM32" s="28">
        <f t="shared" si="186"/>
        <v>0</v>
      </c>
      <c r="ION32" s="28">
        <f t="shared" si="186"/>
        <v>0</v>
      </c>
      <c r="IOO32" s="28">
        <f t="shared" si="186"/>
        <v>0</v>
      </c>
      <c r="IOP32" s="28">
        <f t="shared" si="186"/>
        <v>0</v>
      </c>
      <c r="IOQ32" s="28">
        <f t="shared" si="186"/>
        <v>0</v>
      </c>
      <c r="IOR32" s="28">
        <f t="shared" si="186"/>
        <v>0</v>
      </c>
      <c r="IOS32" s="28">
        <f t="shared" si="186"/>
        <v>0</v>
      </c>
      <c r="IOT32" s="28">
        <f t="shared" si="186"/>
        <v>0</v>
      </c>
      <c r="IOU32" s="28">
        <f t="shared" si="186"/>
        <v>0</v>
      </c>
      <c r="IOV32" s="28">
        <f t="shared" si="186"/>
        <v>0</v>
      </c>
      <c r="IOW32" s="28">
        <f t="shared" si="186"/>
        <v>0</v>
      </c>
      <c r="IOX32" s="28">
        <f t="shared" si="186"/>
        <v>0</v>
      </c>
      <c r="IOY32" s="28">
        <f t="shared" si="186"/>
        <v>0</v>
      </c>
      <c r="IOZ32" s="28">
        <f t="shared" si="186"/>
        <v>0</v>
      </c>
      <c r="IPA32" s="28">
        <f t="shared" si="186"/>
        <v>0</v>
      </c>
      <c r="IPB32" s="28">
        <f t="shared" si="186"/>
        <v>0</v>
      </c>
      <c r="IPC32" s="28">
        <f t="shared" si="186"/>
        <v>0</v>
      </c>
      <c r="IPD32" s="28">
        <f t="shared" si="186"/>
        <v>0</v>
      </c>
      <c r="IPE32" s="28">
        <f t="shared" si="186"/>
        <v>0</v>
      </c>
      <c r="IPF32" s="28">
        <f t="shared" si="186"/>
        <v>0</v>
      </c>
      <c r="IPG32" s="28">
        <f t="shared" si="186"/>
        <v>0</v>
      </c>
      <c r="IPH32" s="28">
        <f t="shared" si="186"/>
        <v>0</v>
      </c>
      <c r="IPI32" s="28">
        <f t="shared" si="186"/>
        <v>0</v>
      </c>
      <c r="IPJ32" s="28">
        <f t="shared" si="186"/>
        <v>0</v>
      </c>
      <c r="IPK32" s="28">
        <f t="shared" si="186"/>
        <v>0</v>
      </c>
      <c r="IPL32" s="28">
        <f t="shared" si="186"/>
        <v>0</v>
      </c>
      <c r="IPM32" s="28">
        <f t="shared" si="186"/>
        <v>0</v>
      </c>
      <c r="IPN32" s="28">
        <f t="shared" si="186"/>
        <v>0</v>
      </c>
      <c r="IPO32" s="28">
        <f t="shared" si="186"/>
        <v>0</v>
      </c>
      <c r="IPP32" s="28">
        <f t="shared" si="186"/>
        <v>0</v>
      </c>
      <c r="IPQ32" s="28">
        <f t="shared" si="186"/>
        <v>0</v>
      </c>
      <c r="IPR32" s="28">
        <f t="shared" si="186"/>
        <v>0</v>
      </c>
      <c r="IPS32" s="28">
        <f t="shared" si="186"/>
        <v>0</v>
      </c>
      <c r="IPT32" s="28">
        <f t="shared" si="186"/>
        <v>0</v>
      </c>
      <c r="IPU32" s="28">
        <f t="shared" si="186"/>
        <v>0</v>
      </c>
      <c r="IPV32" s="28">
        <f t="shared" si="186"/>
        <v>0</v>
      </c>
      <c r="IPW32" s="28">
        <f t="shared" si="186"/>
        <v>0</v>
      </c>
      <c r="IPX32" s="28">
        <f t="shared" si="186"/>
        <v>0</v>
      </c>
      <c r="IPY32" s="28">
        <f t="shared" si="186"/>
        <v>0</v>
      </c>
      <c r="IPZ32" s="28">
        <f t="shared" si="186"/>
        <v>0</v>
      </c>
      <c r="IQA32" s="28">
        <f t="shared" si="186"/>
        <v>0</v>
      </c>
      <c r="IQB32" s="28">
        <f t="shared" si="186"/>
        <v>0</v>
      </c>
      <c r="IQC32" s="28">
        <f t="shared" si="186"/>
        <v>0</v>
      </c>
      <c r="IQD32" s="28">
        <f t="shared" si="186"/>
        <v>0</v>
      </c>
      <c r="IQE32" s="28">
        <f t="shared" si="186"/>
        <v>0</v>
      </c>
      <c r="IQF32" s="28">
        <f t="shared" si="186"/>
        <v>0</v>
      </c>
      <c r="IQG32" s="28">
        <f t="shared" si="186"/>
        <v>0</v>
      </c>
      <c r="IQH32" s="28">
        <f t="shared" si="186"/>
        <v>0</v>
      </c>
      <c r="IQI32" s="28">
        <f t="shared" si="186"/>
        <v>0</v>
      </c>
      <c r="IQJ32" s="28">
        <f t="shared" si="186"/>
        <v>0</v>
      </c>
      <c r="IQK32" s="28">
        <f t="shared" ref="IQK32:ISV32" si="187">IFERROR(IQK31/IQK$4,0)</f>
        <v>0</v>
      </c>
      <c r="IQL32" s="28">
        <f t="shared" si="187"/>
        <v>0</v>
      </c>
      <c r="IQM32" s="28">
        <f t="shared" si="187"/>
        <v>0</v>
      </c>
      <c r="IQN32" s="28">
        <f t="shared" si="187"/>
        <v>0</v>
      </c>
      <c r="IQO32" s="28">
        <f t="shared" si="187"/>
        <v>0</v>
      </c>
      <c r="IQP32" s="28">
        <f t="shared" si="187"/>
        <v>0</v>
      </c>
      <c r="IQQ32" s="28">
        <f t="shared" si="187"/>
        <v>0</v>
      </c>
      <c r="IQR32" s="28">
        <f t="shared" si="187"/>
        <v>0</v>
      </c>
      <c r="IQS32" s="28">
        <f t="shared" si="187"/>
        <v>0</v>
      </c>
      <c r="IQT32" s="28">
        <f t="shared" si="187"/>
        <v>0</v>
      </c>
      <c r="IQU32" s="28">
        <f t="shared" si="187"/>
        <v>0</v>
      </c>
      <c r="IQV32" s="28">
        <f t="shared" si="187"/>
        <v>0</v>
      </c>
      <c r="IQW32" s="28">
        <f t="shared" si="187"/>
        <v>0</v>
      </c>
      <c r="IQX32" s="28">
        <f t="shared" si="187"/>
        <v>0</v>
      </c>
      <c r="IQY32" s="28">
        <f t="shared" si="187"/>
        <v>0</v>
      </c>
      <c r="IQZ32" s="28">
        <f t="shared" si="187"/>
        <v>0</v>
      </c>
      <c r="IRA32" s="28">
        <f t="shared" si="187"/>
        <v>0</v>
      </c>
      <c r="IRB32" s="28">
        <f t="shared" si="187"/>
        <v>0</v>
      </c>
      <c r="IRC32" s="28">
        <f t="shared" si="187"/>
        <v>0</v>
      </c>
      <c r="IRD32" s="28">
        <f t="shared" si="187"/>
        <v>0</v>
      </c>
      <c r="IRE32" s="28">
        <f t="shared" si="187"/>
        <v>0</v>
      </c>
      <c r="IRF32" s="28">
        <f t="shared" si="187"/>
        <v>0</v>
      </c>
      <c r="IRG32" s="28">
        <f t="shared" si="187"/>
        <v>0</v>
      </c>
      <c r="IRH32" s="28">
        <f t="shared" si="187"/>
        <v>0</v>
      </c>
      <c r="IRI32" s="28">
        <f t="shared" si="187"/>
        <v>0</v>
      </c>
      <c r="IRJ32" s="28">
        <f t="shared" si="187"/>
        <v>0</v>
      </c>
      <c r="IRK32" s="28">
        <f t="shared" si="187"/>
        <v>0</v>
      </c>
      <c r="IRL32" s="28">
        <f t="shared" si="187"/>
        <v>0</v>
      </c>
      <c r="IRM32" s="28">
        <f t="shared" si="187"/>
        <v>0</v>
      </c>
      <c r="IRN32" s="28">
        <f t="shared" si="187"/>
        <v>0</v>
      </c>
      <c r="IRO32" s="28">
        <f t="shared" si="187"/>
        <v>0</v>
      </c>
      <c r="IRP32" s="28">
        <f t="shared" si="187"/>
        <v>0</v>
      </c>
      <c r="IRQ32" s="28">
        <f t="shared" si="187"/>
        <v>0</v>
      </c>
      <c r="IRR32" s="28">
        <f t="shared" si="187"/>
        <v>0</v>
      </c>
      <c r="IRS32" s="28">
        <f t="shared" si="187"/>
        <v>0</v>
      </c>
      <c r="IRT32" s="28">
        <f t="shared" si="187"/>
        <v>0</v>
      </c>
      <c r="IRU32" s="28">
        <f t="shared" si="187"/>
        <v>0</v>
      </c>
      <c r="IRV32" s="28">
        <f t="shared" si="187"/>
        <v>0</v>
      </c>
      <c r="IRW32" s="28">
        <f t="shared" si="187"/>
        <v>0</v>
      </c>
      <c r="IRX32" s="28">
        <f t="shared" si="187"/>
        <v>0</v>
      </c>
      <c r="IRY32" s="28">
        <f t="shared" si="187"/>
        <v>0</v>
      </c>
      <c r="IRZ32" s="28">
        <f t="shared" si="187"/>
        <v>0</v>
      </c>
      <c r="ISA32" s="28">
        <f t="shared" si="187"/>
        <v>0</v>
      </c>
      <c r="ISB32" s="28">
        <f t="shared" si="187"/>
        <v>0</v>
      </c>
      <c r="ISC32" s="28">
        <f t="shared" si="187"/>
        <v>0</v>
      </c>
      <c r="ISD32" s="28">
        <f t="shared" si="187"/>
        <v>0</v>
      </c>
      <c r="ISE32" s="28">
        <f t="shared" si="187"/>
        <v>0</v>
      </c>
      <c r="ISF32" s="28">
        <f t="shared" si="187"/>
        <v>0</v>
      </c>
      <c r="ISG32" s="28">
        <f t="shared" si="187"/>
        <v>0</v>
      </c>
      <c r="ISH32" s="28">
        <f t="shared" si="187"/>
        <v>0</v>
      </c>
      <c r="ISI32" s="28">
        <f t="shared" si="187"/>
        <v>0</v>
      </c>
      <c r="ISJ32" s="28">
        <f t="shared" si="187"/>
        <v>0</v>
      </c>
      <c r="ISK32" s="28">
        <f t="shared" si="187"/>
        <v>0</v>
      </c>
      <c r="ISL32" s="28">
        <f t="shared" si="187"/>
        <v>0</v>
      </c>
      <c r="ISM32" s="28">
        <f t="shared" si="187"/>
        <v>0</v>
      </c>
      <c r="ISN32" s="28">
        <f t="shared" si="187"/>
        <v>0</v>
      </c>
      <c r="ISO32" s="28">
        <f t="shared" si="187"/>
        <v>0</v>
      </c>
      <c r="ISP32" s="28">
        <f t="shared" si="187"/>
        <v>0</v>
      </c>
      <c r="ISQ32" s="28">
        <f t="shared" si="187"/>
        <v>0</v>
      </c>
      <c r="ISR32" s="28">
        <f t="shared" si="187"/>
        <v>0</v>
      </c>
      <c r="ISS32" s="28">
        <f t="shared" si="187"/>
        <v>0</v>
      </c>
      <c r="IST32" s="28">
        <f t="shared" si="187"/>
        <v>0</v>
      </c>
      <c r="ISU32" s="28">
        <f t="shared" si="187"/>
        <v>0</v>
      </c>
      <c r="ISV32" s="28">
        <f t="shared" si="187"/>
        <v>0</v>
      </c>
      <c r="ISW32" s="28">
        <f t="shared" ref="ISW32:IVH32" si="188">IFERROR(ISW31/ISW$4,0)</f>
        <v>0</v>
      </c>
      <c r="ISX32" s="28">
        <f t="shared" si="188"/>
        <v>0</v>
      </c>
      <c r="ISY32" s="28">
        <f t="shared" si="188"/>
        <v>0</v>
      </c>
      <c r="ISZ32" s="28">
        <f t="shared" si="188"/>
        <v>0</v>
      </c>
      <c r="ITA32" s="28">
        <f t="shared" si="188"/>
        <v>0</v>
      </c>
      <c r="ITB32" s="28">
        <f t="shared" si="188"/>
        <v>0</v>
      </c>
      <c r="ITC32" s="28">
        <f t="shared" si="188"/>
        <v>0</v>
      </c>
      <c r="ITD32" s="28">
        <f t="shared" si="188"/>
        <v>0</v>
      </c>
      <c r="ITE32" s="28">
        <f t="shared" si="188"/>
        <v>0</v>
      </c>
      <c r="ITF32" s="28">
        <f t="shared" si="188"/>
        <v>0</v>
      </c>
      <c r="ITG32" s="28">
        <f t="shared" si="188"/>
        <v>0</v>
      </c>
      <c r="ITH32" s="28">
        <f t="shared" si="188"/>
        <v>0</v>
      </c>
      <c r="ITI32" s="28">
        <f t="shared" si="188"/>
        <v>0</v>
      </c>
      <c r="ITJ32" s="28">
        <f t="shared" si="188"/>
        <v>0</v>
      </c>
      <c r="ITK32" s="28">
        <f t="shared" si="188"/>
        <v>0</v>
      </c>
      <c r="ITL32" s="28">
        <f t="shared" si="188"/>
        <v>0</v>
      </c>
      <c r="ITM32" s="28">
        <f t="shared" si="188"/>
        <v>0</v>
      </c>
      <c r="ITN32" s="28">
        <f t="shared" si="188"/>
        <v>0</v>
      </c>
      <c r="ITO32" s="28">
        <f t="shared" si="188"/>
        <v>0</v>
      </c>
      <c r="ITP32" s="28">
        <f t="shared" si="188"/>
        <v>0</v>
      </c>
      <c r="ITQ32" s="28">
        <f t="shared" si="188"/>
        <v>0</v>
      </c>
      <c r="ITR32" s="28">
        <f t="shared" si="188"/>
        <v>0</v>
      </c>
      <c r="ITS32" s="28">
        <f t="shared" si="188"/>
        <v>0</v>
      </c>
      <c r="ITT32" s="28">
        <f t="shared" si="188"/>
        <v>0</v>
      </c>
      <c r="ITU32" s="28">
        <f t="shared" si="188"/>
        <v>0</v>
      </c>
      <c r="ITV32" s="28">
        <f t="shared" si="188"/>
        <v>0</v>
      </c>
      <c r="ITW32" s="28">
        <f t="shared" si="188"/>
        <v>0</v>
      </c>
      <c r="ITX32" s="28">
        <f t="shared" si="188"/>
        <v>0</v>
      </c>
      <c r="ITY32" s="28">
        <f t="shared" si="188"/>
        <v>0</v>
      </c>
      <c r="ITZ32" s="28">
        <f t="shared" si="188"/>
        <v>0</v>
      </c>
      <c r="IUA32" s="28">
        <f t="shared" si="188"/>
        <v>0</v>
      </c>
      <c r="IUB32" s="28">
        <f t="shared" si="188"/>
        <v>0</v>
      </c>
      <c r="IUC32" s="28">
        <f t="shared" si="188"/>
        <v>0</v>
      </c>
      <c r="IUD32" s="28">
        <f t="shared" si="188"/>
        <v>0</v>
      </c>
      <c r="IUE32" s="28">
        <f t="shared" si="188"/>
        <v>0</v>
      </c>
      <c r="IUF32" s="28">
        <f t="shared" si="188"/>
        <v>0</v>
      </c>
      <c r="IUG32" s="28">
        <f t="shared" si="188"/>
        <v>0</v>
      </c>
      <c r="IUH32" s="28">
        <f t="shared" si="188"/>
        <v>0</v>
      </c>
      <c r="IUI32" s="28">
        <f t="shared" si="188"/>
        <v>0</v>
      </c>
      <c r="IUJ32" s="28">
        <f t="shared" si="188"/>
        <v>0</v>
      </c>
      <c r="IUK32" s="28">
        <f t="shared" si="188"/>
        <v>0</v>
      </c>
      <c r="IUL32" s="28">
        <f t="shared" si="188"/>
        <v>0</v>
      </c>
      <c r="IUM32" s="28">
        <f t="shared" si="188"/>
        <v>0</v>
      </c>
      <c r="IUN32" s="28">
        <f t="shared" si="188"/>
        <v>0</v>
      </c>
      <c r="IUO32" s="28">
        <f t="shared" si="188"/>
        <v>0</v>
      </c>
      <c r="IUP32" s="28">
        <f t="shared" si="188"/>
        <v>0</v>
      </c>
      <c r="IUQ32" s="28">
        <f t="shared" si="188"/>
        <v>0</v>
      </c>
      <c r="IUR32" s="28">
        <f t="shared" si="188"/>
        <v>0</v>
      </c>
      <c r="IUS32" s="28">
        <f t="shared" si="188"/>
        <v>0</v>
      </c>
      <c r="IUT32" s="28">
        <f t="shared" si="188"/>
        <v>0</v>
      </c>
      <c r="IUU32" s="28">
        <f t="shared" si="188"/>
        <v>0</v>
      </c>
      <c r="IUV32" s="28">
        <f t="shared" si="188"/>
        <v>0</v>
      </c>
      <c r="IUW32" s="28">
        <f t="shared" si="188"/>
        <v>0</v>
      </c>
      <c r="IUX32" s="28">
        <f t="shared" si="188"/>
        <v>0</v>
      </c>
      <c r="IUY32" s="28">
        <f t="shared" si="188"/>
        <v>0</v>
      </c>
      <c r="IUZ32" s="28">
        <f t="shared" si="188"/>
        <v>0</v>
      </c>
      <c r="IVA32" s="28">
        <f t="shared" si="188"/>
        <v>0</v>
      </c>
      <c r="IVB32" s="28">
        <f t="shared" si="188"/>
        <v>0</v>
      </c>
      <c r="IVC32" s="28">
        <f t="shared" si="188"/>
        <v>0</v>
      </c>
      <c r="IVD32" s="28">
        <f t="shared" si="188"/>
        <v>0</v>
      </c>
      <c r="IVE32" s="28">
        <f t="shared" si="188"/>
        <v>0</v>
      </c>
      <c r="IVF32" s="28">
        <f t="shared" si="188"/>
        <v>0</v>
      </c>
      <c r="IVG32" s="28">
        <f t="shared" si="188"/>
        <v>0</v>
      </c>
      <c r="IVH32" s="28">
        <f t="shared" si="188"/>
        <v>0</v>
      </c>
      <c r="IVI32" s="28">
        <f t="shared" ref="IVI32:IXT32" si="189">IFERROR(IVI31/IVI$4,0)</f>
        <v>0</v>
      </c>
      <c r="IVJ32" s="28">
        <f t="shared" si="189"/>
        <v>0</v>
      </c>
      <c r="IVK32" s="28">
        <f t="shared" si="189"/>
        <v>0</v>
      </c>
      <c r="IVL32" s="28">
        <f t="shared" si="189"/>
        <v>0</v>
      </c>
      <c r="IVM32" s="28">
        <f t="shared" si="189"/>
        <v>0</v>
      </c>
      <c r="IVN32" s="28">
        <f t="shared" si="189"/>
        <v>0</v>
      </c>
      <c r="IVO32" s="28">
        <f t="shared" si="189"/>
        <v>0</v>
      </c>
      <c r="IVP32" s="28">
        <f t="shared" si="189"/>
        <v>0</v>
      </c>
      <c r="IVQ32" s="28">
        <f t="shared" si="189"/>
        <v>0</v>
      </c>
      <c r="IVR32" s="28">
        <f t="shared" si="189"/>
        <v>0</v>
      </c>
      <c r="IVS32" s="28">
        <f t="shared" si="189"/>
        <v>0</v>
      </c>
      <c r="IVT32" s="28">
        <f t="shared" si="189"/>
        <v>0</v>
      </c>
      <c r="IVU32" s="28">
        <f t="shared" si="189"/>
        <v>0</v>
      </c>
      <c r="IVV32" s="28">
        <f t="shared" si="189"/>
        <v>0</v>
      </c>
      <c r="IVW32" s="28">
        <f t="shared" si="189"/>
        <v>0</v>
      </c>
      <c r="IVX32" s="28">
        <f t="shared" si="189"/>
        <v>0</v>
      </c>
      <c r="IVY32" s="28">
        <f t="shared" si="189"/>
        <v>0</v>
      </c>
      <c r="IVZ32" s="28">
        <f t="shared" si="189"/>
        <v>0</v>
      </c>
      <c r="IWA32" s="28">
        <f t="shared" si="189"/>
        <v>0</v>
      </c>
      <c r="IWB32" s="28">
        <f t="shared" si="189"/>
        <v>0</v>
      </c>
      <c r="IWC32" s="28">
        <f t="shared" si="189"/>
        <v>0</v>
      </c>
      <c r="IWD32" s="28">
        <f t="shared" si="189"/>
        <v>0</v>
      </c>
      <c r="IWE32" s="28">
        <f t="shared" si="189"/>
        <v>0</v>
      </c>
      <c r="IWF32" s="28">
        <f t="shared" si="189"/>
        <v>0</v>
      </c>
      <c r="IWG32" s="28">
        <f t="shared" si="189"/>
        <v>0</v>
      </c>
      <c r="IWH32" s="28">
        <f t="shared" si="189"/>
        <v>0</v>
      </c>
      <c r="IWI32" s="28">
        <f t="shared" si="189"/>
        <v>0</v>
      </c>
      <c r="IWJ32" s="28">
        <f t="shared" si="189"/>
        <v>0</v>
      </c>
      <c r="IWK32" s="28">
        <f t="shared" si="189"/>
        <v>0</v>
      </c>
      <c r="IWL32" s="28">
        <f t="shared" si="189"/>
        <v>0</v>
      </c>
      <c r="IWM32" s="28">
        <f t="shared" si="189"/>
        <v>0</v>
      </c>
      <c r="IWN32" s="28">
        <f t="shared" si="189"/>
        <v>0</v>
      </c>
      <c r="IWO32" s="28">
        <f t="shared" si="189"/>
        <v>0</v>
      </c>
      <c r="IWP32" s="28">
        <f t="shared" si="189"/>
        <v>0</v>
      </c>
      <c r="IWQ32" s="28">
        <f t="shared" si="189"/>
        <v>0</v>
      </c>
      <c r="IWR32" s="28">
        <f t="shared" si="189"/>
        <v>0</v>
      </c>
      <c r="IWS32" s="28">
        <f t="shared" si="189"/>
        <v>0</v>
      </c>
      <c r="IWT32" s="28">
        <f t="shared" si="189"/>
        <v>0</v>
      </c>
      <c r="IWU32" s="28">
        <f t="shared" si="189"/>
        <v>0</v>
      </c>
      <c r="IWV32" s="28">
        <f t="shared" si="189"/>
        <v>0</v>
      </c>
      <c r="IWW32" s="28">
        <f t="shared" si="189"/>
        <v>0</v>
      </c>
      <c r="IWX32" s="28">
        <f t="shared" si="189"/>
        <v>0</v>
      </c>
      <c r="IWY32" s="28">
        <f t="shared" si="189"/>
        <v>0</v>
      </c>
      <c r="IWZ32" s="28">
        <f t="shared" si="189"/>
        <v>0</v>
      </c>
      <c r="IXA32" s="28">
        <f t="shared" si="189"/>
        <v>0</v>
      </c>
      <c r="IXB32" s="28">
        <f t="shared" si="189"/>
        <v>0</v>
      </c>
      <c r="IXC32" s="28">
        <f t="shared" si="189"/>
        <v>0</v>
      </c>
      <c r="IXD32" s="28">
        <f t="shared" si="189"/>
        <v>0</v>
      </c>
      <c r="IXE32" s="28">
        <f t="shared" si="189"/>
        <v>0</v>
      </c>
      <c r="IXF32" s="28">
        <f t="shared" si="189"/>
        <v>0</v>
      </c>
      <c r="IXG32" s="28">
        <f t="shared" si="189"/>
        <v>0</v>
      </c>
      <c r="IXH32" s="28">
        <f t="shared" si="189"/>
        <v>0</v>
      </c>
      <c r="IXI32" s="28">
        <f t="shared" si="189"/>
        <v>0</v>
      </c>
      <c r="IXJ32" s="28">
        <f t="shared" si="189"/>
        <v>0</v>
      </c>
      <c r="IXK32" s="28">
        <f t="shared" si="189"/>
        <v>0</v>
      </c>
      <c r="IXL32" s="28">
        <f t="shared" si="189"/>
        <v>0</v>
      </c>
      <c r="IXM32" s="28">
        <f t="shared" si="189"/>
        <v>0</v>
      </c>
      <c r="IXN32" s="28">
        <f t="shared" si="189"/>
        <v>0</v>
      </c>
      <c r="IXO32" s="28">
        <f t="shared" si="189"/>
        <v>0</v>
      </c>
      <c r="IXP32" s="28">
        <f t="shared" si="189"/>
        <v>0</v>
      </c>
      <c r="IXQ32" s="28">
        <f t="shared" si="189"/>
        <v>0</v>
      </c>
      <c r="IXR32" s="28">
        <f t="shared" si="189"/>
        <v>0</v>
      </c>
      <c r="IXS32" s="28">
        <f t="shared" si="189"/>
        <v>0</v>
      </c>
      <c r="IXT32" s="28">
        <f t="shared" si="189"/>
        <v>0</v>
      </c>
      <c r="IXU32" s="28">
        <f t="shared" ref="IXU32:JAF32" si="190">IFERROR(IXU31/IXU$4,0)</f>
        <v>0</v>
      </c>
      <c r="IXV32" s="28">
        <f t="shared" si="190"/>
        <v>0</v>
      </c>
      <c r="IXW32" s="28">
        <f t="shared" si="190"/>
        <v>0</v>
      </c>
      <c r="IXX32" s="28">
        <f t="shared" si="190"/>
        <v>0</v>
      </c>
      <c r="IXY32" s="28">
        <f t="shared" si="190"/>
        <v>0</v>
      </c>
      <c r="IXZ32" s="28">
        <f t="shared" si="190"/>
        <v>0</v>
      </c>
      <c r="IYA32" s="28">
        <f t="shared" si="190"/>
        <v>0</v>
      </c>
      <c r="IYB32" s="28">
        <f t="shared" si="190"/>
        <v>0</v>
      </c>
      <c r="IYC32" s="28">
        <f t="shared" si="190"/>
        <v>0</v>
      </c>
      <c r="IYD32" s="28">
        <f t="shared" si="190"/>
        <v>0</v>
      </c>
      <c r="IYE32" s="28">
        <f t="shared" si="190"/>
        <v>0</v>
      </c>
      <c r="IYF32" s="28">
        <f t="shared" si="190"/>
        <v>0</v>
      </c>
      <c r="IYG32" s="28">
        <f t="shared" si="190"/>
        <v>0</v>
      </c>
      <c r="IYH32" s="28">
        <f t="shared" si="190"/>
        <v>0</v>
      </c>
      <c r="IYI32" s="28">
        <f t="shared" si="190"/>
        <v>0</v>
      </c>
      <c r="IYJ32" s="28">
        <f t="shared" si="190"/>
        <v>0</v>
      </c>
      <c r="IYK32" s="28">
        <f t="shared" si="190"/>
        <v>0</v>
      </c>
      <c r="IYL32" s="28">
        <f t="shared" si="190"/>
        <v>0</v>
      </c>
      <c r="IYM32" s="28">
        <f t="shared" si="190"/>
        <v>0</v>
      </c>
      <c r="IYN32" s="28">
        <f t="shared" si="190"/>
        <v>0</v>
      </c>
      <c r="IYO32" s="28">
        <f t="shared" si="190"/>
        <v>0</v>
      </c>
      <c r="IYP32" s="28">
        <f t="shared" si="190"/>
        <v>0</v>
      </c>
      <c r="IYQ32" s="28">
        <f t="shared" si="190"/>
        <v>0</v>
      </c>
      <c r="IYR32" s="28">
        <f t="shared" si="190"/>
        <v>0</v>
      </c>
      <c r="IYS32" s="28">
        <f t="shared" si="190"/>
        <v>0</v>
      </c>
      <c r="IYT32" s="28">
        <f t="shared" si="190"/>
        <v>0</v>
      </c>
      <c r="IYU32" s="28">
        <f t="shared" si="190"/>
        <v>0</v>
      </c>
      <c r="IYV32" s="28">
        <f t="shared" si="190"/>
        <v>0</v>
      </c>
      <c r="IYW32" s="28">
        <f t="shared" si="190"/>
        <v>0</v>
      </c>
      <c r="IYX32" s="28">
        <f t="shared" si="190"/>
        <v>0</v>
      </c>
      <c r="IYY32" s="28">
        <f t="shared" si="190"/>
        <v>0</v>
      </c>
      <c r="IYZ32" s="28">
        <f t="shared" si="190"/>
        <v>0</v>
      </c>
      <c r="IZA32" s="28">
        <f t="shared" si="190"/>
        <v>0</v>
      </c>
      <c r="IZB32" s="28">
        <f t="shared" si="190"/>
        <v>0</v>
      </c>
      <c r="IZC32" s="28">
        <f t="shared" si="190"/>
        <v>0</v>
      </c>
      <c r="IZD32" s="28">
        <f t="shared" si="190"/>
        <v>0</v>
      </c>
      <c r="IZE32" s="28">
        <f t="shared" si="190"/>
        <v>0</v>
      </c>
      <c r="IZF32" s="28">
        <f t="shared" si="190"/>
        <v>0</v>
      </c>
      <c r="IZG32" s="28">
        <f t="shared" si="190"/>
        <v>0</v>
      </c>
      <c r="IZH32" s="28">
        <f t="shared" si="190"/>
        <v>0</v>
      </c>
      <c r="IZI32" s="28">
        <f t="shared" si="190"/>
        <v>0</v>
      </c>
      <c r="IZJ32" s="28">
        <f t="shared" si="190"/>
        <v>0</v>
      </c>
      <c r="IZK32" s="28">
        <f t="shared" si="190"/>
        <v>0</v>
      </c>
      <c r="IZL32" s="28">
        <f t="shared" si="190"/>
        <v>0</v>
      </c>
      <c r="IZM32" s="28">
        <f t="shared" si="190"/>
        <v>0</v>
      </c>
      <c r="IZN32" s="28">
        <f t="shared" si="190"/>
        <v>0</v>
      </c>
      <c r="IZO32" s="28">
        <f t="shared" si="190"/>
        <v>0</v>
      </c>
      <c r="IZP32" s="28">
        <f t="shared" si="190"/>
        <v>0</v>
      </c>
      <c r="IZQ32" s="28">
        <f t="shared" si="190"/>
        <v>0</v>
      </c>
      <c r="IZR32" s="28">
        <f t="shared" si="190"/>
        <v>0</v>
      </c>
      <c r="IZS32" s="28">
        <f t="shared" si="190"/>
        <v>0</v>
      </c>
      <c r="IZT32" s="28">
        <f t="shared" si="190"/>
        <v>0</v>
      </c>
      <c r="IZU32" s="28">
        <f t="shared" si="190"/>
        <v>0</v>
      </c>
      <c r="IZV32" s="28">
        <f t="shared" si="190"/>
        <v>0</v>
      </c>
      <c r="IZW32" s="28">
        <f t="shared" si="190"/>
        <v>0</v>
      </c>
      <c r="IZX32" s="28">
        <f t="shared" si="190"/>
        <v>0</v>
      </c>
      <c r="IZY32" s="28">
        <f t="shared" si="190"/>
        <v>0</v>
      </c>
      <c r="IZZ32" s="28">
        <f t="shared" si="190"/>
        <v>0</v>
      </c>
      <c r="JAA32" s="28">
        <f t="shared" si="190"/>
        <v>0</v>
      </c>
      <c r="JAB32" s="28">
        <f t="shared" si="190"/>
        <v>0</v>
      </c>
      <c r="JAC32" s="28">
        <f t="shared" si="190"/>
        <v>0</v>
      </c>
      <c r="JAD32" s="28">
        <f t="shared" si="190"/>
        <v>0</v>
      </c>
      <c r="JAE32" s="28">
        <f t="shared" si="190"/>
        <v>0</v>
      </c>
      <c r="JAF32" s="28">
        <f t="shared" si="190"/>
        <v>0</v>
      </c>
      <c r="JAG32" s="28">
        <f t="shared" ref="JAG32:JCR32" si="191">IFERROR(JAG31/JAG$4,0)</f>
        <v>0</v>
      </c>
      <c r="JAH32" s="28">
        <f t="shared" si="191"/>
        <v>0</v>
      </c>
      <c r="JAI32" s="28">
        <f t="shared" si="191"/>
        <v>0</v>
      </c>
      <c r="JAJ32" s="28">
        <f t="shared" si="191"/>
        <v>0</v>
      </c>
      <c r="JAK32" s="28">
        <f t="shared" si="191"/>
        <v>0</v>
      </c>
      <c r="JAL32" s="28">
        <f t="shared" si="191"/>
        <v>0</v>
      </c>
      <c r="JAM32" s="28">
        <f t="shared" si="191"/>
        <v>0</v>
      </c>
      <c r="JAN32" s="28">
        <f t="shared" si="191"/>
        <v>0</v>
      </c>
      <c r="JAO32" s="28">
        <f t="shared" si="191"/>
        <v>0</v>
      </c>
      <c r="JAP32" s="28">
        <f t="shared" si="191"/>
        <v>0</v>
      </c>
      <c r="JAQ32" s="28">
        <f t="shared" si="191"/>
        <v>0</v>
      </c>
      <c r="JAR32" s="28">
        <f t="shared" si="191"/>
        <v>0</v>
      </c>
      <c r="JAS32" s="28">
        <f t="shared" si="191"/>
        <v>0</v>
      </c>
      <c r="JAT32" s="28">
        <f t="shared" si="191"/>
        <v>0</v>
      </c>
      <c r="JAU32" s="28">
        <f t="shared" si="191"/>
        <v>0</v>
      </c>
      <c r="JAV32" s="28">
        <f t="shared" si="191"/>
        <v>0</v>
      </c>
      <c r="JAW32" s="28">
        <f t="shared" si="191"/>
        <v>0</v>
      </c>
      <c r="JAX32" s="28">
        <f t="shared" si="191"/>
        <v>0</v>
      </c>
      <c r="JAY32" s="28">
        <f t="shared" si="191"/>
        <v>0</v>
      </c>
      <c r="JAZ32" s="28">
        <f t="shared" si="191"/>
        <v>0</v>
      </c>
      <c r="JBA32" s="28">
        <f t="shared" si="191"/>
        <v>0</v>
      </c>
      <c r="JBB32" s="28">
        <f t="shared" si="191"/>
        <v>0</v>
      </c>
      <c r="JBC32" s="28">
        <f t="shared" si="191"/>
        <v>0</v>
      </c>
      <c r="JBD32" s="28">
        <f t="shared" si="191"/>
        <v>0</v>
      </c>
      <c r="JBE32" s="28">
        <f t="shared" si="191"/>
        <v>0</v>
      </c>
      <c r="JBF32" s="28">
        <f t="shared" si="191"/>
        <v>0</v>
      </c>
      <c r="JBG32" s="28">
        <f t="shared" si="191"/>
        <v>0</v>
      </c>
      <c r="JBH32" s="28">
        <f t="shared" si="191"/>
        <v>0</v>
      </c>
      <c r="JBI32" s="28">
        <f t="shared" si="191"/>
        <v>0</v>
      </c>
      <c r="JBJ32" s="28">
        <f t="shared" si="191"/>
        <v>0</v>
      </c>
      <c r="JBK32" s="28">
        <f t="shared" si="191"/>
        <v>0</v>
      </c>
      <c r="JBL32" s="28">
        <f t="shared" si="191"/>
        <v>0</v>
      </c>
      <c r="JBM32" s="28">
        <f t="shared" si="191"/>
        <v>0</v>
      </c>
      <c r="JBN32" s="28">
        <f t="shared" si="191"/>
        <v>0</v>
      </c>
      <c r="JBO32" s="28">
        <f t="shared" si="191"/>
        <v>0</v>
      </c>
      <c r="JBP32" s="28">
        <f t="shared" si="191"/>
        <v>0</v>
      </c>
      <c r="JBQ32" s="28">
        <f t="shared" si="191"/>
        <v>0</v>
      </c>
      <c r="JBR32" s="28">
        <f t="shared" si="191"/>
        <v>0</v>
      </c>
      <c r="JBS32" s="28">
        <f t="shared" si="191"/>
        <v>0</v>
      </c>
      <c r="JBT32" s="28">
        <f t="shared" si="191"/>
        <v>0</v>
      </c>
      <c r="JBU32" s="28">
        <f t="shared" si="191"/>
        <v>0</v>
      </c>
      <c r="JBV32" s="28">
        <f t="shared" si="191"/>
        <v>0</v>
      </c>
      <c r="JBW32" s="28">
        <f t="shared" si="191"/>
        <v>0</v>
      </c>
      <c r="JBX32" s="28">
        <f t="shared" si="191"/>
        <v>0</v>
      </c>
      <c r="JBY32" s="28">
        <f t="shared" si="191"/>
        <v>0</v>
      </c>
      <c r="JBZ32" s="28">
        <f t="shared" si="191"/>
        <v>0</v>
      </c>
      <c r="JCA32" s="28">
        <f t="shared" si="191"/>
        <v>0</v>
      </c>
      <c r="JCB32" s="28">
        <f t="shared" si="191"/>
        <v>0</v>
      </c>
      <c r="JCC32" s="28">
        <f t="shared" si="191"/>
        <v>0</v>
      </c>
      <c r="JCD32" s="28">
        <f t="shared" si="191"/>
        <v>0</v>
      </c>
      <c r="JCE32" s="28">
        <f t="shared" si="191"/>
        <v>0</v>
      </c>
      <c r="JCF32" s="28">
        <f t="shared" si="191"/>
        <v>0</v>
      </c>
      <c r="JCG32" s="28">
        <f t="shared" si="191"/>
        <v>0</v>
      </c>
      <c r="JCH32" s="28">
        <f t="shared" si="191"/>
        <v>0</v>
      </c>
      <c r="JCI32" s="28">
        <f t="shared" si="191"/>
        <v>0</v>
      </c>
      <c r="JCJ32" s="28">
        <f t="shared" si="191"/>
        <v>0</v>
      </c>
      <c r="JCK32" s="28">
        <f t="shared" si="191"/>
        <v>0</v>
      </c>
      <c r="JCL32" s="28">
        <f t="shared" si="191"/>
        <v>0</v>
      </c>
      <c r="JCM32" s="28">
        <f t="shared" si="191"/>
        <v>0</v>
      </c>
      <c r="JCN32" s="28">
        <f t="shared" si="191"/>
        <v>0</v>
      </c>
      <c r="JCO32" s="28">
        <f t="shared" si="191"/>
        <v>0</v>
      </c>
      <c r="JCP32" s="28">
        <f t="shared" si="191"/>
        <v>0</v>
      </c>
      <c r="JCQ32" s="28">
        <f t="shared" si="191"/>
        <v>0</v>
      </c>
      <c r="JCR32" s="28">
        <f t="shared" si="191"/>
        <v>0</v>
      </c>
      <c r="JCS32" s="28">
        <f t="shared" ref="JCS32:JFD32" si="192">IFERROR(JCS31/JCS$4,0)</f>
        <v>0</v>
      </c>
      <c r="JCT32" s="28">
        <f t="shared" si="192"/>
        <v>0</v>
      </c>
      <c r="JCU32" s="28">
        <f t="shared" si="192"/>
        <v>0</v>
      </c>
      <c r="JCV32" s="28">
        <f t="shared" si="192"/>
        <v>0</v>
      </c>
      <c r="JCW32" s="28">
        <f t="shared" si="192"/>
        <v>0</v>
      </c>
      <c r="JCX32" s="28">
        <f t="shared" si="192"/>
        <v>0</v>
      </c>
      <c r="JCY32" s="28">
        <f t="shared" si="192"/>
        <v>0</v>
      </c>
      <c r="JCZ32" s="28">
        <f t="shared" si="192"/>
        <v>0</v>
      </c>
      <c r="JDA32" s="28">
        <f t="shared" si="192"/>
        <v>0</v>
      </c>
      <c r="JDB32" s="28">
        <f t="shared" si="192"/>
        <v>0</v>
      </c>
      <c r="JDC32" s="28">
        <f t="shared" si="192"/>
        <v>0</v>
      </c>
      <c r="JDD32" s="28">
        <f t="shared" si="192"/>
        <v>0</v>
      </c>
      <c r="JDE32" s="28">
        <f t="shared" si="192"/>
        <v>0</v>
      </c>
      <c r="JDF32" s="28">
        <f t="shared" si="192"/>
        <v>0</v>
      </c>
      <c r="JDG32" s="28">
        <f t="shared" si="192"/>
        <v>0</v>
      </c>
      <c r="JDH32" s="28">
        <f t="shared" si="192"/>
        <v>0</v>
      </c>
      <c r="JDI32" s="28">
        <f t="shared" si="192"/>
        <v>0</v>
      </c>
      <c r="JDJ32" s="28">
        <f t="shared" si="192"/>
        <v>0</v>
      </c>
      <c r="JDK32" s="28">
        <f t="shared" si="192"/>
        <v>0</v>
      </c>
      <c r="JDL32" s="28">
        <f t="shared" si="192"/>
        <v>0</v>
      </c>
      <c r="JDM32" s="28">
        <f t="shared" si="192"/>
        <v>0</v>
      </c>
      <c r="JDN32" s="28">
        <f t="shared" si="192"/>
        <v>0</v>
      </c>
      <c r="JDO32" s="28">
        <f t="shared" si="192"/>
        <v>0</v>
      </c>
      <c r="JDP32" s="28">
        <f t="shared" si="192"/>
        <v>0</v>
      </c>
      <c r="JDQ32" s="28">
        <f t="shared" si="192"/>
        <v>0</v>
      </c>
      <c r="JDR32" s="28">
        <f t="shared" si="192"/>
        <v>0</v>
      </c>
      <c r="JDS32" s="28">
        <f t="shared" si="192"/>
        <v>0</v>
      </c>
      <c r="JDT32" s="28">
        <f t="shared" si="192"/>
        <v>0</v>
      </c>
      <c r="JDU32" s="28">
        <f t="shared" si="192"/>
        <v>0</v>
      </c>
      <c r="JDV32" s="28">
        <f t="shared" si="192"/>
        <v>0</v>
      </c>
      <c r="JDW32" s="28">
        <f t="shared" si="192"/>
        <v>0</v>
      </c>
      <c r="JDX32" s="28">
        <f t="shared" si="192"/>
        <v>0</v>
      </c>
      <c r="JDY32" s="28">
        <f t="shared" si="192"/>
        <v>0</v>
      </c>
      <c r="JDZ32" s="28">
        <f t="shared" si="192"/>
        <v>0</v>
      </c>
      <c r="JEA32" s="28">
        <f t="shared" si="192"/>
        <v>0</v>
      </c>
      <c r="JEB32" s="28">
        <f t="shared" si="192"/>
        <v>0</v>
      </c>
      <c r="JEC32" s="28">
        <f t="shared" si="192"/>
        <v>0</v>
      </c>
      <c r="JED32" s="28">
        <f t="shared" si="192"/>
        <v>0</v>
      </c>
      <c r="JEE32" s="28">
        <f t="shared" si="192"/>
        <v>0</v>
      </c>
      <c r="JEF32" s="28">
        <f t="shared" si="192"/>
        <v>0</v>
      </c>
      <c r="JEG32" s="28">
        <f t="shared" si="192"/>
        <v>0</v>
      </c>
      <c r="JEH32" s="28">
        <f t="shared" si="192"/>
        <v>0</v>
      </c>
      <c r="JEI32" s="28">
        <f t="shared" si="192"/>
        <v>0</v>
      </c>
      <c r="JEJ32" s="28">
        <f t="shared" si="192"/>
        <v>0</v>
      </c>
      <c r="JEK32" s="28">
        <f t="shared" si="192"/>
        <v>0</v>
      </c>
      <c r="JEL32" s="28">
        <f t="shared" si="192"/>
        <v>0</v>
      </c>
      <c r="JEM32" s="28">
        <f t="shared" si="192"/>
        <v>0</v>
      </c>
      <c r="JEN32" s="28">
        <f t="shared" si="192"/>
        <v>0</v>
      </c>
      <c r="JEO32" s="28">
        <f t="shared" si="192"/>
        <v>0</v>
      </c>
      <c r="JEP32" s="28">
        <f t="shared" si="192"/>
        <v>0</v>
      </c>
      <c r="JEQ32" s="28">
        <f t="shared" si="192"/>
        <v>0</v>
      </c>
      <c r="JER32" s="28">
        <f t="shared" si="192"/>
        <v>0</v>
      </c>
      <c r="JES32" s="28">
        <f t="shared" si="192"/>
        <v>0</v>
      </c>
      <c r="JET32" s="28">
        <f t="shared" si="192"/>
        <v>0</v>
      </c>
      <c r="JEU32" s="28">
        <f t="shared" si="192"/>
        <v>0</v>
      </c>
      <c r="JEV32" s="28">
        <f t="shared" si="192"/>
        <v>0</v>
      </c>
      <c r="JEW32" s="28">
        <f t="shared" si="192"/>
        <v>0</v>
      </c>
      <c r="JEX32" s="28">
        <f t="shared" si="192"/>
        <v>0</v>
      </c>
      <c r="JEY32" s="28">
        <f t="shared" si="192"/>
        <v>0</v>
      </c>
      <c r="JEZ32" s="28">
        <f t="shared" si="192"/>
        <v>0</v>
      </c>
      <c r="JFA32" s="28">
        <f t="shared" si="192"/>
        <v>0</v>
      </c>
      <c r="JFB32" s="28">
        <f t="shared" si="192"/>
        <v>0</v>
      </c>
      <c r="JFC32" s="28">
        <f t="shared" si="192"/>
        <v>0</v>
      </c>
      <c r="JFD32" s="28">
        <f t="shared" si="192"/>
        <v>0</v>
      </c>
      <c r="JFE32" s="28">
        <f t="shared" ref="JFE32:JHP32" si="193">IFERROR(JFE31/JFE$4,0)</f>
        <v>0</v>
      </c>
      <c r="JFF32" s="28">
        <f t="shared" si="193"/>
        <v>0</v>
      </c>
      <c r="JFG32" s="28">
        <f t="shared" si="193"/>
        <v>0</v>
      </c>
      <c r="JFH32" s="28">
        <f t="shared" si="193"/>
        <v>0</v>
      </c>
      <c r="JFI32" s="28">
        <f t="shared" si="193"/>
        <v>0</v>
      </c>
      <c r="JFJ32" s="28">
        <f t="shared" si="193"/>
        <v>0</v>
      </c>
      <c r="JFK32" s="28">
        <f t="shared" si="193"/>
        <v>0</v>
      </c>
      <c r="JFL32" s="28">
        <f t="shared" si="193"/>
        <v>0</v>
      </c>
      <c r="JFM32" s="28">
        <f t="shared" si="193"/>
        <v>0</v>
      </c>
      <c r="JFN32" s="28">
        <f t="shared" si="193"/>
        <v>0</v>
      </c>
      <c r="JFO32" s="28">
        <f t="shared" si="193"/>
        <v>0</v>
      </c>
      <c r="JFP32" s="28">
        <f t="shared" si="193"/>
        <v>0</v>
      </c>
      <c r="JFQ32" s="28">
        <f t="shared" si="193"/>
        <v>0</v>
      </c>
      <c r="JFR32" s="28">
        <f t="shared" si="193"/>
        <v>0</v>
      </c>
      <c r="JFS32" s="28">
        <f t="shared" si="193"/>
        <v>0</v>
      </c>
      <c r="JFT32" s="28">
        <f t="shared" si="193"/>
        <v>0</v>
      </c>
      <c r="JFU32" s="28">
        <f t="shared" si="193"/>
        <v>0</v>
      </c>
      <c r="JFV32" s="28">
        <f t="shared" si="193"/>
        <v>0</v>
      </c>
      <c r="JFW32" s="28">
        <f t="shared" si="193"/>
        <v>0</v>
      </c>
      <c r="JFX32" s="28">
        <f t="shared" si="193"/>
        <v>0</v>
      </c>
      <c r="JFY32" s="28">
        <f t="shared" si="193"/>
        <v>0</v>
      </c>
      <c r="JFZ32" s="28">
        <f t="shared" si="193"/>
        <v>0</v>
      </c>
      <c r="JGA32" s="28">
        <f t="shared" si="193"/>
        <v>0</v>
      </c>
      <c r="JGB32" s="28">
        <f t="shared" si="193"/>
        <v>0</v>
      </c>
      <c r="JGC32" s="28">
        <f t="shared" si="193"/>
        <v>0</v>
      </c>
      <c r="JGD32" s="28">
        <f t="shared" si="193"/>
        <v>0</v>
      </c>
      <c r="JGE32" s="28">
        <f t="shared" si="193"/>
        <v>0</v>
      </c>
      <c r="JGF32" s="28">
        <f t="shared" si="193"/>
        <v>0</v>
      </c>
      <c r="JGG32" s="28">
        <f t="shared" si="193"/>
        <v>0</v>
      </c>
      <c r="JGH32" s="28">
        <f t="shared" si="193"/>
        <v>0</v>
      </c>
      <c r="JGI32" s="28">
        <f t="shared" si="193"/>
        <v>0</v>
      </c>
      <c r="JGJ32" s="28">
        <f t="shared" si="193"/>
        <v>0</v>
      </c>
      <c r="JGK32" s="28">
        <f t="shared" si="193"/>
        <v>0</v>
      </c>
      <c r="JGL32" s="28">
        <f t="shared" si="193"/>
        <v>0</v>
      </c>
      <c r="JGM32" s="28">
        <f t="shared" si="193"/>
        <v>0</v>
      </c>
      <c r="JGN32" s="28">
        <f t="shared" si="193"/>
        <v>0</v>
      </c>
      <c r="JGO32" s="28">
        <f t="shared" si="193"/>
        <v>0</v>
      </c>
      <c r="JGP32" s="28">
        <f t="shared" si="193"/>
        <v>0</v>
      </c>
      <c r="JGQ32" s="28">
        <f t="shared" si="193"/>
        <v>0</v>
      </c>
      <c r="JGR32" s="28">
        <f t="shared" si="193"/>
        <v>0</v>
      </c>
      <c r="JGS32" s="28">
        <f t="shared" si="193"/>
        <v>0</v>
      </c>
      <c r="JGT32" s="28">
        <f t="shared" si="193"/>
        <v>0</v>
      </c>
      <c r="JGU32" s="28">
        <f t="shared" si="193"/>
        <v>0</v>
      </c>
      <c r="JGV32" s="28">
        <f t="shared" si="193"/>
        <v>0</v>
      </c>
      <c r="JGW32" s="28">
        <f t="shared" si="193"/>
        <v>0</v>
      </c>
      <c r="JGX32" s="28">
        <f t="shared" si="193"/>
        <v>0</v>
      </c>
      <c r="JGY32" s="28">
        <f t="shared" si="193"/>
        <v>0</v>
      </c>
      <c r="JGZ32" s="28">
        <f t="shared" si="193"/>
        <v>0</v>
      </c>
      <c r="JHA32" s="28">
        <f t="shared" si="193"/>
        <v>0</v>
      </c>
      <c r="JHB32" s="28">
        <f t="shared" si="193"/>
        <v>0</v>
      </c>
      <c r="JHC32" s="28">
        <f t="shared" si="193"/>
        <v>0</v>
      </c>
      <c r="JHD32" s="28">
        <f t="shared" si="193"/>
        <v>0</v>
      </c>
      <c r="JHE32" s="28">
        <f t="shared" si="193"/>
        <v>0</v>
      </c>
      <c r="JHF32" s="28">
        <f t="shared" si="193"/>
        <v>0</v>
      </c>
      <c r="JHG32" s="28">
        <f t="shared" si="193"/>
        <v>0</v>
      </c>
      <c r="JHH32" s="28">
        <f t="shared" si="193"/>
        <v>0</v>
      </c>
      <c r="JHI32" s="28">
        <f t="shared" si="193"/>
        <v>0</v>
      </c>
      <c r="JHJ32" s="28">
        <f t="shared" si="193"/>
        <v>0</v>
      </c>
      <c r="JHK32" s="28">
        <f t="shared" si="193"/>
        <v>0</v>
      </c>
      <c r="JHL32" s="28">
        <f t="shared" si="193"/>
        <v>0</v>
      </c>
      <c r="JHM32" s="28">
        <f t="shared" si="193"/>
        <v>0</v>
      </c>
      <c r="JHN32" s="28">
        <f t="shared" si="193"/>
        <v>0</v>
      </c>
      <c r="JHO32" s="28">
        <f t="shared" si="193"/>
        <v>0</v>
      </c>
      <c r="JHP32" s="28">
        <f t="shared" si="193"/>
        <v>0</v>
      </c>
      <c r="JHQ32" s="28">
        <f t="shared" ref="JHQ32:JKB32" si="194">IFERROR(JHQ31/JHQ$4,0)</f>
        <v>0</v>
      </c>
      <c r="JHR32" s="28">
        <f t="shared" si="194"/>
        <v>0</v>
      </c>
      <c r="JHS32" s="28">
        <f t="shared" si="194"/>
        <v>0</v>
      </c>
      <c r="JHT32" s="28">
        <f t="shared" si="194"/>
        <v>0</v>
      </c>
      <c r="JHU32" s="28">
        <f t="shared" si="194"/>
        <v>0</v>
      </c>
      <c r="JHV32" s="28">
        <f t="shared" si="194"/>
        <v>0</v>
      </c>
      <c r="JHW32" s="28">
        <f t="shared" si="194"/>
        <v>0</v>
      </c>
      <c r="JHX32" s="28">
        <f t="shared" si="194"/>
        <v>0</v>
      </c>
      <c r="JHY32" s="28">
        <f t="shared" si="194"/>
        <v>0</v>
      </c>
      <c r="JHZ32" s="28">
        <f t="shared" si="194"/>
        <v>0</v>
      </c>
      <c r="JIA32" s="28">
        <f t="shared" si="194"/>
        <v>0</v>
      </c>
      <c r="JIB32" s="28">
        <f t="shared" si="194"/>
        <v>0</v>
      </c>
      <c r="JIC32" s="28">
        <f t="shared" si="194"/>
        <v>0</v>
      </c>
      <c r="JID32" s="28">
        <f t="shared" si="194"/>
        <v>0</v>
      </c>
      <c r="JIE32" s="28">
        <f t="shared" si="194"/>
        <v>0</v>
      </c>
      <c r="JIF32" s="28">
        <f t="shared" si="194"/>
        <v>0</v>
      </c>
      <c r="JIG32" s="28">
        <f t="shared" si="194"/>
        <v>0</v>
      </c>
      <c r="JIH32" s="28">
        <f t="shared" si="194"/>
        <v>0</v>
      </c>
      <c r="JII32" s="28">
        <f t="shared" si="194"/>
        <v>0</v>
      </c>
      <c r="JIJ32" s="28">
        <f t="shared" si="194"/>
        <v>0</v>
      </c>
      <c r="JIK32" s="28">
        <f t="shared" si="194"/>
        <v>0</v>
      </c>
      <c r="JIL32" s="28">
        <f t="shared" si="194"/>
        <v>0</v>
      </c>
      <c r="JIM32" s="28">
        <f t="shared" si="194"/>
        <v>0</v>
      </c>
      <c r="JIN32" s="28">
        <f t="shared" si="194"/>
        <v>0</v>
      </c>
      <c r="JIO32" s="28">
        <f t="shared" si="194"/>
        <v>0</v>
      </c>
      <c r="JIP32" s="28">
        <f t="shared" si="194"/>
        <v>0</v>
      </c>
      <c r="JIQ32" s="28">
        <f t="shared" si="194"/>
        <v>0</v>
      </c>
      <c r="JIR32" s="28">
        <f t="shared" si="194"/>
        <v>0</v>
      </c>
      <c r="JIS32" s="28">
        <f t="shared" si="194"/>
        <v>0</v>
      </c>
      <c r="JIT32" s="28">
        <f t="shared" si="194"/>
        <v>0</v>
      </c>
      <c r="JIU32" s="28">
        <f t="shared" si="194"/>
        <v>0</v>
      </c>
      <c r="JIV32" s="28">
        <f t="shared" si="194"/>
        <v>0</v>
      </c>
      <c r="JIW32" s="28">
        <f t="shared" si="194"/>
        <v>0</v>
      </c>
      <c r="JIX32" s="28">
        <f t="shared" si="194"/>
        <v>0</v>
      </c>
      <c r="JIY32" s="28">
        <f t="shared" si="194"/>
        <v>0</v>
      </c>
      <c r="JIZ32" s="28">
        <f t="shared" si="194"/>
        <v>0</v>
      </c>
      <c r="JJA32" s="28">
        <f t="shared" si="194"/>
        <v>0</v>
      </c>
      <c r="JJB32" s="28">
        <f t="shared" si="194"/>
        <v>0</v>
      </c>
      <c r="JJC32" s="28">
        <f t="shared" si="194"/>
        <v>0</v>
      </c>
      <c r="JJD32" s="28">
        <f t="shared" si="194"/>
        <v>0</v>
      </c>
      <c r="JJE32" s="28">
        <f t="shared" si="194"/>
        <v>0</v>
      </c>
      <c r="JJF32" s="28">
        <f t="shared" si="194"/>
        <v>0</v>
      </c>
      <c r="JJG32" s="28">
        <f t="shared" si="194"/>
        <v>0</v>
      </c>
      <c r="JJH32" s="28">
        <f t="shared" si="194"/>
        <v>0</v>
      </c>
      <c r="JJI32" s="28">
        <f t="shared" si="194"/>
        <v>0</v>
      </c>
      <c r="JJJ32" s="28">
        <f t="shared" si="194"/>
        <v>0</v>
      </c>
      <c r="JJK32" s="28">
        <f t="shared" si="194"/>
        <v>0</v>
      </c>
      <c r="JJL32" s="28">
        <f t="shared" si="194"/>
        <v>0</v>
      </c>
      <c r="JJM32" s="28">
        <f t="shared" si="194"/>
        <v>0</v>
      </c>
      <c r="JJN32" s="28">
        <f t="shared" si="194"/>
        <v>0</v>
      </c>
      <c r="JJO32" s="28">
        <f t="shared" si="194"/>
        <v>0</v>
      </c>
      <c r="JJP32" s="28">
        <f t="shared" si="194"/>
        <v>0</v>
      </c>
      <c r="JJQ32" s="28">
        <f t="shared" si="194"/>
        <v>0</v>
      </c>
      <c r="JJR32" s="28">
        <f t="shared" si="194"/>
        <v>0</v>
      </c>
      <c r="JJS32" s="28">
        <f t="shared" si="194"/>
        <v>0</v>
      </c>
      <c r="JJT32" s="28">
        <f t="shared" si="194"/>
        <v>0</v>
      </c>
      <c r="JJU32" s="28">
        <f t="shared" si="194"/>
        <v>0</v>
      </c>
      <c r="JJV32" s="28">
        <f t="shared" si="194"/>
        <v>0</v>
      </c>
      <c r="JJW32" s="28">
        <f t="shared" si="194"/>
        <v>0</v>
      </c>
      <c r="JJX32" s="28">
        <f t="shared" si="194"/>
        <v>0</v>
      </c>
      <c r="JJY32" s="28">
        <f t="shared" si="194"/>
        <v>0</v>
      </c>
      <c r="JJZ32" s="28">
        <f t="shared" si="194"/>
        <v>0</v>
      </c>
      <c r="JKA32" s="28">
        <f t="shared" si="194"/>
        <v>0</v>
      </c>
      <c r="JKB32" s="28">
        <f t="shared" si="194"/>
        <v>0</v>
      </c>
      <c r="JKC32" s="28">
        <f t="shared" ref="JKC32:JMN32" si="195">IFERROR(JKC31/JKC$4,0)</f>
        <v>0</v>
      </c>
      <c r="JKD32" s="28">
        <f t="shared" si="195"/>
        <v>0</v>
      </c>
      <c r="JKE32" s="28">
        <f t="shared" si="195"/>
        <v>0</v>
      </c>
      <c r="JKF32" s="28">
        <f t="shared" si="195"/>
        <v>0</v>
      </c>
      <c r="JKG32" s="28">
        <f t="shared" si="195"/>
        <v>0</v>
      </c>
      <c r="JKH32" s="28">
        <f t="shared" si="195"/>
        <v>0</v>
      </c>
      <c r="JKI32" s="28">
        <f t="shared" si="195"/>
        <v>0</v>
      </c>
      <c r="JKJ32" s="28">
        <f t="shared" si="195"/>
        <v>0</v>
      </c>
      <c r="JKK32" s="28">
        <f t="shared" si="195"/>
        <v>0</v>
      </c>
      <c r="JKL32" s="28">
        <f t="shared" si="195"/>
        <v>0</v>
      </c>
      <c r="JKM32" s="28">
        <f t="shared" si="195"/>
        <v>0</v>
      </c>
      <c r="JKN32" s="28">
        <f t="shared" si="195"/>
        <v>0</v>
      </c>
      <c r="JKO32" s="28">
        <f t="shared" si="195"/>
        <v>0</v>
      </c>
      <c r="JKP32" s="28">
        <f t="shared" si="195"/>
        <v>0</v>
      </c>
      <c r="JKQ32" s="28">
        <f t="shared" si="195"/>
        <v>0</v>
      </c>
      <c r="JKR32" s="28">
        <f t="shared" si="195"/>
        <v>0</v>
      </c>
      <c r="JKS32" s="28">
        <f t="shared" si="195"/>
        <v>0</v>
      </c>
      <c r="JKT32" s="28">
        <f t="shared" si="195"/>
        <v>0</v>
      </c>
      <c r="JKU32" s="28">
        <f t="shared" si="195"/>
        <v>0</v>
      </c>
      <c r="JKV32" s="28">
        <f t="shared" si="195"/>
        <v>0</v>
      </c>
      <c r="JKW32" s="28">
        <f t="shared" si="195"/>
        <v>0</v>
      </c>
      <c r="JKX32" s="28">
        <f t="shared" si="195"/>
        <v>0</v>
      </c>
      <c r="JKY32" s="28">
        <f t="shared" si="195"/>
        <v>0</v>
      </c>
      <c r="JKZ32" s="28">
        <f t="shared" si="195"/>
        <v>0</v>
      </c>
      <c r="JLA32" s="28">
        <f t="shared" si="195"/>
        <v>0</v>
      </c>
      <c r="JLB32" s="28">
        <f t="shared" si="195"/>
        <v>0</v>
      </c>
      <c r="JLC32" s="28">
        <f t="shared" si="195"/>
        <v>0</v>
      </c>
      <c r="JLD32" s="28">
        <f t="shared" si="195"/>
        <v>0</v>
      </c>
      <c r="JLE32" s="28">
        <f t="shared" si="195"/>
        <v>0</v>
      </c>
      <c r="JLF32" s="28">
        <f t="shared" si="195"/>
        <v>0</v>
      </c>
      <c r="JLG32" s="28">
        <f t="shared" si="195"/>
        <v>0</v>
      </c>
      <c r="JLH32" s="28">
        <f t="shared" si="195"/>
        <v>0</v>
      </c>
      <c r="JLI32" s="28">
        <f t="shared" si="195"/>
        <v>0</v>
      </c>
      <c r="JLJ32" s="28">
        <f t="shared" si="195"/>
        <v>0</v>
      </c>
      <c r="JLK32" s="28">
        <f t="shared" si="195"/>
        <v>0</v>
      </c>
      <c r="JLL32" s="28">
        <f t="shared" si="195"/>
        <v>0</v>
      </c>
      <c r="JLM32" s="28">
        <f t="shared" si="195"/>
        <v>0</v>
      </c>
      <c r="JLN32" s="28">
        <f t="shared" si="195"/>
        <v>0</v>
      </c>
      <c r="JLO32" s="28">
        <f t="shared" si="195"/>
        <v>0</v>
      </c>
      <c r="JLP32" s="28">
        <f t="shared" si="195"/>
        <v>0</v>
      </c>
      <c r="JLQ32" s="28">
        <f t="shared" si="195"/>
        <v>0</v>
      </c>
      <c r="JLR32" s="28">
        <f t="shared" si="195"/>
        <v>0</v>
      </c>
      <c r="JLS32" s="28">
        <f t="shared" si="195"/>
        <v>0</v>
      </c>
      <c r="JLT32" s="28">
        <f t="shared" si="195"/>
        <v>0</v>
      </c>
      <c r="JLU32" s="28">
        <f t="shared" si="195"/>
        <v>0</v>
      </c>
      <c r="JLV32" s="28">
        <f t="shared" si="195"/>
        <v>0</v>
      </c>
      <c r="JLW32" s="28">
        <f t="shared" si="195"/>
        <v>0</v>
      </c>
      <c r="JLX32" s="28">
        <f t="shared" si="195"/>
        <v>0</v>
      </c>
      <c r="JLY32" s="28">
        <f t="shared" si="195"/>
        <v>0</v>
      </c>
      <c r="JLZ32" s="28">
        <f t="shared" si="195"/>
        <v>0</v>
      </c>
      <c r="JMA32" s="28">
        <f t="shared" si="195"/>
        <v>0</v>
      </c>
      <c r="JMB32" s="28">
        <f t="shared" si="195"/>
        <v>0</v>
      </c>
      <c r="JMC32" s="28">
        <f t="shared" si="195"/>
        <v>0</v>
      </c>
      <c r="JMD32" s="28">
        <f t="shared" si="195"/>
        <v>0</v>
      </c>
      <c r="JME32" s="28">
        <f t="shared" si="195"/>
        <v>0</v>
      </c>
      <c r="JMF32" s="28">
        <f t="shared" si="195"/>
        <v>0</v>
      </c>
      <c r="JMG32" s="28">
        <f t="shared" si="195"/>
        <v>0</v>
      </c>
      <c r="JMH32" s="28">
        <f t="shared" si="195"/>
        <v>0</v>
      </c>
      <c r="JMI32" s="28">
        <f t="shared" si="195"/>
        <v>0</v>
      </c>
      <c r="JMJ32" s="28">
        <f t="shared" si="195"/>
        <v>0</v>
      </c>
      <c r="JMK32" s="28">
        <f t="shared" si="195"/>
        <v>0</v>
      </c>
      <c r="JML32" s="28">
        <f t="shared" si="195"/>
        <v>0</v>
      </c>
      <c r="JMM32" s="28">
        <f t="shared" si="195"/>
        <v>0</v>
      </c>
      <c r="JMN32" s="28">
        <f t="shared" si="195"/>
        <v>0</v>
      </c>
      <c r="JMO32" s="28">
        <f t="shared" ref="JMO32:JOZ32" si="196">IFERROR(JMO31/JMO$4,0)</f>
        <v>0</v>
      </c>
      <c r="JMP32" s="28">
        <f t="shared" si="196"/>
        <v>0</v>
      </c>
      <c r="JMQ32" s="28">
        <f t="shared" si="196"/>
        <v>0</v>
      </c>
      <c r="JMR32" s="28">
        <f t="shared" si="196"/>
        <v>0</v>
      </c>
      <c r="JMS32" s="28">
        <f t="shared" si="196"/>
        <v>0</v>
      </c>
      <c r="JMT32" s="28">
        <f t="shared" si="196"/>
        <v>0</v>
      </c>
      <c r="JMU32" s="28">
        <f t="shared" si="196"/>
        <v>0</v>
      </c>
      <c r="JMV32" s="28">
        <f t="shared" si="196"/>
        <v>0</v>
      </c>
      <c r="JMW32" s="28">
        <f t="shared" si="196"/>
        <v>0</v>
      </c>
      <c r="JMX32" s="28">
        <f t="shared" si="196"/>
        <v>0</v>
      </c>
      <c r="JMY32" s="28">
        <f t="shared" si="196"/>
        <v>0</v>
      </c>
      <c r="JMZ32" s="28">
        <f t="shared" si="196"/>
        <v>0</v>
      </c>
      <c r="JNA32" s="28">
        <f t="shared" si="196"/>
        <v>0</v>
      </c>
      <c r="JNB32" s="28">
        <f t="shared" si="196"/>
        <v>0</v>
      </c>
      <c r="JNC32" s="28">
        <f t="shared" si="196"/>
        <v>0</v>
      </c>
      <c r="JND32" s="28">
        <f t="shared" si="196"/>
        <v>0</v>
      </c>
      <c r="JNE32" s="28">
        <f t="shared" si="196"/>
        <v>0</v>
      </c>
      <c r="JNF32" s="28">
        <f t="shared" si="196"/>
        <v>0</v>
      </c>
      <c r="JNG32" s="28">
        <f t="shared" si="196"/>
        <v>0</v>
      </c>
      <c r="JNH32" s="28">
        <f t="shared" si="196"/>
        <v>0</v>
      </c>
      <c r="JNI32" s="28">
        <f t="shared" si="196"/>
        <v>0</v>
      </c>
      <c r="JNJ32" s="28">
        <f t="shared" si="196"/>
        <v>0</v>
      </c>
      <c r="JNK32" s="28">
        <f t="shared" si="196"/>
        <v>0</v>
      </c>
      <c r="JNL32" s="28">
        <f t="shared" si="196"/>
        <v>0</v>
      </c>
      <c r="JNM32" s="28">
        <f t="shared" si="196"/>
        <v>0</v>
      </c>
      <c r="JNN32" s="28">
        <f t="shared" si="196"/>
        <v>0</v>
      </c>
      <c r="JNO32" s="28">
        <f t="shared" si="196"/>
        <v>0</v>
      </c>
      <c r="JNP32" s="28">
        <f t="shared" si="196"/>
        <v>0</v>
      </c>
      <c r="JNQ32" s="28">
        <f t="shared" si="196"/>
        <v>0</v>
      </c>
      <c r="JNR32" s="28">
        <f t="shared" si="196"/>
        <v>0</v>
      </c>
      <c r="JNS32" s="28">
        <f t="shared" si="196"/>
        <v>0</v>
      </c>
      <c r="JNT32" s="28">
        <f t="shared" si="196"/>
        <v>0</v>
      </c>
      <c r="JNU32" s="28">
        <f t="shared" si="196"/>
        <v>0</v>
      </c>
      <c r="JNV32" s="28">
        <f t="shared" si="196"/>
        <v>0</v>
      </c>
      <c r="JNW32" s="28">
        <f t="shared" si="196"/>
        <v>0</v>
      </c>
      <c r="JNX32" s="28">
        <f t="shared" si="196"/>
        <v>0</v>
      </c>
      <c r="JNY32" s="28">
        <f t="shared" si="196"/>
        <v>0</v>
      </c>
      <c r="JNZ32" s="28">
        <f t="shared" si="196"/>
        <v>0</v>
      </c>
      <c r="JOA32" s="28">
        <f t="shared" si="196"/>
        <v>0</v>
      </c>
      <c r="JOB32" s="28">
        <f t="shared" si="196"/>
        <v>0</v>
      </c>
      <c r="JOC32" s="28">
        <f t="shared" si="196"/>
        <v>0</v>
      </c>
      <c r="JOD32" s="28">
        <f t="shared" si="196"/>
        <v>0</v>
      </c>
      <c r="JOE32" s="28">
        <f t="shared" si="196"/>
        <v>0</v>
      </c>
      <c r="JOF32" s="28">
        <f t="shared" si="196"/>
        <v>0</v>
      </c>
      <c r="JOG32" s="28">
        <f t="shared" si="196"/>
        <v>0</v>
      </c>
      <c r="JOH32" s="28">
        <f t="shared" si="196"/>
        <v>0</v>
      </c>
      <c r="JOI32" s="28">
        <f t="shared" si="196"/>
        <v>0</v>
      </c>
      <c r="JOJ32" s="28">
        <f t="shared" si="196"/>
        <v>0</v>
      </c>
      <c r="JOK32" s="28">
        <f t="shared" si="196"/>
        <v>0</v>
      </c>
      <c r="JOL32" s="28">
        <f t="shared" si="196"/>
        <v>0</v>
      </c>
      <c r="JOM32" s="28">
        <f t="shared" si="196"/>
        <v>0</v>
      </c>
      <c r="JON32" s="28">
        <f t="shared" si="196"/>
        <v>0</v>
      </c>
      <c r="JOO32" s="28">
        <f t="shared" si="196"/>
        <v>0</v>
      </c>
      <c r="JOP32" s="28">
        <f t="shared" si="196"/>
        <v>0</v>
      </c>
      <c r="JOQ32" s="28">
        <f t="shared" si="196"/>
        <v>0</v>
      </c>
      <c r="JOR32" s="28">
        <f t="shared" si="196"/>
        <v>0</v>
      </c>
      <c r="JOS32" s="28">
        <f t="shared" si="196"/>
        <v>0</v>
      </c>
      <c r="JOT32" s="28">
        <f t="shared" si="196"/>
        <v>0</v>
      </c>
      <c r="JOU32" s="28">
        <f t="shared" si="196"/>
        <v>0</v>
      </c>
      <c r="JOV32" s="28">
        <f t="shared" si="196"/>
        <v>0</v>
      </c>
      <c r="JOW32" s="28">
        <f t="shared" si="196"/>
        <v>0</v>
      </c>
      <c r="JOX32" s="28">
        <f t="shared" si="196"/>
        <v>0</v>
      </c>
      <c r="JOY32" s="28">
        <f t="shared" si="196"/>
        <v>0</v>
      </c>
      <c r="JOZ32" s="28">
        <f t="shared" si="196"/>
        <v>0</v>
      </c>
      <c r="JPA32" s="28">
        <f t="shared" ref="JPA32:JRL32" si="197">IFERROR(JPA31/JPA$4,0)</f>
        <v>0</v>
      </c>
      <c r="JPB32" s="28">
        <f t="shared" si="197"/>
        <v>0</v>
      </c>
      <c r="JPC32" s="28">
        <f t="shared" si="197"/>
        <v>0</v>
      </c>
      <c r="JPD32" s="28">
        <f t="shared" si="197"/>
        <v>0</v>
      </c>
      <c r="JPE32" s="28">
        <f t="shared" si="197"/>
        <v>0</v>
      </c>
      <c r="JPF32" s="28">
        <f t="shared" si="197"/>
        <v>0</v>
      </c>
      <c r="JPG32" s="28">
        <f t="shared" si="197"/>
        <v>0</v>
      </c>
      <c r="JPH32" s="28">
        <f t="shared" si="197"/>
        <v>0</v>
      </c>
      <c r="JPI32" s="28">
        <f t="shared" si="197"/>
        <v>0</v>
      </c>
      <c r="JPJ32" s="28">
        <f t="shared" si="197"/>
        <v>0</v>
      </c>
      <c r="JPK32" s="28">
        <f t="shared" si="197"/>
        <v>0</v>
      </c>
      <c r="JPL32" s="28">
        <f t="shared" si="197"/>
        <v>0</v>
      </c>
      <c r="JPM32" s="28">
        <f t="shared" si="197"/>
        <v>0</v>
      </c>
      <c r="JPN32" s="28">
        <f t="shared" si="197"/>
        <v>0</v>
      </c>
      <c r="JPO32" s="28">
        <f t="shared" si="197"/>
        <v>0</v>
      </c>
      <c r="JPP32" s="28">
        <f t="shared" si="197"/>
        <v>0</v>
      </c>
      <c r="JPQ32" s="28">
        <f t="shared" si="197"/>
        <v>0</v>
      </c>
      <c r="JPR32" s="28">
        <f t="shared" si="197"/>
        <v>0</v>
      </c>
      <c r="JPS32" s="28">
        <f t="shared" si="197"/>
        <v>0</v>
      </c>
      <c r="JPT32" s="28">
        <f t="shared" si="197"/>
        <v>0</v>
      </c>
      <c r="JPU32" s="28">
        <f t="shared" si="197"/>
        <v>0</v>
      </c>
      <c r="JPV32" s="28">
        <f t="shared" si="197"/>
        <v>0</v>
      </c>
      <c r="JPW32" s="28">
        <f t="shared" si="197"/>
        <v>0</v>
      </c>
      <c r="JPX32" s="28">
        <f t="shared" si="197"/>
        <v>0</v>
      </c>
      <c r="JPY32" s="28">
        <f t="shared" si="197"/>
        <v>0</v>
      </c>
      <c r="JPZ32" s="28">
        <f t="shared" si="197"/>
        <v>0</v>
      </c>
      <c r="JQA32" s="28">
        <f t="shared" si="197"/>
        <v>0</v>
      </c>
      <c r="JQB32" s="28">
        <f t="shared" si="197"/>
        <v>0</v>
      </c>
      <c r="JQC32" s="28">
        <f t="shared" si="197"/>
        <v>0</v>
      </c>
      <c r="JQD32" s="28">
        <f t="shared" si="197"/>
        <v>0</v>
      </c>
      <c r="JQE32" s="28">
        <f t="shared" si="197"/>
        <v>0</v>
      </c>
      <c r="JQF32" s="28">
        <f t="shared" si="197"/>
        <v>0</v>
      </c>
      <c r="JQG32" s="28">
        <f t="shared" si="197"/>
        <v>0</v>
      </c>
      <c r="JQH32" s="28">
        <f t="shared" si="197"/>
        <v>0</v>
      </c>
      <c r="JQI32" s="28">
        <f t="shared" si="197"/>
        <v>0</v>
      </c>
      <c r="JQJ32" s="28">
        <f t="shared" si="197"/>
        <v>0</v>
      </c>
      <c r="JQK32" s="28">
        <f t="shared" si="197"/>
        <v>0</v>
      </c>
      <c r="JQL32" s="28">
        <f t="shared" si="197"/>
        <v>0</v>
      </c>
      <c r="JQM32" s="28">
        <f t="shared" si="197"/>
        <v>0</v>
      </c>
      <c r="JQN32" s="28">
        <f t="shared" si="197"/>
        <v>0</v>
      </c>
      <c r="JQO32" s="28">
        <f t="shared" si="197"/>
        <v>0</v>
      </c>
      <c r="JQP32" s="28">
        <f t="shared" si="197"/>
        <v>0</v>
      </c>
      <c r="JQQ32" s="28">
        <f t="shared" si="197"/>
        <v>0</v>
      </c>
      <c r="JQR32" s="28">
        <f t="shared" si="197"/>
        <v>0</v>
      </c>
      <c r="JQS32" s="28">
        <f t="shared" si="197"/>
        <v>0</v>
      </c>
      <c r="JQT32" s="28">
        <f t="shared" si="197"/>
        <v>0</v>
      </c>
      <c r="JQU32" s="28">
        <f t="shared" si="197"/>
        <v>0</v>
      </c>
      <c r="JQV32" s="28">
        <f t="shared" si="197"/>
        <v>0</v>
      </c>
      <c r="JQW32" s="28">
        <f t="shared" si="197"/>
        <v>0</v>
      </c>
      <c r="JQX32" s="28">
        <f t="shared" si="197"/>
        <v>0</v>
      </c>
      <c r="JQY32" s="28">
        <f t="shared" si="197"/>
        <v>0</v>
      </c>
      <c r="JQZ32" s="28">
        <f t="shared" si="197"/>
        <v>0</v>
      </c>
      <c r="JRA32" s="28">
        <f t="shared" si="197"/>
        <v>0</v>
      </c>
      <c r="JRB32" s="28">
        <f t="shared" si="197"/>
        <v>0</v>
      </c>
      <c r="JRC32" s="28">
        <f t="shared" si="197"/>
        <v>0</v>
      </c>
      <c r="JRD32" s="28">
        <f t="shared" si="197"/>
        <v>0</v>
      </c>
      <c r="JRE32" s="28">
        <f t="shared" si="197"/>
        <v>0</v>
      </c>
      <c r="JRF32" s="28">
        <f t="shared" si="197"/>
        <v>0</v>
      </c>
      <c r="JRG32" s="28">
        <f t="shared" si="197"/>
        <v>0</v>
      </c>
      <c r="JRH32" s="28">
        <f t="shared" si="197"/>
        <v>0</v>
      </c>
      <c r="JRI32" s="28">
        <f t="shared" si="197"/>
        <v>0</v>
      </c>
      <c r="JRJ32" s="28">
        <f t="shared" si="197"/>
        <v>0</v>
      </c>
      <c r="JRK32" s="28">
        <f t="shared" si="197"/>
        <v>0</v>
      </c>
      <c r="JRL32" s="28">
        <f t="shared" si="197"/>
        <v>0</v>
      </c>
      <c r="JRM32" s="28">
        <f t="shared" ref="JRM32:JTX32" si="198">IFERROR(JRM31/JRM$4,0)</f>
        <v>0</v>
      </c>
      <c r="JRN32" s="28">
        <f t="shared" si="198"/>
        <v>0</v>
      </c>
      <c r="JRO32" s="28">
        <f t="shared" si="198"/>
        <v>0</v>
      </c>
      <c r="JRP32" s="28">
        <f t="shared" si="198"/>
        <v>0</v>
      </c>
      <c r="JRQ32" s="28">
        <f t="shared" si="198"/>
        <v>0</v>
      </c>
      <c r="JRR32" s="28">
        <f t="shared" si="198"/>
        <v>0</v>
      </c>
      <c r="JRS32" s="28">
        <f t="shared" si="198"/>
        <v>0</v>
      </c>
      <c r="JRT32" s="28">
        <f t="shared" si="198"/>
        <v>0</v>
      </c>
      <c r="JRU32" s="28">
        <f t="shared" si="198"/>
        <v>0</v>
      </c>
      <c r="JRV32" s="28">
        <f t="shared" si="198"/>
        <v>0</v>
      </c>
      <c r="JRW32" s="28">
        <f t="shared" si="198"/>
        <v>0</v>
      </c>
      <c r="JRX32" s="28">
        <f t="shared" si="198"/>
        <v>0</v>
      </c>
      <c r="JRY32" s="28">
        <f t="shared" si="198"/>
        <v>0</v>
      </c>
      <c r="JRZ32" s="28">
        <f t="shared" si="198"/>
        <v>0</v>
      </c>
      <c r="JSA32" s="28">
        <f t="shared" si="198"/>
        <v>0</v>
      </c>
      <c r="JSB32" s="28">
        <f t="shared" si="198"/>
        <v>0</v>
      </c>
      <c r="JSC32" s="28">
        <f t="shared" si="198"/>
        <v>0</v>
      </c>
      <c r="JSD32" s="28">
        <f t="shared" si="198"/>
        <v>0</v>
      </c>
      <c r="JSE32" s="28">
        <f t="shared" si="198"/>
        <v>0</v>
      </c>
      <c r="JSF32" s="28">
        <f t="shared" si="198"/>
        <v>0</v>
      </c>
      <c r="JSG32" s="28">
        <f t="shared" si="198"/>
        <v>0</v>
      </c>
      <c r="JSH32" s="28">
        <f t="shared" si="198"/>
        <v>0</v>
      </c>
      <c r="JSI32" s="28">
        <f t="shared" si="198"/>
        <v>0</v>
      </c>
      <c r="JSJ32" s="28">
        <f t="shared" si="198"/>
        <v>0</v>
      </c>
      <c r="JSK32" s="28">
        <f t="shared" si="198"/>
        <v>0</v>
      </c>
      <c r="JSL32" s="28">
        <f t="shared" si="198"/>
        <v>0</v>
      </c>
      <c r="JSM32" s="28">
        <f t="shared" si="198"/>
        <v>0</v>
      </c>
      <c r="JSN32" s="28">
        <f t="shared" si="198"/>
        <v>0</v>
      </c>
      <c r="JSO32" s="28">
        <f t="shared" si="198"/>
        <v>0</v>
      </c>
      <c r="JSP32" s="28">
        <f t="shared" si="198"/>
        <v>0</v>
      </c>
      <c r="JSQ32" s="28">
        <f t="shared" si="198"/>
        <v>0</v>
      </c>
      <c r="JSR32" s="28">
        <f t="shared" si="198"/>
        <v>0</v>
      </c>
      <c r="JSS32" s="28">
        <f t="shared" si="198"/>
        <v>0</v>
      </c>
      <c r="JST32" s="28">
        <f t="shared" si="198"/>
        <v>0</v>
      </c>
      <c r="JSU32" s="28">
        <f t="shared" si="198"/>
        <v>0</v>
      </c>
      <c r="JSV32" s="28">
        <f t="shared" si="198"/>
        <v>0</v>
      </c>
      <c r="JSW32" s="28">
        <f t="shared" si="198"/>
        <v>0</v>
      </c>
      <c r="JSX32" s="28">
        <f t="shared" si="198"/>
        <v>0</v>
      </c>
      <c r="JSY32" s="28">
        <f t="shared" si="198"/>
        <v>0</v>
      </c>
      <c r="JSZ32" s="28">
        <f t="shared" si="198"/>
        <v>0</v>
      </c>
      <c r="JTA32" s="28">
        <f t="shared" si="198"/>
        <v>0</v>
      </c>
      <c r="JTB32" s="28">
        <f t="shared" si="198"/>
        <v>0</v>
      </c>
      <c r="JTC32" s="28">
        <f t="shared" si="198"/>
        <v>0</v>
      </c>
      <c r="JTD32" s="28">
        <f t="shared" si="198"/>
        <v>0</v>
      </c>
      <c r="JTE32" s="28">
        <f t="shared" si="198"/>
        <v>0</v>
      </c>
      <c r="JTF32" s="28">
        <f t="shared" si="198"/>
        <v>0</v>
      </c>
      <c r="JTG32" s="28">
        <f t="shared" si="198"/>
        <v>0</v>
      </c>
      <c r="JTH32" s="28">
        <f t="shared" si="198"/>
        <v>0</v>
      </c>
      <c r="JTI32" s="28">
        <f t="shared" si="198"/>
        <v>0</v>
      </c>
      <c r="JTJ32" s="28">
        <f t="shared" si="198"/>
        <v>0</v>
      </c>
      <c r="JTK32" s="28">
        <f t="shared" si="198"/>
        <v>0</v>
      </c>
      <c r="JTL32" s="28">
        <f t="shared" si="198"/>
        <v>0</v>
      </c>
      <c r="JTM32" s="28">
        <f t="shared" si="198"/>
        <v>0</v>
      </c>
      <c r="JTN32" s="28">
        <f t="shared" si="198"/>
        <v>0</v>
      </c>
      <c r="JTO32" s="28">
        <f t="shared" si="198"/>
        <v>0</v>
      </c>
      <c r="JTP32" s="28">
        <f t="shared" si="198"/>
        <v>0</v>
      </c>
      <c r="JTQ32" s="28">
        <f t="shared" si="198"/>
        <v>0</v>
      </c>
      <c r="JTR32" s="28">
        <f t="shared" si="198"/>
        <v>0</v>
      </c>
      <c r="JTS32" s="28">
        <f t="shared" si="198"/>
        <v>0</v>
      </c>
      <c r="JTT32" s="28">
        <f t="shared" si="198"/>
        <v>0</v>
      </c>
      <c r="JTU32" s="28">
        <f t="shared" si="198"/>
        <v>0</v>
      </c>
      <c r="JTV32" s="28">
        <f t="shared" si="198"/>
        <v>0</v>
      </c>
      <c r="JTW32" s="28">
        <f t="shared" si="198"/>
        <v>0</v>
      </c>
      <c r="JTX32" s="28">
        <f t="shared" si="198"/>
        <v>0</v>
      </c>
      <c r="JTY32" s="28">
        <f t="shared" ref="JTY32:JWJ32" si="199">IFERROR(JTY31/JTY$4,0)</f>
        <v>0</v>
      </c>
      <c r="JTZ32" s="28">
        <f t="shared" si="199"/>
        <v>0</v>
      </c>
      <c r="JUA32" s="28">
        <f t="shared" si="199"/>
        <v>0</v>
      </c>
      <c r="JUB32" s="28">
        <f t="shared" si="199"/>
        <v>0</v>
      </c>
      <c r="JUC32" s="28">
        <f t="shared" si="199"/>
        <v>0</v>
      </c>
      <c r="JUD32" s="28">
        <f t="shared" si="199"/>
        <v>0</v>
      </c>
      <c r="JUE32" s="28">
        <f t="shared" si="199"/>
        <v>0</v>
      </c>
      <c r="JUF32" s="28">
        <f t="shared" si="199"/>
        <v>0</v>
      </c>
      <c r="JUG32" s="28">
        <f t="shared" si="199"/>
        <v>0</v>
      </c>
      <c r="JUH32" s="28">
        <f t="shared" si="199"/>
        <v>0</v>
      </c>
      <c r="JUI32" s="28">
        <f t="shared" si="199"/>
        <v>0</v>
      </c>
      <c r="JUJ32" s="28">
        <f t="shared" si="199"/>
        <v>0</v>
      </c>
      <c r="JUK32" s="28">
        <f t="shared" si="199"/>
        <v>0</v>
      </c>
      <c r="JUL32" s="28">
        <f t="shared" si="199"/>
        <v>0</v>
      </c>
      <c r="JUM32" s="28">
        <f t="shared" si="199"/>
        <v>0</v>
      </c>
      <c r="JUN32" s="28">
        <f t="shared" si="199"/>
        <v>0</v>
      </c>
      <c r="JUO32" s="28">
        <f t="shared" si="199"/>
        <v>0</v>
      </c>
      <c r="JUP32" s="28">
        <f t="shared" si="199"/>
        <v>0</v>
      </c>
      <c r="JUQ32" s="28">
        <f t="shared" si="199"/>
        <v>0</v>
      </c>
      <c r="JUR32" s="28">
        <f t="shared" si="199"/>
        <v>0</v>
      </c>
      <c r="JUS32" s="28">
        <f t="shared" si="199"/>
        <v>0</v>
      </c>
      <c r="JUT32" s="28">
        <f t="shared" si="199"/>
        <v>0</v>
      </c>
      <c r="JUU32" s="28">
        <f t="shared" si="199"/>
        <v>0</v>
      </c>
      <c r="JUV32" s="28">
        <f t="shared" si="199"/>
        <v>0</v>
      </c>
      <c r="JUW32" s="28">
        <f t="shared" si="199"/>
        <v>0</v>
      </c>
      <c r="JUX32" s="28">
        <f t="shared" si="199"/>
        <v>0</v>
      </c>
      <c r="JUY32" s="28">
        <f t="shared" si="199"/>
        <v>0</v>
      </c>
      <c r="JUZ32" s="28">
        <f t="shared" si="199"/>
        <v>0</v>
      </c>
      <c r="JVA32" s="28">
        <f t="shared" si="199"/>
        <v>0</v>
      </c>
      <c r="JVB32" s="28">
        <f t="shared" si="199"/>
        <v>0</v>
      </c>
      <c r="JVC32" s="28">
        <f t="shared" si="199"/>
        <v>0</v>
      </c>
      <c r="JVD32" s="28">
        <f t="shared" si="199"/>
        <v>0</v>
      </c>
      <c r="JVE32" s="28">
        <f t="shared" si="199"/>
        <v>0</v>
      </c>
      <c r="JVF32" s="28">
        <f t="shared" si="199"/>
        <v>0</v>
      </c>
      <c r="JVG32" s="28">
        <f t="shared" si="199"/>
        <v>0</v>
      </c>
      <c r="JVH32" s="28">
        <f t="shared" si="199"/>
        <v>0</v>
      </c>
      <c r="JVI32" s="28">
        <f t="shared" si="199"/>
        <v>0</v>
      </c>
      <c r="JVJ32" s="28">
        <f t="shared" si="199"/>
        <v>0</v>
      </c>
      <c r="JVK32" s="28">
        <f t="shared" si="199"/>
        <v>0</v>
      </c>
      <c r="JVL32" s="28">
        <f t="shared" si="199"/>
        <v>0</v>
      </c>
      <c r="JVM32" s="28">
        <f t="shared" si="199"/>
        <v>0</v>
      </c>
      <c r="JVN32" s="28">
        <f t="shared" si="199"/>
        <v>0</v>
      </c>
      <c r="JVO32" s="28">
        <f t="shared" si="199"/>
        <v>0</v>
      </c>
      <c r="JVP32" s="28">
        <f t="shared" si="199"/>
        <v>0</v>
      </c>
      <c r="JVQ32" s="28">
        <f t="shared" si="199"/>
        <v>0</v>
      </c>
      <c r="JVR32" s="28">
        <f t="shared" si="199"/>
        <v>0</v>
      </c>
      <c r="JVS32" s="28">
        <f t="shared" si="199"/>
        <v>0</v>
      </c>
      <c r="JVT32" s="28">
        <f t="shared" si="199"/>
        <v>0</v>
      </c>
      <c r="JVU32" s="28">
        <f t="shared" si="199"/>
        <v>0</v>
      </c>
      <c r="JVV32" s="28">
        <f t="shared" si="199"/>
        <v>0</v>
      </c>
      <c r="JVW32" s="28">
        <f t="shared" si="199"/>
        <v>0</v>
      </c>
      <c r="JVX32" s="28">
        <f t="shared" si="199"/>
        <v>0</v>
      </c>
      <c r="JVY32" s="28">
        <f t="shared" si="199"/>
        <v>0</v>
      </c>
      <c r="JVZ32" s="28">
        <f t="shared" si="199"/>
        <v>0</v>
      </c>
      <c r="JWA32" s="28">
        <f t="shared" si="199"/>
        <v>0</v>
      </c>
      <c r="JWB32" s="28">
        <f t="shared" si="199"/>
        <v>0</v>
      </c>
      <c r="JWC32" s="28">
        <f t="shared" si="199"/>
        <v>0</v>
      </c>
      <c r="JWD32" s="28">
        <f t="shared" si="199"/>
        <v>0</v>
      </c>
      <c r="JWE32" s="28">
        <f t="shared" si="199"/>
        <v>0</v>
      </c>
      <c r="JWF32" s="28">
        <f t="shared" si="199"/>
        <v>0</v>
      </c>
      <c r="JWG32" s="28">
        <f t="shared" si="199"/>
        <v>0</v>
      </c>
      <c r="JWH32" s="28">
        <f t="shared" si="199"/>
        <v>0</v>
      </c>
      <c r="JWI32" s="28">
        <f t="shared" si="199"/>
        <v>0</v>
      </c>
      <c r="JWJ32" s="28">
        <f t="shared" si="199"/>
        <v>0</v>
      </c>
      <c r="JWK32" s="28">
        <f t="shared" ref="JWK32:JYV32" si="200">IFERROR(JWK31/JWK$4,0)</f>
        <v>0</v>
      </c>
      <c r="JWL32" s="28">
        <f t="shared" si="200"/>
        <v>0</v>
      </c>
      <c r="JWM32" s="28">
        <f t="shared" si="200"/>
        <v>0</v>
      </c>
      <c r="JWN32" s="28">
        <f t="shared" si="200"/>
        <v>0</v>
      </c>
      <c r="JWO32" s="28">
        <f t="shared" si="200"/>
        <v>0</v>
      </c>
      <c r="JWP32" s="28">
        <f t="shared" si="200"/>
        <v>0</v>
      </c>
      <c r="JWQ32" s="28">
        <f t="shared" si="200"/>
        <v>0</v>
      </c>
      <c r="JWR32" s="28">
        <f t="shared" si="200"/>
        <v>0</v>
      </c>
      <c r="JWS32" s="28">
        <f t="shared" si="200"/>
        <v>0</v>
      </c>
      <c r="JWT32" s="28">
        <f t="shared" si="200"/>
        <v>0</v>
      </c>
      <c r="JWU32" s="28">
        <f t="shared" si="200"/>
        <v>0</v>
      </c>
      <c r="JWV32" s="28">
        <f t="shared" si="200"/>
        <v>0</v>
      </c>
      <c r="JWW32" s="28">
        <f t="shared" si="200"/>
        <v>0</v>
      </c>
      <c r="JWX32" s="28">
        <f t="shared" si="200"/>
        <v>0</v>
      </c>
      <c r="JWY32" s="28">
        <f t="shared" si="200"/>
        <v>0</v>
      </c>
      <c r="JWZ32" s="28">
        <f t="shared" si="200"/>
        <v>0</v>
      </c>
      <c r="JXA32" s="28">
        <f t="shared" si="200"/>
        <v>0</v>
      </c>
      <c r="JXB32" s="28">
        <f t="shared" si="200"/>
        <v>0</v>
      </c>
      <c r="JXC32" s="28">
        <f t="shared" si="200"/>
        <v>0</v>
      </c>
      <c r="JXD32" s="28">
        <f t="shared" si="200"/>
        <v>0</v>
      </c>
      <c r="JXE32" s="28">
        <f t="shared" si="200"/>
        <v>0</v>
      </c>
      <c r="JXF32" s="28">
        <f t="shared" si="200"/>
        <v>0</v>
      </c>
      <c r="JXG32" s="28">
        <f t="shared" si="200"/>
        <v>0</v>
      </c>
      <c r="JXH32" s="28">
        <f t="shared" si="200"/>
        <v>0</v>
      </c>
      <c r="JXI32" s="28">
        <f t="shared" si="200"/>
        <v>0</v>
      </c>
      <c r="JXJ32" s="28">
        <f t="shared" si="200"/>
        <v>0</v>
      </c>
      <c r="JXK32" s="28">
        <f t="shared" si="200"/>
        <v>0</v>
      </c>
      <c r="JXL32" s="28">
        <f t="shared" si="200"/>
        <v>0</v>
      </c>
      <c r="JXM32" s="28">
        <f t="shared" si="200"/>
        <v>0</v>
      </c>
      <c r="JXN32" s="28">
        <f t="shared" si="200"/>
        <v>0</v>
      </c>
      <c r="JXO32" s="28">
        <f t="shared" si="200"/>
        <v>0</v>
      </c>
      <c r="JXP32" s="28">
        <f t="shared" si="200"/>
        <v>0</v>
      </c>
      <c r="JXQ32" s="28">
        <f t="shared" si="200"/>
        <v>0</v>
      </c>
      <c r="JXR32" s="28">
        <f t="shared" si="200"/>
        <v>0</v>
      </c>
      <c r="JXS32" s="28">
        <f t="shared" si="200"/>
        <v>0</v>
      </c>
      <c r="JXT32" s="28">
        <f t="shared" si="200"/>
        <v>0</v>
      </c>
      <c r="JXU32" s="28">
        <f t="shared" si="200"/>
        <v>0</v>
      </c>
      <c r="JXV32" s="28">
        <f t="shared" si="200"/>
        <v>0</v>
      </c>
      <c r="JXW32" s="28">
        <f t="shared" si="200"/>
        <v>0</v>
      </c>
      <c r="JXX32" s="28">
        <f t="shared" si="200"/>
        <v>0</v>
      </c>
      <c r="JXY32" s="28">
        <f t="shared" si="200"/>
        <v>0</v>
      </c>
      <c r="JXZ32" s="28">
        <f t="shared" si="200"/>
        <v>0</v>
      </c>
      <c r="JYA32" s="28">
        <f t="shared" si="200"/>
        <v>0</v>
      </c>
      <c r="JYB32" s="28">
        <f t="shared" si="200"/>
        <v>0</v>
      </c>
      <c r="JYC32" s="28">
        <f t="shared" si="200"/>
        <v>0</v>
      </c>
      <c r="JYD32" s="28">
        <f t="shared" si="200"/>
        <v>0</v>
      </c>
      <c r="JYE32" s="28">
        <f t="shared" si="200"/>
        <v>0</v>
      </c>
      <c r="JYF32" s="28">
        <f t="shared" si="200"/>
        <v>0</v>
      </c>
      <c r="JYG32" s="28">
        <f t="shared" si="200"/>
        <v>0</v>
      </c>
      <c r="JYH32" s="28">
        <f t="shared" si="200"/>
        <v>0</v>
      </c>
      <c r="JYI32" s="28">
        <f t="shared" si="200"/>
        <v>0</v>
      </c>
      <c r="JYJ32" s="28">
        <f t="shared" si="200"/>
        <v>0</v>
      </c>
      <c r="JYK32" s="28">
        <f t="shared" si="200"/>
        <v>0</v>
      </c>
      <c r="JYL32" s="28">
        <f t="shared" si="200"/>
        <v>0</v>
      </c>
      <c r="JYM32" s="28">
        <f t="shared" si="200"/>
        <v>0</v>
      </c>
      <c r="JYN32" s="28">
        <f t="shared" si="200"/>
        <v>0</v>
      </c>
      <c r="JYO32" s="28">
        <f t="shared" si="200"/>
        <v>0</v>
      </c>
      <c r="JYP32" s="28">
        <f t="shared" si="200"/>
        <v>0</v>
      </c>
      <c r="JYQ32" s="28">
        <f t="shared" si="200"/>
        <v>0</v>
      </c>
      <c r="JYR32" s="28">
        <f t="shared" si="200"/>
        <v>0</v>
      </c>
      <c r="JYS32" s="28">
        <f t="shared" si="200"/>
        <v>0</v>
      </c>
      <c r="JYT32" s="28">
        <f t="shared" si="200"/>
        <v>0</v>
      </c>
      <c r="JYU32" s="28">
        <f t="shared" si="200"/>
        <v>0</v>
      </c>
      <c r="JYV32" s="28">
        <f t="shared" si="200"/>
        <v>0</v>
      </c>
      <c r="JYW32" s="28">
        <f t="shared" ref="JYW32:KBH32" si="201">IFERROR(JYW31/JYW$4,0)</f>
        <v>0</v>
      </c>
      <c r="JYX32" s="28">
        <f t="shared" si="201"/>
        <v>0</v>
      </c>
      <c r="JYY32" s="28">
        <f t="shared" si="201"/>
        <v>0</v>
      </c>
      <c r="JYZ32" s="28">
        <f t="shared" si="201"/>
        <v>0</v>
      </c>
      <c r="JZA32" s="28">
        <f t="shared" si="201"/>
        <v>0</v>
      </c>
      <c r="JZB32" s="28">
        <f t="shared" si="201"/>
        <v>0</v>
      </c>
      <c r="JZC32" s="28">
        <f t="shared" si="201"/>
        <v>0</v>
      </c>
      <c r="JZD32" s="28">
        <f t="shared" si="201"/>
        <v>0</v>
      </c>
      <c r="JZE32" s="28">
        <f t="shared" si="201"/>
        <v>0</v>
      </c>
      <c r="JZF32" s="28">
        <f t="shared" si="201"/>
        <v>0</v>
      </c>
      <c r="JZG32" s="28">
        <f t="shared" si="201"/>
        <v>0</v>
      </c>
      <c r="JZH32" s="28">
        <f t="shared" si="201"/>
        <v>0</v>
      </c>
      <c r="JZI32" s="28">
        <f t="shared" si="201"/>
        <v>0</v>
      </c>
      <c r="JZJ32" s="28">
        <f t="shared" si="201"/>
        <v>0</v>
      </c>
      <c r="JZK32" s="28">
        <f t="shared" si="201"/>
        <v>0</v>
      </c>
      <c r="JZL32" s="28">
        <f t="shared" si="201"/>
        <v>0</v>
      </c>
      <c r="JZM32" s="28">
        <f t="shared" si="201"/>
        <v>0</v>
      </c>
      <c r="JZN32" s="28">
        <f t="shared" si="201"/>
        <v>0</v>
      </c>
      <c r="JZO32" s="28">
        <f t="shared" si="201"/>
        <v>0</v>
      </c>
      <c r="JZP32" s="28">
        <f t="shared" si="201"/>
        <v>0</v>
      </c>
      <c r="JZQ32" s="28">
        <f t="shared" si="201"/>
        <v>0</v>
      </c>
      <c r="JZR32" s="28">
        <f t="shared" si="201"/>
        <v>0</v>
      </c>
      <c r="JZS32" s="28">
        <f t="shared" si="201"/>
        <v>0</v>
      </c>
      <c r="JZT32" s="28">
        <f t="shared" si="201"/>
        <v>0</v>
      </c>
      <c r="JZU32" s="28">
        <f t="shared" si="201"/>
        <v>0</v>
      </c>
      <c r="JZV32" s="28">
        <f t="shared" si="201"/>
        <v>0</v>
      </c>
      <c r="JZW32" s="28">
        <f t="shared" si="201"/>
        <v>0</v>
      </c>
      <c r="JZX32" s="28">
        <f t="shared" si="201"/>
        <v>0</v>
      </c>
      <c r="JZY32" s="28">
        <f t="shared" si="201"/>
        <v>0</v>
      </c>
      <c r="JZZ32" s="28">
        <f t="shared" si="201"/>
        <v>0</v>
      </c>
      <c r="KAA32" s="28">
        <f t="shared" si="201"/>
        <v>0</v>
      </c>
      <c r="KAB32" s="28">
        <f t="shared" si="201"/>
        <v>0</v>
      </c>
      <c r="KAC32" s="28">
        <f t="shared" si="201"/>
        <v>0</v>
      </c>
      <c r="KAD32" s="28">
        <f t="shared" si="201"/>
        <v>0</v>
      </c>
      <c r="KAE32" s="28">
        <f t="shared" si="201"/>
        <v>0</v>
      </c>
      <c r="KAF32" s="28">
        <f t="shared" si="201"/>
        <v>0</v>
      </c>
      <c r="KAG32" s="28">
        <f t="shared" si="201"/>
        <v>0</v>
      </c>
      <c r="KAH32" s="28">
        <f t="shared" si="201"/>
        <v>0</v>
      </c>
      <c r="KAI32" s="28">
        <f t="shared" si="201"/>
        <v>0</v>
      </c>
      <c r="KAJ32" s="28">
        <f t="shared" si="201"/>
        <v>0</v>
      </c>
      <c r="KAK32" s="28">
        <f t="shared" si="201"/>
        <v>0</v>
      </c>
      <c r="KAL32" s="28">
        <f t="shared" si="201"/>
        <v>0</v>
      </c>
      <c r="KAM32" s="28">
        <f t="shared" si="201"/>
        <v>0</v>
      </c>
      <c r="KAN32" s="28">
        <f t="shared" si="201"/>
        <v>0</v>
      </c>
      <c r="KAO32" s="28">
        <f t="shared" si="201"/>
        <v>0</v>
      </c>
      <c r="KAP32" s="28">
        <f t="shared" si="201"/>
        <v>0</v>
      </c>
      <c r="KAQ32" s="28">
        <f t="shared" si="201"/>
        <v>0</v>
      </c>
      <c r="KAR32" s="28">
        <f t="shared" si="201"/>
        <v>0</v>
      </c>
      <c r="KAS32" s="28">
        <f t="shared" si="201"/>
        <v>0</v>
      </c>
      <c r="KAT32" s="28">
        <f t="shared" si="201"/>
        <v>0</v>
      </c>
      <c r="KAU32" s="28">
        <f t="shared" si="201"/>
        <v>0</v>
      </c>
      <c r="KAV32" s="28">
        <f t="shared" si="201"/>
        <v>0</v>
      </c>
      <c r="KAW32" s="28">
        <f t="shared" si="201"/>
        <v>0</v>
      </c>
      <c r="KAX32" s="28">
        <f t="shared" si="201"/>
        <v>0</v>
      </c>
      <c r="KAY32" s="28">
        <f t="shared" si="201"/>
        <v>0</v>
      </c>
      <c r="KAZ32" s="28">
        <f t="shared" si="201"/>
        <v>0</v>
      </c>
      <c r="KBA32" s="28">
        <f t="shared" si="201"/>
        <v>0</v>
      </c>
      <c r="KBB32" s="28">
        <f t="shared" si="201"/>
        <v>0</v>
      </c>
      <c r="KBC32" s="28">
        <f t="shared" si="201"/>
        <v>0</v>
      </c>
      <c r="KBD32" s="28">
        <f t="shared" si="201"/>
        <v>0</v>
      </c>
      <c r="KBE32" s="28">
        <f t="shared" si="201"/>
        <v>0</v>
      </c>
      <c r="KBF32" s="28">
        <f t="shared" si="201"/>
        <v>0</v>
      </c>
      <c r="KBG32" s="28">
        <f t="shared" si="201"/>
        <v>0</v>
      </c>
      <c r="KBH32" s="28">
        <f t="shared" si="201"/>
        <v>0</v>
      </c>
      <c r="KBI32" s="28">
        <f t="shared" ref="KBI32:KDT32" si="202">IFERROR(KBI31/KBI$4,0)</f>
        <v>0</v>
      </c>
      <c r="KBJ32" s="28">
        <f t="shared" si="202"/>
        <v>0</v>
      </c>
      <c r="KBK32" s="28">
        <f t="shared" si="202"/>
        <v>0</v>
      </c>
      <c r="KBL32" s="28">
        <f t="shared" si="202"/>
        <v>0</v>
      </c>
      <c r="KBM32" s="28">
        <f t="shared" si="202"/>
        <v>0</v>
      </c>
      <c r="KBN32" s="28">
        <f t="shared" si="202"/>
        <v>0</v>
      </c>
      <c r="KBO32" s="28">
        <f t="shared" si="202"/>
        <v>0</v>
      </c>
      <c r="KBP32" s="28">
        <f t="shared" si="202"/>
        <v>0</v>
      </c>
      <c r="KBQ32" s="28">
        <f t="shared" si="202"/>
        <v>0</v>
      </c>
      <c r="KBR32" s="28">
        <f t="shared" si="202"/>
        <v>0</v>
      </c>
      <c r="KBS32" s="28">
        <f t="shared" si="202"/>
        <v>0</v>
      </c>
      <c r="KBT32" s="28">
        <f t="shared" si="202"/>
        <v>0</v>
      </c>
      <c r="KBU32" s="28">
        <f t="shared" si="202"/>
        <v>0</v>
      </c>
      <c r="KBV32" s="28">
        <f t="shared" si="202"/>
        <v>0</v>
      </c>
      <c r="KBW32" s="28">
        <f t="shared" si="202"/>
        <v>0</v>
      </c>
      <c r="KBX32" s="28">
        <f t="shared" si="202"/>
        <v>0</v>
      </c>
      <c r="KBY32" s="28">
        <f t="shared" si="202"/>
        <v>0</v>
      </c>
      <c r="KBZ32" s="28">
        <f t="shared" si="202"/>
        <v>0</v>
      </c>
      <c r="KCA32" s="28">
        <f t="shared" si="202"/>
        <v>0</v>
      </c>
      <c r="KCB32" s="28">
        <f t="shared" si="202"/>
        <v>0</v>
      </c>
      <c r="KCC32" s="28">
        <f t="shared" si="202"/>
        <v>0</v>
      </c>
      <c r="KCD32" s="28">
        <f t="shared" si="202"/>
        <v>0</v>
      </c>
      <c r="KCE32" s="28">
        <f t="shared" si="202"/>
        <v>0</v>
      </c>
      <c r="KCF32" s="28">
        <f t="shared" si="202"/>
        <v>0</v>
      </c>
      <c r="KCG32" s="28">
        <f t="shared" si="202"/>
        <v>0</v>
      </c>
      <c r="KCH32" s="28">
        <f t="shared" si="202"/>
        <v>0</v>
      </c>
      <c r="KCI32" s="28">
        <f t="shared" si="202"/>
        <v>0</v>
      </c>
      <c r="KCJ32" s="28">
        <f t="shared" si="202"/>
        <v>0</v>
      </c>
      <c r="KCK32" s="28">
        <f t="shared" si="202"/>
        <v>0</v>
      </c>
      <c r="KCL32" s="28">
        <f t="shared" si="202"/>
        <v>0</v>
      </c>
      <c r="KCM32" s="28">
        <f t="shared" si="202"/>
        <v>0</v>
      </c>
      <c r="KCN32" s="28">
        <f t="shared" si="202"/>
        <v>0</v>
      </c>
      <c r="KCO32" s="28">
        <f t="shared" si="202"/>
        <v>0</v>
      </c>
      <c r="KCP32" s="28">
        <f t="shared" si="202"/>
        <v>0</v>
      </c>
      <c r="KCQ32" s="28">
        <f t="shared" si="202"/>
        <v>0</v>
      </c>
      <c r="KCR32" s="28">
        <f t="shared" si="202"/>
        <v>0</v>
      </c>
      <c r="KCS32" s="28">
        <f t="shared" si="202"/>
        <v>0</v>
      </c>
      <c r="KCT32" s="28">
        <f t="shared" si="202"/>
        <v>0</v>
      </c>
      <c r="KCU32" s="28">
        <f t="shared" si="202"/>
        <v>0</v>
      </c>
      <c r="KCV32" s="28">
        <f t="shared" si="202"/>
        <v>0</v>
      </c>
      <c r="KCW32" s="28">
        <f t="shared" si="202"/>
        <v>0</v>
      </c>
      <c r="KCX32" s="28">
        <f t="shared" si="202"/>
        <v>0</v>
      </c>
      <c r="KCY32" s="28">
        <f t="shared" si="202"/>
        <v>0</v>
      </c>
      <c r="KCZ32" s="28">
        <f t="shared" si="202"/>
        <v>0</v>
      </c>
      <c r="KDA32" s="28">
        <f t="shared" si="202"/>
        <v>0</v>
      </c>
      <c r="KDB32" s="28">
        <f t="shared" si="202"/>
        <v>0</v>
      </c>
      <c r="KDC32" s="28">
        <f t="shared" si="202"/>
        <v>0</v>
      </c>
      <c r="KDD32" s="28">
        <f t="shared" si="202"/>
        <v>0</v>
      </c>
      <c r="KDE32" s="28">
        <f t="shared" si="202"/>
        <v>0</v>
      </c>
      <c r="KDF32" s="28">
        <f t="shared" si="202"/>
        <v>0</v>
      </c>
      <c r="KDG32" s="28">
        <f t="shared" si="202"/>
        <v>0</v>
      </c>
      <c r="KDH32" s="28">
        <f t="shared" si="202"/>
        <v>0</v>
      </c>
      <c r="KDI32" s="28">
        <f t="shared" si="202"/>
        <v>0</v>
      </c>
      <c r="KDJ32" s="28">
        <f t="shared" si="202"/>
        <v>0</v>
      </c>
      <c r="KDK32" s="28">
        <f t="shared" si="202"/>
        <v>0</v>
      </c>
      <c r="KDL32" s="28">
        <f t="shared" si="202"/>
        <v>0</v>
      </c>
      <c r="KDM32" s="28">
        <f t="shared" si="202"/>
        <v>0</v>
      </c>
      <c r="KDN32" s="28">
        <f t="shared" si="202"/>
        <v>0</v>
      </c>
      <c r="KDO32" s="28">
        <f t="shared" si="202"/>
        <v>0</v>
      </c>
      <c r="KDP32" s="28">
        <f t="shared" si="202"/>
        <v>0</v>
      </c>
      <c r="KDQ32" s="28">
        <f t="shared" si="202"/>
        <v>0</v>
      </c>
      <c r="KDR32" s="28">
        <f t="shared" si="202"/>
        <v>0</v>
      </c>
      <c r="KDS32" s="28">
        <f t="shared" si="202"/>
        <v>0</v>
      </c>
      <c r="KDT32" s="28">
        <f t="shared" si="202"/>
        <v>0</v>
      </c>
      <c r="KDU32" s="28">
        <f t="shared" ref="KDU32:KGF32" si="203">IFERROR(KDU31/KDU$4,0)</f>
        <v>0</v>
      </c>
      <c r="KDV32" s="28">
        <f t="shared" si="203"/>
        <v>0</v>
      </c>
      <c r="KDW32" s="28">
        <f t="shared" si="203"/>
        <v>0</v>
      </c>
      <c r="KDX32" s="28">
        <f t="shared" si="203"/>
        <v>0</v>
      </c>
      <c r="KDY32" s="28">
        <f t="shared" si="203"/>
        <v>0</v>
      </c>
      <c r="KDZ32" s="28">
        <f t="shared" si="203"/>
        <v>0</v>
      </c>
      <c r="KEA32" s="28">
        <f t="shared" si="203"/>
        <v>0</v>
      </c>
      <c r="KEB32" s="28">
        <f t="shared" si="203"/>
        <v>0</v>
      </c>
      <c r="KEC32" s="28">
        <f t="shared" si="203"/>
        <v>0</v>
      </c>
      <c r="KED32" s="28">
        <f t="shared" si="203"/>
        <v>0</v>
      </c>
      <c r="KEE32" s="28">
        <f t="shared" si="203"/>
        <v>0</v>
      </c>
      <c r="KEF32" s="28">
        <f t="shared" si="203"/>
        <v>0</v>
      </c>
      <c r="KEG32" s="28">
        <f t="shared" si="203"/>
        <v>0</v>
      </c>
      <c r="KEH32" s="28">
        <f t="shared" si="203"/>
        <v>0</v>
      </c>
      <c r="KEI32" s="28">
        <f t="shared" si="203"/>
        <v>0</v>
      </c>
      <c r="KEJ32" s="28">
        <f t="shared" si="203"/>
        <v>0</v>
      </c>
      <c r="KEK32" s="28">
        <f t="shared" si="203"/>
        <v>0</v>
      </c>
      <c r="KEL32" s="28">
        <f t="shared" si="203"/>
        <v>0</v>
      </c>
      <c r="KEM32" s="28">
        <f t="shared" si="203"/>
        <v>0</v>
      </c>
      <c r="KEN32" s="28">
        <f t="shared" si="203"/>
        <v>0</v>
      </c>
      <c r="KEO32" s="28">
        <f t="shared" si="203"/>
        <v>0</v>
      </c>
      <c r="KEP32" s="28">
        <f t="shared" si="203"/>
        <v>0</v>
      </c>
      <c r="KEQ32" s="28">
        <f t="shared" si="203"/>
        <v>0</v>
      </c>
      <c r="KER32" s="28">
        <f t="shared" si="203"/>
        <v>0</v>
      </c>
      <c r="KES32" s="28">
        <f t="shared" si="203"/>
        <v>0</v>
      </c>
      <c r="KET32" s="28">
        <f t="shared" si="203"/>
        <v>0</v>
      </c>
      <c r="KEU32" s="28">
        <f t="shared" si="203"/>
        <v>0</v>
      </c>
      <c r="KEV32" s="28">
        <f t="shared" si="203"/>
        <v>0</v>
      </c>
      <c r="KEW32" s="28">
        <f t="shared" si="203"/>
        <v>0</v>
      </c>
      <c r="KEX32" s="28">
        <f t="shared" si="203"/>
        <v>0</v>
      </c>
      <c r="KEY32" s="28">
        <f t="shared" si="203"/>
        <v>0</v>
      </c>
      <c r="KEZ32" s="28">
        <f t="shared" si="203"/>
        <v>0</v>
      </c>
      <c r="KFA32" s="28">
        <f t="shared" si="203"/>
        <v>0</v>
      </c>
      <c r="KFB32" s="28">
        <f t="shared" si="203"/>
        <v>0</v>
      </c>
      <c r="KFC32" s="28">
        <f t="shared" si="203"/>
        <v>0</v>
      </c>
      <c r="KFD32" s="28">
        <f t="shared" si="203"/>
        <v>0</v>
      </c>
      <c r="KFE32" s="28">
        <f t="shared" si="203"/>
        <v>0</v>
      </c>
      <c r="KFF32" s="28">
        <f t="shared" si="203"/>
        <v>0</v>
      </c>
      <c r="KFG32" s="28">
        <f t="shared" si="203"/>
        <v>0</v>
      </c>
      <c r="KFH32" s="28">
        <f t="shared" si="203"/>
        <v>0</v>
      </c>
      <c r="KFI32" s="28">
        <f t="shared" si="203"/>
        <v>0</v>
      </c>
      <c r="KFJ32" s="28">
        <f t="shared" si="203"/>
        <v>0</v>
      </c>
      <c r="KFK32" s="28">
        <f t="shared" si="203"/>
        <v>0</v>
      </c>
      <c r="KFL32" s="28">
        <f t="shared" si="203"/>
        <v>0</v>
      </c>
      <c r="KFM32" s="28">
        <f t="shared" si="203"/>
        <v>0</v>
      </c>
      <c r="KFN32" s="28">
        <f t="shared" si="203"/>
        <v>0</v>
      </c>
      <c r="KFO32" s="28">
        <f t="shared" si="203"/>
        <v>0</v>
      </c>
      <c r="KFP32" s="28">
        <f t="shared" si="203"/>
        <v>0</v>
      </c>
      <c r="KFQ32" s="28">
        <f t="shared" si="203"/>
        <v>0</v>
      </c>
      <c r="KFR32" s="28">
        <f t="shared" si="203"/>
        <v>0</v>
      </c>
      <c r="KFS32" s="28">
        <f t="shared" si="203"/>
        <v>0</v>
      </c>
      <c r="KFT32" s="28">
        <f t="shared" si="203"/>
        <v>0</v>
      </c>
      <c r="KFU32" s="28">
        <f t="shared" si="203"/>
        <v>0</v>
      </c>
      <c r="KFV32" s="28">
        <f t="shared" si="203"/>
        <v>0</v>
      </c>
      <c r="KFW32" s="28">
        <f t="shared" si="203"/>
        <v>0</v>
      </c>
      <c r="KFX32" s="28">
        <f t="shared" si="203"/>
        <v>0</v>
      </c>
      <c r="KFY32" s="28">
        <f t="shared" si="203"/>
        <v>0</v>
      </c>
      <c r="KFZ32" s="28">
        <f t="shared" si="203"/>
        <v>0</v>
      </c>
      <c r="KGA32" s="28">
        <f t="shared" si="203"/>
        <v>0</v>
      </c>
      <c r="KGB32" s="28">
        <f t="shared" si="203"/>
        <v>0</v>
      </c>
      <c r="KGC32" s="28">
        <f t="shared" si="203"/>
        <v>0</v>
      </c>
      <c r="KGD32" s="28">
        <f t="shared" si="203"/>
        <v>0</v>
      </c>
      <c r="KGE32" s="28">
        <f t="shared" si="203"/>
        <v>0</v>
      </c>
      <c r="KGF32" s="28">
        <f t="shared" si="203"/>
        <v>0</v>
      </c>
      <c r="KGG32" s="28">
        <f t="shared" ref="KGG32:KIR32" si="204">IFERROR(KGG31/KGG$4,0)</f>
        <v>0</v>
      </c>
      <c r="KGH32" s="28">
        <f t="shared" si="204"/>
        <v>0</v>
      </c>
      <c r="KGI32" s="28">
        <f t="shared" si="204"/>
        <v>0</v>
      </c>
      <c r="KGJ32" s="28">
        <f t="shared" si="204"/>
        <v>0</v>
      </c>
      <c r="KGK32" s="28">
        <f t="shared" si="204"/>
        <v>0</v>
      </c>
      <c r="KGL32" s="28">
        <f t="shared" si="204"/>
        <v>0</v>
      </c>
      <c r="KGM32" s="28">
        <f t="shared" si="204"/>
        <v>0</v>
      </c>
      <c r="KGN32" s="28">
        <f t="shared" si="204"/>
        <v>0</v>
      </c>
      <c r="KGO32" s="28">
        <f t="shared" si="204"/>
        <v>0</v>
      </c>
      <c r="KGP32" s="28">
        <f t="shared" si="204"/>
        <v>0</v>
      </c>
      <c r="KGQ32" s="28">
        <f t="shared" si="204"/>
        <v>0</v>
      </c>
      <c r="KGR32" s="28">
        <f t="shared" si="204"/>
        <v>0</v>
      </c>
      <c r="KGS32" s="28">
        <f t="shared" si="204"/>
        <v>0</v>
      </c>
      <c r="KGT32" s="28">
        <f t="shared" si="204"/>
        <v>0</v>
      </c>
      <c r="KGU32" s="28">
        <f t="shared" si="204"/>
        <v>0</v>
      </c>
      <c r="KGV32" s="28">
        <f t="shared" si="204"/>
        <v>0</v>
      </c>
      <c r="KGW32" s="28">
        <f t="shared" si="204"/>
        <v>0</v>
      </c>
      <c r="KGX32" s="28">
        <f t="shared" si="204"/>
        <v>0</v>
      </c>
      <c r="KGY32" s="28">
        <f t="shared" si="204"/>
        <v>0</v>
      </c>
      <c r="KGZ32" s="28">
        <f t="shared" si="204"/>
        <v>0</v>
      </c>
      <c r="KHA32" s="28">
        <f t="shared" si="204"/>
        <v>0</v>
      </c>
      <c r="KHB32" s="28">
        <f t="shared" si="204"/>
        <v>0</v>
      </c>
      <c r="KHC32" s="28">
        <f t="shared" si="204"/>
        <v>0</v>
      </c>
      <c r="KHD32" s="28">
        <f t="shared" si="204"/>
        <v>0</v>
      </c>
      <c r="KHE32" s="28">
        <f t="shared" si="204"/>
        <v>0</v>
      </c>
      <c r="KHF32" s="28">
        <f t="shared" si="204"/>
        <v>0</v>
      </c>
      <c r="KHG32" s="28">
        <f t="shared" si="204"/>
        <v>0</v>
      </c>
      <c r="KHH32" s="28">
        <f t="shared" si="204"/>
        <v>0</v>
      </c>
      <c r="KHI32" s="28">
        <f t="shared" si="204"/>
        <v>0</v>
      </c>
      <c r="KHJ32" s="28">
        <f t="shared" si="204"/>
        <v>0</v>
      </c>
      <c r="KHK32" s="28">
        <f t="shared" si="204"/>
        <v>0</v>
      </c>
      <c r="KHL32" s="28">
        <f t="shared" si="204"/>
        <v>0</v>
      </c>
      <c r="KHM32" s="28">
        <f t="shared" si="204"/>
        <v>0</v>
      </c>
      <c r="KHN32" s="28">
        <f t="shared" si="204"/>
        <v>0</v>
      </c>
      <c r="KHO32" s="28">
        <f t="shared" si="204"/>
        <v>0</v>
      </c>
      <c r="KHP32" s="28">
        <f t="shared" si="204"/>
        <v>0</v>
      </c>
      <c r="KHQ32" s="28">
        <f t="shared" si="204"/>
        <v>0</v>
      </c>
      <c r="KHR32" s="28">
        <f t="shared" si="204"/>
        <v>0</v>
      </c>
      <c r="KHS32" s="28">
        <f t="shared" si="204"/>
        <v>0</v>
      </c>
      <c r="KHT32" s="28">
        <f t="shared" si="204"/>
        <v>0</v>
      </c>
      <c r="KHU32" s="28">
        <f t="shared" si="204"/>
        <v>0</v>
      </c>
      <c r="KHV32" s="28">
        <f t="shared" si="204"/>
        <v>0</v>
      </c>
      <c r="KHW32" s="28">
        <f t="shared" si="204"/>
        <v>0</v>
      </c>
      <c r="KHX32" s="28">
        <f t="shared" si="204"/>
        <v>0</v>
      </c>
      <c r="KHY32" s="28">
        <f t="shared" si="204"/>
        <v>0</v>
      </c>
      <c r="KHZ32" s="28">
        <f t="shared" si="204"/>
        <v>0</v>
      </c>
      <c r="KIA32" s="28">
        <f t="shared" si="204"/>
        <v>0</v>
      </c>
      <c r="KIB32" s="28">
        <f t="shared" si="204"/>
        <v>0</v>
      </c>
      <c r="KIC32" s="28">
        <f t="shared" si="204"/>
        <v>0</v>
      </c>
      <c r="KID32" s="28">
        <f t="shared" si="204"/>
        <v>0</v>
      </c>
      <c r="KIE32" s="28">
        <f t="shared" si="204"/>
        <v>0</v>
      </c>
      <c r="KIF32" s="28">
        <f t="shared" si="204"/>
        <v>0</v>
      </c>
      <c r="KIG32" s="28">
        <f t="shared" si="204"/>
        <v>0</v>
      </c>
      <c r="KIH32" s="28">
        <f t="shared" si="204"/>
        <v>0</v>
      </c>
      <c r="KII32" s="28">
        <f t="shared" si="204"/>
        <v>0</v>
      </c>
      <c r="KIJ32" s="28">
        <f t="shared" si="204"/>
        <v>0</v>
      </c>
      <c r="KIK32" s="28">
        <f t="shared" si="204"/>
        <v>0</v>
      </c>
      <c r="KIL32" s="28">
        <f t="shared" si="204"/>
        <v>0</v>
      </c>
      <c r="KIM32" s="28">
        <f t="shared" si="204"/>
        <v>0</v>
      </c>
      <c r="KIN32" s="28">
        <f t="shared" si="204"/>
        <v>0</v>
      </c>
      <c r="KIO32" s="28">
        <f t="shared" si="204"/>
        <v>0</v>
      </c>
      <c r="KIP32" s="28">
        <f t="shared" si="204"/>
        <v>0</v>
      </c>
      <c r="KIQ32" s="28">
        <f t="shared" si="204"/>
        <v>0</v>
      </c>
      <c r="KIR32" s="28">
        <f t="shared" si="204"/>
        <v>0</v>
      </c>
      <c r="KIS32" s="28">
        <f t="shared" ref="KIS32:KLD32" si="205">IFERROR(KIS31/KIS$4,0)</f>
        <v>0</v>
      </c>
      <c r="KIT32" s="28">
        <f t="shared" si="205"/>
        <v>0</v>
      </c>
      <c r="KIU32" s="28">
        <f t="shared" si="205"/>
        <v>0</v>
      </c>
      <c r="KIV32" s="28">
        <f t="shared" si="205"/>
        <v>0</v>
      </c>
      <c r="KIW32" s="28">
        <f t="shared" si="205"/>
        <v>0</v>
      </c>
      <c r="KIX32" s="28">
        <f t="shared" si="205"/>
        <v>0</v>
      </c>
      <c r="KIY32" s="28">
        <f t="shared" si="205"/>
        <v>0</v>
      </c>
      <c r="KIZ32" s="28">
        <f t="shared" si="205"/>
        <v>0</v>
      </c>
      <c r="KJA32" s="28">
        <f t="shared" si="205"/>
        <v>0</v>
      </c>
      <c r="KJB32" s="28">
        <f t="shared" si="205"/>
        <v>0</v>
      </c>
      <c r="KJC32" s="28">
        <f t="shared" si="205"/>
        <v>0</v>
      </c>
      <c r="KJD32" s="28">
        <f t="shared" si="205"/>
        <v>0</v>
      </c>
      <c r="KJE32" s="28">
        <f t="shared" si="205"/>
        <v>0</v>
      </c>
      <c r="KJF32" s="28">
        <f t="shared" si="205"/>
        <v>0</v>
      </c>
      <c r="KJG32" s="28">
        <f t="shared" si="205"/>
        <v>0</v>
      </c>
      <c r="KJH32" s="28">
        <f t="shared" si="205"/>
        <v>0</v>
      </c>
      <c r="KJI32" s="28">
        <f t="shared" si="205"/>
        <v>0</v>
      </c>
      <c r="KJJ32" s="28">
        <f t="shared" si="205"/>
        <v>0</v>
      </c>
      <c r="KJK32" s="28">
        <f t="shared" si="205"/>
        <v>0</v>
      </c>
      <c r="KJL32" s="28">
        <f t="shared" si="205"/>
        <v>0</v>
      </c>
      <c r="KJM32" s="28">
        <f t="shared" si="205"/>
        <v>0</v>
      </c>
      <c r="KJN32" s="28">
        <f t="shared" si="205"/>
        <v>0</v>
      </c>
      <c r="KJO32" s="28">
        <f t="shared" si="205"/>
        <v>0</v>
      </c>
      <c r="KJP32" s="28">
        <f t="shared" si="205"/>
        <v>0</v>
      </c>
      <c r="KJQ32" s="28">
        <f t="shared" si="205"/>
        <v>0</v>
      </c>
      <c r="KJR32" s="28">
        <f t="shared" si="205"/>
        <v>0</v>
      </c>
      <c r="KJS32" s="28">
        <f t="shared" si="205"/>
        <v>0</v>
      </c>
      <c r="KJT32" s="28">
        <f t="shared" si="205"/>
        <v>0</v>
      </c>
      <c r="KJU32" s="28">
        <f t="shared" si="205"/>
        <v>0</v>
      </c>
      <c r="KJV32" s="28">
        <f t="shared" si="205"/>
        <v>0</v>
      </c>
      <c r="KJW32" s="28">
        <f t="shared" si="205"/>
        <v>0</v>
      </c>
      <c r="KJX32" s="28">
        <f t="shared" si="205"/>
        <v>0</v>
      </c>
      <c r="KJY32" s="28">
        <f t="shared" si="205"/>
        <v>0</v>
      </c>
      <c r="KJZ32" s="28">
        <f t="shared" si="205"/>
        <v>0</v>
      </c>
      <c r="KKA32" s="28">
        <f t="shared" si="205"/>
        <v>0</v>
      </c>
      <c r="KKB32" s="28">
        <f t="shared" si="205"/>
        <v>0</v>
      </c>
      <c r="KKC32" s="28">
        <f t="shared" si="205"/>
        <v>0</v>
      </c>
      <c r="KKD32" s="28">
        <f t="shared" si="205"/>
        <v>0</v>
      </c>
      <c r="KKE32" s="28">
        <f t="shared" si="205"/>
        <v>0</v>
      </c>
      <c r="KKF32" s="28">
        <f t="shared" si="205"/>
        <v>0</v>
      </c>
      <c r="KKG32" s="28">
        <f t="shared" si="205"/>
        <v>0</v>
      </c>
      <c r="KKH32" s="28">
        <f t="shared" si="205"/>
        <v>0</v>
      </c>
      <c r="KKI32" s="28">
        <f t="shared" si="205"/>
        <v>0</v>
      </c>
      <c r="KKJ32" s="28">
        <f t="shared" si="205"/>
        <v>0</v>
      </c>
      <c r="KKK32" s="28">
        <f t="shared" si="205"/>
        <v>0</v>
      </c>
      <c r="KKL32" s="28">
        <f t="shared" si="205"/>
        <v>0</v>
      </c>
      <c r="KKM32" s="28">
        <f t="shared" si="205"/>
        <v>0</v>
      </c>
      <c r="KKN32" s="28">
        <f t="shared" si="205"/>
        <v>0</v>
      </c>
      <c r="KKO32" s="28">
        <f t="shared" si="205"/>
        <v>0</v>
      </c>
      <c r="KKP32" s="28">
        <f t="shared" si="205"/>
        <v>0</v>
      </c>
      <c r="KKQ32" s="28">
        <f t="shared" si="205"/>
        <v>0</v>
      </c>
      <c r="KKR32" s="28">
        <f t="shared" si="205"/>
        <v>0</v>
      </c>
      <c r="KKS32" s="28">
        <f t="shared" si="205"/>
        <v>0</v>
      </c>
      <c r="KKT32" s="28">
        <f t="shared" si="205"/>
        <v>0</v>
      </c>
      <c r="KKU32" s="28">
        <f t="shared" si="205"/>
        <v>0</v>
      </c>
      <c r="KKV32" s="28">
        <f t="shared" si="205"/>
        <v>0</v>
      </c>
      <c r="KKW32" s="28">
        <f t="shared" si="205"/>
        <v>0</v>
      </c>
      <c r="KKX32" s="28">
        <f t="shared" si="205"/>
        <v>0</v>
      </c>
      <c r="KKY32" s="28">
        <f t="shared" si="205"/>
        <v>0</v>
      </c>
      <c r="KKZ32" s="28">
        <f t="shared" si="205"/>
        <v>0</v>
      </c>
      <c r="KLA32" s="28">
        <f t="shared" si="205"/>
        <v>0</v>
      </c>
      <c r="KLB32" s="28">
        <f t="shared" si="205"/>
        <v>0</v>
      </c>
      <c r="KLC32" s="28">
        <f t="shared" si="205"/>
        <v>0</v>
      </c>
      <c r="KLD32" s="28">
        <f t="shared" si="205"/>
        <v>0</v>
      </c>
      <c r="KLE32" s="28">
        <f t="shared" ref="KLE32:KNP32" si="206">IFERROR(KLE31/KLE$4,0)</f>
        <v>0</v>
      </c>
      <c r="KLF32" s="28">
        <f t="shared" si="206"/>
        <v>0</v>
      </c>
      <c r="KLG32" s="28">
        <f t="shared" si="206"/>
        <v>0</v>
      </c>
      <c r="KLH32" s="28">
        <f t="shared" si="206"/>
        <v>0</v>
      </c>
      <c r="KLI32" s="28">
        <f t="shared" si="206"/>
        <v>0</v>
      </c>
      <c r="KLJ32" s="28">
        <f t="shared" si="206"/>
        <v>0</v>
      </c>
      <c r="KLK32" s="28">
        <f t="shared" si="206"/>
        <v>0</v>
      </c>
      <c r="KLL32" s="28">
        <f t="shared" si="206"/>
        <v>0</v>
      </c>
      <c r="KLM32" s="28">
        <f t="shared" si="206"/>
        <v>0</v>
      </c>
      <c r="KLN32" s="28">
        <f t="shared" si="206"/>
        <v>0</v>
      </c>
      <c r="KLO32" s="28">
        <f t="shared" si="206"/>
        <v>0</v>
      </c>
      <c r="KLP32" s="28">
        <f t="shared" si="206"/>
        <v>0</v>
      </c>
      <c r="KLQ32" s="28">
        <f t="shared" si="206"/>
        <v>0</v>
      </c>
      <c r="KLR32" s="28">
        <f t="shared" si="206"/>
        <v>0</v>
      </c>
      <c r="KLS32" s="28">
        <f t="shared" si="206"/>
        <v>0</v>
      </c>
      <c r="KLT32" s="28">
        <f t="shared" si="206"/>
        <v>0</v>
      </c>
      <c r="KLU32" s="28">
        <f t="shared" si="206"/>
        <v>0</v>
      </c>
      <c r="KLV32" s="28">
        <f t="shared" si="206"/>
        <v>0</v>
      </c>
      <c r="KLW32" s="28">
        <f t="shared" si="206"/>
        <v>0</v>
      </c>
      <c r="KLX32" s="28">
        <f t="shared" si="206"/>
        <v>0</v>
      </c>
      <c r="KLY32" s="28">
        <f t="shared" si="206"/>
        <v>0</v>
      </c>
      <c r="KLZ32" s="28">
        <f t="shared" si="206"/>
        <v>0</v>
      </c>
      <c r="KMA32" s="28">
        <f t="shared" si="206"/>
        <v>0</v>
      </c>
      <c r="KMB32" s="28">
        <f t="shared" si="206"/>
        <v>0</v>
      </c>
      <c r="KMC32" s="28">
        <f t="shared" si="206"/>
        <v>0</v>
      </c>
      <c r="KMD32" s="28">
        <f t="shared" si="206"/>
        <v>0</v>
      </c>
      <c r="KME32" s="28">
        <f t="shared" si="206"/>
        <v>0</v>
      </c>
      <c r="KMF32" s="28">
        <f t="shared" si="206"/>
        <v>0</v>
      </c>
      <c r="KMG32" s="28">
        <f t="shared" si="206"/>
        <v>0</v>
      </c>
      <c r="KMH32" s="28">
        <f t="shared" si="206"/>
        <v>0</v>
      </c>
      <c r="KMI32" s="28">
        <f t="shared" si="206"/>
        <v>0</v>
      </c>
      <c r="KMJ32" s="28">
        <f t="shared" si="206"/>
        <v>0</v>
      </c>
      <c r="KMK32" s="28">
        <f t="shared" si="206"/>
        <v>0</v>
      </c>
      <c r="KML32" s="28">
        <f t="shared" si="206"/>
        <v>0</v>
      </c>
      <c r="KMM32" s="28">
        <f t="shared" si="206"/>
        <v>0</v>
      </c>
      <c r="KMN32" s="28">
        <f t="shared" si="206"/>
        <v>0</v>
      </c>
      <c r="KMO32" s="28">
        <f t="shared" si="206"/>
        <v>0</v>
      </c>
      <c r="KMP32" s="28">
        <f t="shared" si="206"/>
        <v>0</v>
      </c>
      <c r="KMQ32" s="28">
        <f t="shared" si="206"/>
        <v>0</v>
      </c>
      <c r="KMR32" s="28">
        <f t="shared" si="206"/>
        <v>0</v>
      </c>
      <c r="KMS32" s="28">
        <f t="shared" si="206"/>
        <v>0</v>
      </c>
      <c r="KMT32" s="28">
        <f t="shared" si="206"/>
        <v>0</v>
      </c>
      <c r="KMU32" s="28">
        <f t="shared" si="206"/>
        <v>0</v>
      </c>
      <c r="KMV32" s="28">
        <f t="shared" si="206"/>
        <v>0</v>
      </c>
      <c r="KMW32" s="28">
        <f t="shared" si="206"/>
        <v>0</v>
      </c>
      <c r="KMX32" s="28">
        <f t="shared" si="206"/>
        <v>0</v>
      </c>
      <c r="KMY32" s="28">
        <f t="shared" si="206"/>
        <v>0</v>
      </c>
      <c r="KMZ32" s="28">
        <f t="shared" si="206"/>
        <v>0</v>
      </c>
      <c r="KNA32" s="28">
        <f t="shared" si="206"/>
        <v>0</v>
      </c>
      <c r="KNB32" s="28">
        <f t="shared" si="206"/>
        <v>0</v>
      </c>
      <c r="KNC32" s="28">
        <f t="shared" si="206"/>
        <v>0</v>
      </c>
      <c r="KND32" s="28">
        <f t="shared" si="206"/>
        <v>0</v>
      </c>
      <c r="KNE32" s="28">
        <f t="shared" si="206"/>
        <v>0</v>
      </c>
      <c r="KNF32" s="28">
        <f t="shared" si="206"/>
        <v>0</v>
      </c>
      <c r="KNG32" s="28">
        <f t="shared" si="206"/>
        <v>0</v>
      </c>
      <c r="KNH32" s="28">
        <f t="shared" si="206"/>
        <v>0</v>
      </c>
      <c r="KNI32" s="28">
        <f t="shared" si="206"/>
        <v>0</v>
      </c>
      <c r="KNJ32" s="28">
        <f t="shared" si="206"/>
        <v>0</v>
      </c>
      <c r="KNK32" s="28">
        <f t="shared" si="206"/>
        <v>0</v>
      </c>
      <c r="KNL32" s="28">
        <f t="shared" si="206"/>
        <v>0</v>
      </c>
      <c r="KNM32" s="28">
        <f t="shared" si="206"/>
        <v>0</v>
      </c>
      <c r="KNN32" s="28">
        <f t="shared" si="206"/>
        <v>0</v>
      </c>
      <c r="KNO32" s="28">
        <f t="shared" si="206"/>
        <v>0</v>
      </c>
      <c r="KNP32" s="28">
        <f t="shared" si="206"/>
        <v>0</v>
      </c>
      <c r="KNQ32" s="28">
        <f t="shared" ref="KNQ32:KQB32" si="207">IFERROR(KNQ31/KNQ$4,0)</f>
        <v>0</v>
      </c>
      <c r="KNR32" s="28">
        <f t="shared" si="207"/>
        <v>0</v>
      </c>
      <c r="KNS32" s="28">
        <f t="shared" si="207"/>
        <v>0</v>
      </c>
      <c r="KNT32" s="28">
        <f t="shared" si="207"/>
        <v>0</v>
      </c>
      <c r="KNU32" s="28">
        <f t="shared" si="207"/>
        <v>0</v>
      </c>
      <c r="KNV32" s="28">
        <f t="shared" si="207"/>
        <v>0</v>
      </c>
      <c r="KNW32" s="28">
        <f t="shared" si="207"/>
        <v>0</v>
      </c>
      <c r="KNX32" s="28">
        <f t="shared" si="207"/>
        <v>0</v>
      </c>
      <c r="KNY32" s="28">
        <f t="shared" si="207"/>
        <v>0</v>
      </c>
      <c r="KNZ32" s="28">
        <f t="shared" si="207"/>
        <v>0</v>
      </c>
      <c r="KOA32" s="28">
        <f t="shared" si="207"/>
        <v>0</v>
      </c>
      <c r="KOB32" s="28">
        <f t="shared" si="207"/>
        <v>0</v>
      </c>
      <c r="KOC32" s="28">
        <f t="shared" si="207"/>
        <v>0</v>
      </c>
      <c r="KOD32" s="28">
        <f t="shared" si="207"/>
        <v>0</v>
      </c>
      <c r="KOE32" s="28">
        <f t="shared" si="207"/>
        <v>0</v>
      </c>
      <c r="KOF32" s="28">
        <f t="shared" si="207"/>
        <v>0</v>
      </c>
      <c r="KOG32" s="28">
        <f t="shared" si="207"/>
        <v>0</v>
      </c>
      <c r="KOH32" s="28">
        <f t="shared" si="207"/>
        <v>0</v>
      </c>
      <c r="KOI32" s="28">
        <f t="shared" si="207"/>
        <v>0</v>
      </c>
      <c r="KOJ32" s="28">
        <f t="shared" si="207"/>
        <v>0</v>
      </c>
      <c r="KOK32" s="28">
        <f t="shared" si="207"/>
        <v>0</v>
      </c>
      <c r="KOL32" s="28">
        <f t="shared" si="207"/>
        <v>0</v>
      </c>
      <c r="KOM32" s="28">
        <f t="shared" si="207"/>
        <v>0</v>
      </c>
      <c r="KON32" s="28">
        <f t="shared" si="207"/>
        <v>0</v>
      </c>
      <c r="KOO32" s="28">
        <f t="shared" si="207"/>
        <v>0</v>
      </c>
      <c r="KOP32" s="28">
        <f t="shared" si="207"/>
        <v>0</v>
      </c>
      <c r="KOQ32" s="28">
        <f t="shared" si="207"/>
        <v>0</v>
      </c>
      <c r="KOR32" s="28">
        <f t="shared" si="207"/>
        <v>0</v>
      </c>
      <c r="KOS32" s="28">
        <f t="shared" si="207"/>
        <v>0</v>
      </c>
      <c r="KOT32" s="28">
        <f t="shared" si="207"/>
        <v>0</v>
      </c>
      <c r="KOU32" s="28">
        <f t="shared" si="207"/>
        <v>0</v>
      </c>
      <c r="KOV32" s="28">
        <f t="shared" si="207"/>
        <v>0</v>
      </c>
      <c r="KOW32" s="28">
        <f t="shared" si="207"/>
        <v>0</v>
      </c>
      <c r="KOX32" s="28">
        <f t="shared" si="207"/>
        <v>0</v>
      </c>
      <c r="KOY32" s="28">
        <f t="shared" si="207"/>
        <v>0</v>
      </c>
      <c r="KOZ32" s="28">
        <f t="shared" si="207"/>
        <v>0</v>
      </c>
      <c r="KPA32" s="28">
        <f t="shared" si="207"/>
        <v>0</v>
      </c>
      <c r="KPB32" s="28">
        <f t="shared" si="207"/>
        <v>0</v>
      </c>
      <c r="KPC32" s="28">
        <f t="shared" si="207"/>
        <v>0</v>
      </c>
      <c r="KPD32" s="28">
        <f t="shared" si="207"/>
        <v>0</v>
      </c>
      <c r="KPE32" s="28">
        <f t="shared" si="207"/>
        <v>0</v>
      </c>
      <c r="KPF32" s="28">
        <f t="shared" si="207"/>
        <v>0</v>
      </c>
      <c r="KPG32" s="28">
        <f t="shared" si="207"/>
        <v>0</v>
      </c>
      <c r="KPH32" s="28">
        <f t="shared" si="207"/>
        <v>0</v>
      </c>
      <c r="KPI32" s="28">
        <f t="shared" si="207"/>
        <v>0</v>
      </c>
      <c r="KPJ32" s="28">
        <f t="shared" si="207"/>
        <v>0</v>
      </c>
      <c r="KPK32" s="28">
        <f t="shared" si="207"/>
        <v>0</v>
      </c>
      <c r="KPL32" s="28">
        <f t="shared" si="207"/>
        <v>0</v>
      </c>
      <c r="KPM32" s="28">
        <f t="shared" si="207"/>
        <v>0</v>
      </c>
      <c r="KPN32" s="28">
        <f t="shared" si="207"/>
        <v>0</v>
      </c>
      <c r="KPO32" s="28">
        <f t="shared" si="207"/>
        <v>0</v>
      </c>
      <c r="KPP32" s="28">
        <f t="shared" si="207"/>
        <v>0</v>
      </c>
      <c r="KPQ32" s="28">
        <f t="shared" si="207"/>
        <v>0</v>
      </c>
      <c r="KPR32" s="28">
        <f t="shared" si="207"/>
        <v>0</v>
      </c>
      <c r="KPS32" s="28">
        <f t="shared" si="207"/>
        <v>0</v>
      </c>
      <c r="KPT32" s="28">
        <f t="shared" si="207"/>
        <v>0</v>
      </c>
      <c r="KPU32" s="28">
        <f t="shared" si="207"/>
        <v>0</v>
      </c>
      <c r="KPV32" s="28">
        <f t="shared" si="207"/>
        <v>0</v>
      </c>
      <c r="KPW32" s="28">
        <f t="shared" si="207"/>
        <v>0</v>
      </c>
      <c r="KPX32" s="28">
        <f t="shared" si="207"/>
        <v>0</v>
      </c>
      <c r="KPY32" s="28">
        <f t="shared" si="207"/>
        <v>0</v>
      </c>
      <c r="KPZ32" s="28">
        <f t="shared" si="207"/>
        <v>0</v>
      </c>
      <c r="KQA32" s="28">
        <f t="shared" si="207"/>
        <v>0</v>
      </c>
      <c r="KQB32" s="28">
        <f t="shared" si="207"/>
        <v>0</v>
      </c>
      <c r="KQC32" s="28">
        <f t="shared" ref="KQC32:KSN32" si="208">IFERROR(KQC31/KQC$4,0)</f>
        <v>0</v>
      </c>
      <c r="KQD32" s="28">
        <f t="shared" si="208"/>
        <v>0</v>
      </c>
      <c r="KQE32" s="28">
        <f t="shared" si="208"/>
        <v>0</v>
      </c>
      <c r="KQF32" s="28">
        <f t="shared" si="208"/>
        <v>0</v>
      </c>
      <c r="KQG32" s="28">
        <f t="shared" si="208"/>
        <v>0</v>
      </c>
      <c r="KQH32" s="28">
        <f t="shared" si="208"/>
        <v>0</v>
      </c>
      <c r="KQI32" s="28">
        <f t="shared" si="208"/>
        <v>0</v>
      </c>
      <c r="KQJ32" s="28">
        <f t="shared" si="208"/>
        <v>0</v>
      </c>
      <c r="KQK32" s="28">
        <f t="shared" si="208"/>
        <v>0</v>
      </c>
      <c r="KQL32" s="28">
        <f t="shared" si="208"/>
        <v>0</v>
      </c>
      <c r="KQM32" s="28">
        <f t="shared" si="208"/>
        <v>0</v>
      </c>
      <c r="KQN32" s="28">
        <f t="shared" si="208"/>
        <v>0</v>
      </c>
      <c r="KQO32" s="28">
        <f t="shared" si="208"/>
        <v>0</v>
      </c>
      <c r="KQP32" s="28">
        <f t="shared" si="208"/>
        <v>0</v>
      </c>
      <c r="KQQ32" s="28">
        <f t="shared" si="208"/>
        <v>0</v>
      </c>
      <c r="KQR32" s="28">
        <f t="shared" si="208"/>
        <v>0</v>
      </c>
      <c r="KQS32" s="28">
        <f t="shared" si="208"/>
        <v>0</v>
      </c>
      <c r="KQT32" s="28">
        <f t="shared" si="208"/>
        <v>0</v>
      </c>
      <c r="KQU32" s="28">
        <f t="shared" si="208"/>
        <v>0</v>
      </c>
      <c r="KQV32" s="28">
        <f t="shared" si="208"/>
        <v>0</v>
      </c>
      <c r="KQW32" s="28">
        <f t="shared" si="208"/>
        <v>0</v>
      </c>
      <c r="KQX32" s="28">
        <f t="shared" si="208"/>
        <v>0</v>
      </c>
      <c r="KQY32" s="28">
        <f t="shared" si="208"/>
        <v>0</v>
      </c>
      <c r="KQZ32" s="28">
        <f t="shared" si="208"/>
        <v>0</v>
      </c>
      <c r="KRA32" s="28">
        <f t="shared" si="208"/>
        <v>0</v>
      </c>
      <c r="KRB32" s="28">
        <f t="shared" si="208"/>
        <v>0</v>
      </c>
      <c r="KRC32" s="28">
        <f t="shared" si="208"/>
        <v>0</v>
      </c>
      <c r="KRD32" s="28">
        <f t="shared" si="208"/>
        <v>0</v>
      </c>
      <c r="KRE32" s="28">
        <f t="shared" si="208"/>
        <v>0</v>
      </c>
      <c r="KRF32" s="28">
        <f t="shared" si="208"/>
        <v>0</v>
      </c>
      <c r="KRG32" s="28">
        <f t="shared" si="208"/>
        <v>0</v>
      </c>
      <c r="KRH32" s="28">
        <f t="shared" si="208"/>
        <v>0</v>
      </c>
      <c r="KRI32" s="28">
        <f t="shared" si="208"/>
        <v>0</v>
      </c>
      <c r="KRJ32" s="28">
        <f t="shared" si="208"/>
        <v>0</v>
      </c>
      <c r="KRK32" s="28">
        <f t="shared" si="208"/>
        <v>0</v>
      </c>
      <c r="KRL32" s="28">
        <f t="shared" si="208"/>
        <v>0</v>
      </c>
      <c r="KRM32" s="28">
        <f t="shared" si="208"/>
        <v>0</v>
      </c>
      <c r="KRN32" s="28">
        <f t="shared" si="208"/>
        <v>0</v>
      </c>
      <c r="KRO32" s="28">
        <f t="shared" si="208"/>
        <v>0</v>
      </c>
      <c r="KRP32" s="28">
        <f t="shared" si="208"/>
        <v>0</v>
      </c>
      <c r="KRQ32" s="28">
        <f t="shared" si="208"/>
        <v>0</v>
      </c>
      <c r="KRR32" s="28">
        <f t="shared" si="208"/>
        <v>0</v>
      </c>
      <c r="KRS32" s="28">
        <f t="shared" si="208"/>
        <v>0</v>
      </c>
      <c r="KRT32" s="28">
        <f t="shared" si="208"/>
        <v>0</v>
      </c>
      <c r="KRU32" s="28">
        <f t="shared" si="208"/>
        <v>0</v>
      </c>
      <c r="KRV32" s="28">
        <f t="shared" si="208"/>
        <v>0</v>
      </c>
      <c r="KRW32" s="28">
        <f t="shared" si="208"/>
        <v>0</v>
      </c>
      <c r="KRX32" s="28">
        <f t="shared" si="208"/>
        <v>0</v>
      </c>
      <c r="KRY32" s="28">
        <f t="shared" si="208"/>
        <v>0</v>
      </c>
      <c r="KRZ32" s="28">
        <f t="shared" si="208"/>
        <v>0</v>
      </c>
      <c r="KSA32" s="28">
        <f t="shared" si="208"/>
        <v>0</v>
      </c>
      <c r="KSB32" s="28">
        <f t="shared" si="208"/>
        <v>0</v>
      </c>
      <c r="KSC32" s="28">
        <f t="shared" si="208"/>
        <v>0</v>
      </c>
      <c r="KSD32" s="28">
        <f t="shared" si="208"/>
        <v>0</v>
      </c>
      <c r="KSE32" s="28">
        <f t="shared" si="208"/>
        <v>0</v>
      </c>
      <c r="KSF32" s="28">
        <f t="shared" si="208"/>
        <v>0</v>
      </c>
      <c r="KSG32" s="28">
        <f t="shared" si="208"/>
        <v>0</v>
      </c>
      <c r="KSH32" s="28">
        <f t="shared" si="208"/>
        <v>0</v>
      </c>
      <c r="KSI32" s="28">
        <f t="shared" si="208"/>
        <v>0</v>
      </c>
      <c r="KSJ32" s="28">
        <f t="shared" si="208"/>
        <v>0</v>
      </c>
      <c r="KSK32" s="28">
        <f t="shared" si="208"/>
        <v>0</v>
      </c>
      <c r="KSL32" s="28">
        <f t="shared" si="208"/>
        <v>0</v>
      </c>
      <c r="KSM32" s="28">
        <f t="shared" si="208"/>
        <v>0</v>
      </c>
      <c r="KSN32" s="28">
        <f t="shared" si="208"/>
        <v>0</v>
      </c>
      <c r="KSO32" s="28">
        <f t="shared" ref="KSO32:KUZ32" si="209">IFERROR(KSO31/KSO$4,0)</f>
        <v>0</v>
      </c>
      <c r="KSP32" s="28">
        <f t="shared" si="209"/>
        <v>0</v>
      </c>
      <c r="KSQ32" s="28">
        <f t="shared" si="209"/>
        <v>0</v>
      </c>
      <c r="KSR32" s="28">
        <f t="shared" si="209"/>
        <v>0</v>
      </c>
      <c r="KSS32" s="28">
        <f t="shared" si="209"/>
        <v>0</v>
      </c>
      <c r="KST32" s="28">
        <f t="shared" si="209"/>
        <v>0</v>
      </c>
      <c r="KSU32" s="28">
        <f t="shared" si="209"/>
        <v>0</v>
      </c>
      <c r="KSV32" s="28">
        <f t="shared" si="209"/>
        <v>0</v>
      </c>
      <c r="KSW32" s="28">
        <f t="shared" si="209"/>
        <v>0</v>
      </c>
      <c r="KSX32" s="28">
        <f t="shared" si="209"/>
        <v>0</v>
      </c>
      <c r="KSY32" s="28">
        <f t="shared" si="209"/>
        <v>0</v>
      </c>
      <c r="KSZ32" s="28">
        <f t="shared" si="209"/>
        <v>0</v>
      </c>
      <c r="KTA32" s="28">
        <f t="shared" si="209"/>
        <v>0</v>
      </c>
      <c r="KTB32" s="28">
        <f t="shared" si="209"/>
        <v>0</v>
      </c>
      <c r="KTC32" s="28">
        <f t="shared" si="209"/>
        <v>0</v>
      </c>
      <c r="KTD32" s="28">
        <f t="shared" si="209"/>
        <v>0</v>
      </c>
      <c r="KTE32" s="28">
        <f t="shared" si="209"/>
        <v>0</v>
      </c>
      <c r="KTF32" s="28">
        <f t="shared" si="209"/>
        <v>0</v>
      </c>
      <c r="KTG32" s="28">
        <f t="shared" si="209"/>
        <v>0</v>
      </c>
      <c r="KTH32" s="28">
        <f t="shared" si="209"/>
        <v>0</v>
      </c>
      <c r="KTI32" s="28">
        <f t="shared" si="209"/>
        <v>0</v>
      </c>
      <c r="KTJ32" s="28">
        <f t="shared" si="209"/>
        <v>0</v>
      </c>
      <c r="KTK32" s="28">
        <f t="shared" si="209"/>
        <v>0</v>
      </c>
      <c r="KTL32" s="28">
        <f t="shared" si="209"/>
        <v>0</v>
      </c>
      <c r="KTM32" s="28">
        <f t="shared" si="209"/>
        <v>0</v>
      </c>
      <c r="KTN32" s="28">
        <f t="shared" si="209"/>
        <v>0</v>
      </c>
      <c r="KTO32" s="28">
        <f t="shared" si="209"/>
        <v>0</v>
      </c>
      <c r="KTP32" s="28">
        <f t="shared" si="209"/>
        <v>0</v>
      </c>
      <c r="KTQ32" s="28">
        <f t="shared" si="209"/>
        <v>0</v>
      </c>
      <c r="KTR32" s="28">
        <f t="shared" si="209"/>
        <v>0</v>
      </c>
      <c r="KTS32" s="28">
        <f t="shared" si="209"/>
        <v>0</v>
      </c>
      <c r="KTT32" s="28">
        <f t="shared" si="209"/>
        <v>0</v>
      </c>
      <c r="KTU32" s="28">
        <f t="shared" si="209"/>
        <v>0</v>
      </c>
      <c r="KTV32" s="28">
        <f t="shared" si="209"/>
        <v>0</v>
      </c>
      <c r="KTW32" s="28">
        <f t="shared" si="209"/>
        <v>0</v>
      </c>
      <c r="KTX32" s="28">
        <f t="shared" si="209"/>
        <v>0</v>
      </c>
      <c r="KTY32" s="28">
        <f t="shared" si="209"/>
        <v>0</v>
      </c>
      <c r="KTZ32" s="28">
        <f t="shared" si="209"/>
        <v>0</v>
      </c>
      <c r="KUA32" s="28">
        <f t="shared" si="209"/>
        <v>0</v>
      </c>
      <c r="KUB32" s="28">
        <f t="shared" si="209"/>
        <v>0</v>
      </c>
      <c r="KUC32" s="28">
        <f t="shared" si="209"/>
        <v>0</v>
      </c>
      <c r="KUD32" s="28">
        <f t="shared" si="209"/>
        <v>0</v>
      </c>
      <c r="KUE32" s="28">
        <f t="shared" si="209"/>
        <v>0</v>
      </c>
      <c r="KUF32" s="28">
        <f t="shared" si="209"/>
        <v>0</v>
      </c>
      <c r="KUG32" s="28">
        <f t="shared" si="209"/>
        <v>0</v>
      </c>
      <c r="KUH32" s="28">
        <f t="shared" si="209"/>
        <v>0</v>
      </c>
      <c r="KUI32" s="28">
        <f t="shared" si="209"/>
        <v>0</v>
      </c>
      <c r="KUJ32" s="28">
        <f t="shared" si="209"/>
        <v>0</v>
      </c>
      <c r="KUK32" s="28">
        <f t="shared" si="209"/>
        <v>0</v>
      </c>
      <c r="KUL32" s="28">
        <f t="shared" si="209"/>
        <v>0</v>
      </c>
      <c r="KUM32" s="28">
        <f t="shared" si="209"/>
        <v>0</v>
      </c>
      <c r="KUN32" s="28">
        <f t="shared" si="209"/>
        <v>0</v>
      </c>
      <c r="KUO32" s="28">
        <f t="shared" si="209"/>
        <v>0</v>
      </c>
      <c r="KUP32" s="28">
        <f t="shared" si="209"/>
        <v>0</v>
      </c>
      <c r="KUQ32" s="28">
        <f t="shared" si="209"/>
        <v>0</v>
      </c>
      <c r="KUR32" s="28">
        <f t="shared" si="209"/>
        <v>0</v>
      </c>
      <c r="KUS32" s="28">
        <f t="shared" si="209"/>
        <v>0</v>
      </c>
      <c r="KUT32" s="28">
        <f t="shared" si="209"/>
        <v>0</v>
      </c>
      <c r="KUU32" s="28">
        <f t="shared" si="209"/>
        <v>0</v>
      </c>
      <c r="KUV32" s="28">
        <f t="shared" si="209"/>
        <v>0</v>
      </c>
      <c r="KUW32" s="28">
        <f t="shared" si="209"/>
        <v>0</v>
      </c>
      <c r="KUX32" s="28">
        <f t="shared" si="209"/>
        <v>0</v>
      </c>
      <c r="KUY32" s="28">
        <f t="shared" si="209"/>
        <v>0</v>
      </c>
      <c r="KUZ32" s="28">
        <f t="shared" si="209"/>
        <v>0</v>
      </c>
      <c r="KVA32" s="28">
        <f t="shared" ref="KVA32:KXL32" si="210">IFERROR(KVA31/KVA$4,0)</f>
        <v>0</v>
      </c>
      <c r="KVB32" s="28">
        <f t="shared" si="210"/>
        <v>0</v>
      </c>
      <c r="KVC32" s="28">
        <f t="shared" si="210"/>
        <v>0</v>
      </c>
      <c r="KVD32" s="28">
        <f t="shared" si="210"/>
        <v>0</v>
      </c>
      <c r="KVE32" s="28">
        <f t="shared" si="210"/>
        <v>0</v>
      </c>
      <c r="KVF32" s="28">
        <f t="shared" si="210"/>
        <v>0</v>
      </c>
      <c r="KVG32" s="28">
        <f t="shared" si="210"/>
        <v>0</v>
      </c>
      <c r="KVH32" s="28">
        <f t="shared" si="210"/>
        <v>0</v>
      </c>
      <c r="KVI32" s="28">
        <f t="shared" si="210"/>
        <v>0</v>
      </c>
      <c r="KVJ32" s="28">
        <f t="shared" si="210"/>
        <v>0</v>
      </c>
      <c r="KVK32" s="28">
        <f t="shared" si="210"/>
        <v>0</v>
      </c>
      <c r="KVL32" s="28">
        <f t="shared" si="210"/>
        <v>0</v>
      </c>
      <c r="KVM32" s="28">
        <f t="shared" si="210"/>
        <v>0</v>
      </c>
      <c r="KVN32" s="28">
        <f t="shared" si="210"/>
        <v>0</v>
      </c>
      <c r="KVO32" s="28">
        <f t="shared" si="210"/>
        <v>0</v>
      </c>
      <c r="KVP32" s="28">
        <f t="shared" si="210"/>
        <v>0</v>
      </c>
      <c r="KVQ32" s="28">
        <f t="shared" si="210"/>
        <v>0</v>
      </c>
      <c r="KVR32" s="28">
        <f t="shared" si="210"/>
        <v>0</v>
      </c>
      <c r="KVS32" s="28">
        <f t="shared" si="210"/>
        <v>0</v>
      </c>
      <c r="KVT32" s="28">
        <f t="shared" si="210"/>
        <v>0</v>
      </c>
      <c r="KVU32" s="28">
        <f t="shared" si="210"/>
        <v>0</v>
      </c>
      <c r="KVV32" s="28">
        <f t="shared" si="210"/>
        <v>0</v>
      </c>
      <c r="KVW32" s="28">
        <f t="shared" si="210"/>
        <v>0</v>
      </c>
      <c r="KVX32" s="28">
        <f t="shared" si="210"/>
        <v>0</v>
      </c>
      <c r="KVY32" s="28">
        <f t="shared" si="210"/>
        <v>0</v>
      </c>
      <c r="KVZ32" s="28">
        <f t="shared" si="210"/>
        <v>0</v>
      </c>
      <c r="KWA32" s="28">
        <f t="shared" si="210"/>
        <v>0</v>
      </c>
      <c r="KWB32" s="28">
        <f t="shared" si="210"/>
        <v>0</v>
      </c>
      <c r="KWC32" s="28">
        <f t="shared" si="210"/>
        <v>0</v>
      </c>
      <c r="KWD32" s="28">
        <f t="shared" si="210"/>
        <v>0</v>
      </c>
      <c r="KWE32" s="28">
        <f t="shared" si="210"/>
        <v>0</v>
      </c>
      <c r="KWF32" s="28">
        <f t="shared" si="210"/>
        <v>0</v>
      </c>
      <c r="KWG32" s="28">
        <f t="shared" si="210"/>
        <v>0</v>
      </c>
      <c r="KWH32" s="28">
        <f t="shared" si="210"/>
        <v>0</v>
      </c>
      <c r="KWI32" s="28">
        <f t="shared" si="210"/>
        <v>0</v>
      </c>
      <c r="KWJ32" s="28">
        <f t="shared" si="210"/>
        <v>0</v>
      </c>
      <c r="KWK32" s="28">
        <f t="shared" si="210"/>
        <v>0</v>
      </c>
      <c r="KWL32" s="28">
        <f t="shared" si="210"/>
        <v>0</v>
      </c>
      <c r="KWM32" s="28">
        <f t="shared" si="210"/>
        <v>0</v>
      </c>
      <c r="KWN32" s="28">
        <f t="shared" si="210"/>
        <v>0</v>
      </c>
      <c r="KWO32" s="28">
        <f t="shared" si="210"/>
        <v>0</v>
      </c>
      <c r="KWP32" s="28">
        <f t="shared" si="210"/>
        <v>0</v>
      </c>
      <c r="KWQ32" s="28">
        <f t="shared" si="210"/>
        <v>0</v>
      </c>
      <c r="KWR32" s="28">
        <f t="shared" si="210"/>
        <v>0</v>
      </c>
      <c r="KWS32" s="28">
        <f t="shared" si="210"/>
        <v>0</v>
      </c>
      <c r="KWT32" s="28">
        <f t="shared" si="210"/>
        <v>0</v>
      </c>
      <c r="KWU32" s="28">
        <f t="shared" si="210"/>
        <v>0</v>
      </c>
      <c r="KWV32" s="28">
        <f t="shared" si="210"/>
        <v>0</v>
      </c>
      <c r="KWW32" s="28">
        <f t="shared" si="210"/>
        <v>0</v>
      </c>
      <c r="KWX32" s="28">
        <f t="shared" si="210"/>
        <v>0</v>
      </c>
      <c r="KWY32" s="28">
        <f t="shared" si="210"/>
        <v>0</v>
      </c>
      <c r="KWZ32" s="28">
        <f t="shared" si="210"/>
        <v>0</v>
      </c>
      <c r="KXA32" s="28">
        <f t="shared" si="210"/>
        <v>0</v>
      </c>
      <c r="KXB32" s="28">
        <f t="shared" si="210"/>
        <v>0</v>
      </c>
      <c r="KXC32" s="28">
        <f t="shared" si="210"/>
        <v>0</v>
      </c>
      <c r="KXD32" s="28">
        <f t="shared" si="210"/>
        <v>0</v>
      </c>
      <c r="KXE32" s="28">
        <f t="shared" si="210"/>
        <v>0</v>
      </c>
      <c r="KXF32" s="28">
        <f t="shared" si="210"/>
        <v>0</v>
      </c>
      <c r="KXG32" s="28">
        <f t="shared" si="210"/>
        <v>0</v>
      </c>
      <c r="KXH32" s="28">
        <f t="shared" si="210"/>
        <v>0</v>
      </c>
      <c r="KXI32" s="28">
        <f t="shared" si="210"/>
        <v>0</v>
      </c>
      <c r="KXJ32" s="28">
        <f t="shared" si="210"/>
        <v>0</v>
      </c>
      <c r="KXK32" s="28">
        <f t="shared" si="210"/>
        <v>0</v>
      </c>
      <c r="KXL32" s="28">
        <f t="shared" si="210"/>
        <v>0</v>
      </c>
      <c r="KXM32" s="28">
        <f t="shared" ref="KXM32:KZX32" si="211">IFERROR(KXM31/KXM$4,0)</f>
        <v>0</v>
      </c>
      <c r="KXN32" s="28">
        <f t="shared" si="211"/>
        <v>0</v>
      </c>
      <c r="KXO32" s="28">
        <f t="shared" si="211"/>
        <v>0</v>
      </c>
      <c r="KXP32" s="28">
        <f t="shared" si="211"/>
        <v>0</v>
      </c>
      <c r="KXQ32" s="28">
        <f t="shared" si="211"/>
        <v>0</v>
      </c>
      <c r="KXR32" s="28">
        <f t="shared" si="211"/>
        <v>0</v>
      </c>
      <c r="KXS32" s="28">
        <f t="shared" si="211"/>
        <v>0</v>
      </c>
      <c r="KXT32" s="28">
        <f t="shared" si="211"/>
        <v>0</v>
      </c>
      <c r="KXU32" s="28">
        <f t="shared" si="211"/>
        <v>0</v>
      </c>
      <c r="KXV32" s="28">
        <f t="shared" si="211"/>
        <v>0</v>
      </c>
      <c r="KXW32" s="28">
        <f t="shared" si="211"/>
        <v>0</v>
      </c>
      <c r="KXX32" s="28">
        <f t="shared" si="211"/>
        <v>0</v>
      </c>
      <c r="KXY32" s="28">
        <f t="shared" si="211"/>
        <v>0</v>
      </c>
      <c r="KXZ32" s="28">
        <f t="shared" si="211"/>
        <v>0</v>
      </c>
      <c r="KYA32" s="28">
        <f t="shared" si="211"/>
        <v>0</v>
      </c>
      <c r="KYB32" s="28">
        <f t="shared" si="211"/>
        <v>0</v>
      </c>
      <c r="KYC32" s="28">
        <f t="shared" si="211"/>
        <v>0</v>
      </c>
      <c r="KYD32" s="28">
        <f t="shared" si="211"/>
        <v>0</v>
      </c>
      <c r="KYE32" s="28">
        <f t="shared" si="211"/>
        <v>0</v>
      </c>
      <c r="KYF32" s="28">
        <f t="shared" si="211"/>
        <v>0</v>
      </c>
      <c r="KYG32" s="28">
        <f t="shared" si="211"/>
        <v>0</v>
      </c>
      <c r="KYH32" s="28">
        <f t="shared" si="211"/>
        <v>0</v>
      </c>
      <c r="KYI32" s="28">
        <f t="shared" si="211"/>
        <v>0</v>
      </c>
      <c r="KYJ32" s="28">
        <f t="shared" si="211"/>
        <v>0</v>
      </c>
      <c r="KYK32" s="28">
        <f t="shared" si="211"/>
        <v>0</v>
      </c>
      <c r="KYL32" s="28">
        <f t="shared" si="211"/>
        <v>0</v>
      </c>
      <c r="KYM32" s="28">
        <f t="shared" si="211"/>
        <v>0</v>
      </c>
      <c r="KYN32" s="28">
        <f t="shared" si="211"/>
        <v>0</v>
      </c>
      <c r="KYO32" s="28">
        <f t="shared" si="211"/>
        <v>0</v>
      </c>
      <c r="KYP32" s="28">
        <f t="shared" si="211"/>
        <v>0</v>
      </c>
      <c r="KYQ32" s="28">
        <f t="shared" si="211"/>
        <v>0</v>
      </c>
      <c r="KYR32" s="28">
        <f t="shared" si="211"/>
        <v>0</v>
      </c>
      <c r="KYS32" s="28">
        <f t="shared" si="211"/>
        <v>0</v>
      </c>
      <c r="KYT32" s="28">
        <f t="shared" si="211"/>
        <v>0</v>
      </c>
      <c r="KYU32" s="28">
        <f t="shared" si="211"/>
        <v>0</v>
      </c>
      <c r="KYV32" s="28">
        <f t="shared" si="211"/>
        <v>0</v>
      </c>
      <c r="KYW32" s="28">
        <f t="shared" si="211"/>
        <v>0</v>
      </c>
      <c r="KYX32" s="28">
        <f t="shared" si="211"/>
        <v>0</v>
      </c>
      <c r="KYY32" s="28">
        <f t="shared" si="211"/>
        <v>0</v>
      </c>
      <c r="KYZ32" s="28">
        <f t="shared" si="211"/>
        <v>0</v>
      </c>
      <c r="KZA32" s="28">
        <f t="shared" si="211"/>
        <v>0</v>
      </c>
      <c r="KZB32" s="28">
        <f t="shared" si="211"/>
        <v>0</v>
      </c>
      <c r="KZC32" s="28">
        <f t="shared" si="211"/>
        <v>0</v>
      </c>
      <c r="KZD32" s="28">
        <f t="shared" si="211"/>
        <v>0</v>
      </c>
      <c r="KZE32" s="28">
        <f t="shared" si="211"/>
        <v>0</v>
      </c>
      <c r="KZF32" s="28">
        <f t="shared" si="211"/>
        <v>0</v>
      </c>
      <c r="KZG32" s="28">
        <f t="shared" si="211"/>
        <v>0</v>
      </c>
      <c r="KZH32" s="28">
        <f t="shared" si="211"/>
        <v>0</v>
      </c>
      <c r="KZI32" s="28">
        <f t="shared" si="211"/>
        <v>0</v>
      </c>
      <c r="KZJ32" s="28">
        <f t="shared" si="211"/>
        <v>0</v>
      </c>
      <c r="KZK32" s="28">
        <f t="shared" si="211"/>
        <v>0</v>
      </c>
      <c r="KZL32" s="28">
        <f t="shared" si="211"/>
        <v>0</v>
      </c>
      <c r="KZM32" s="28">
        <f t="shared" si="211"/>
        <v>0</v>
      </c>
      <c r="KZN32" s="28">
        <f t="shared" si="211"/>
        <v>0</v>
      </c>
      <c r="KZO32" s="28">
        <f t="shared" si="211"/>
        <v>0</v>
      </c>
      <c r="KZP32" s="28">
        <f t="shared" si="211"/>
        <v>0</v>
      </c>
      <c r="KZQ32" s="28">
        <f t="shared" si="211"/>
        <v>0</v>
      </c>
      <c r="KZR32" s="28">
        <f t="shared" si="211"/>
        <v>0</v>
      </c>
      <c r="KZS32" s="28">
        <f t="shared" si="211"/>
        <v>0</v>
      </c>
      <c r="KZT32" s="28">
        <f t="shared" si="211"/>
        <v>0</v>
      </c>
      <c r="KZU32" s="28">
        <f t="shared" si="211"/>
        <v>0</v>
      </c>
      <c r="KZV32" s="28">
        <f t="shared" si="211"/>
        <v>0</v>
      </c>
      <c r="KZW32" s="28">
        <f t="shared" si="211"/>
        <v>0</v>
      </c>
      <c r="KZX32" s="28">
        <f t="shared" si="211"/>
        <v>0</v>
      </c>
      <c r="KZY32" s="28">
        <f t="shared" ref="KZY32:LCJ32" si="212">IFERROR(KZY31/KZY$4,0)</f>
        <v>0</v>
      </c>
      <c r="KZZ32" s="28">
        <f t="shared" si="212"/>
        <v>0</v>
      </c>
      <c r="LAA32" s="28">
        <f t="shared" si="212"/>
        <v>0</v>
      </c>
      <c r="LAB32" s="28">
        <f t="shared" si="212"/>
        <v>0</v>
      </c>
      <c r="LAC32" s="28">
        <f t="shared" si="212"/>
        <v>0</v>
      </c>
      <c r="LAD32" s="28">
        <f t="shared" si="212"/>
        <v>0</v>
      </c>
      <c r="LAE32" s="28">
        <f t="shared" si="212"/>
        <v>0</v>
      </c>
      <c r="LAF32" s="28">
        <f t="shared" si="212"/>
        <v>0</v>
      </c>
      <c r="LAG32" s="28">
        <f t="shared" si="212"/>
        <v>0</v>
      </c>
      <c r="LAH32" s="28">
        <f t="shared" si="212"/>
        <v>0</v>
      </c>
      <c r="LAI32" s="28">
        <f t="shared" si="212"/>
        <v>0</v>
      </c>
      <c r="LAJ32" s="28">
        <f t="shared" si="212"/>
        <v>0</v>
      </c>
      <c r="LAK32" s="28">
        <f t="shared" si="212"/>
        <v>0</v>
      </c>
      <c r="LAL32" s="28">
        <f t="shared" si="212"/>
        <v>0</v>
      </c>
      <c r="LAM32" s="28">
        <f t="shared" si="212"/>
        <v>0</v>
      </c>
      <c r="LAN32" s="28">
        <f t="shared" si="212"/>
        <v>0</v>
      </c>
      <c r="LAO32" s="28">
        <f t="shared" si="212"/>
        <v>0</v>
      </c>
      <c r="LAP32" s="28">
        <f t="shared" si="212"/>
        <v>0</v>
      </c>
      <c r="LAQ32" s="28">
        <f t="shared" si="212"/>
        <v>0</v>
      </c>
      <c r="LAR32" s="28">
        <f t="shared" si="212"/>
        <v>0</v>
      </c>
      <c r="LAS32" s="28">
        <f t="shared" si="212"/>
        <v>0</v>
      </c>
      <c r="LAT32" s="28">
        <f t="shared" si="212"/>
        <v>0</v>
      </c>
      <c r="LAU32" s="28">
        <f t="shared" si="212"/>
        <v>0</v>
      </c>
      <c r="LAV32" s="28">
        <f t="shared" si="212"/>
        <v>0</v>
      </c>
      <c r="LAW32" s="28">
        <f t="shared" si="212"/>
        <v>0</v>
      </c>
      <c r="LAX32" s="28">
        <f t="shared" si="212"/>
        <v>0</v>
      </c>
      <c r="LAY32" s="28">
        <f t="shared" si="212"/>
        <v>0</v>
      </c>
      <c r="LAZ32" s="28">
        <f t="shared" si="212"/>
        <v>0</v>
      </c>
      <c r="LBA32" s="28">
        <f t="shared" si="212"/>
        <v>0</v>
      </c>
      <c r="LBB32" s="28">
        <f t="shared" si="212"/>
        <v>0</v>
      </c>
      <c r="LBC32" s="28">
        <f t="shared" si="212"/>
        <v>0</v>
      </c>
      <c r="LBD32" s="28">
        <f t="shared" si="212"/>
        <v>0</v>
      </c>
      <c r="LBE32" s="28">
        <f t="shared" si="212"/>
        <v>0</v>
      </c>
      <c r="LBF32" s="28">
        <f t="shared" si="212"/>
        <v>0</v>
      </c>
      <c r="LBG32" s="28">
        <f t="shared" si="212"/>
        <v>0</v>
      </c>
      <c r="LBH32" s="28">
        <f t="shared" si="212"/>
        <v>0</v>
      </c>
      <c r="LBI32" s="28">
        <f t="shared" si="212"/>
        <v>0</v>
      </c>
      <c r="LBJ32" s="28">
        <f t="shared" si="212"/>
        <v>0</v>
      </c>
      <c r="LBK32" s="28">
        <f t="shared" si="212"/>
        <v>0</v>
      </c>
      <c r="LBL32" s="28">
        <f t="shared" si="212"/>
        <v>0</v>
      </c>
      <c r="LBM32" s="28">
        <f t="shared" si="212"/>
        <v>0</v>
      </c>
      <c r="LBN32" s="28">
        <f t="shared" si="212"/>
        <v>0</v>
      </c>
      <c r="LBO32" s="28">
        <f t="shared" si="212"/>
        <v>0</v>
      </c>
      <c r="LBP32" s="28">
        <f t="shared" si="212"/>
        <v>0</v>
      </c>
      <c r="LBQ32" s="28">
        <f t="shared" si="212"/>
        <v>0</v>
      </c>
      <c r="LBR32" s="28">
        <f t="shared" si="212"/>
        <v>0</v>
      </c>
      <c r="LBS32" s="28">
        <f t="shared" si="212"/>
        <v>0</v>
      </c>
      <c r="LBT32" s="28">
        <f t="shared" si="212"/>
        <v>0</v>
      </c>
      <c r="LBU32" s="28">
        <f t="shared" si="212"/>
        <v>0</v>
      </c>
      <c r="LBV32" s="28">
        <f t="shared" si="212"/>
        <v>0</v>
      </c>
      <c r="LBW32" s="28">
        <f t="shared" si="212"/>
        <v>0</v>
      </c>
      <c r="LBX32" s="28">
        <f t="shared" si="212"/>
        <v>0</v>
      </c>
      <c r="LBY32" s="28">
        <f t="shared" si="212"/>
        <v>0</v>
      </c>
      <c r="LBZ32" s="28">
        <f t="shared" si="212"/>
        <v>0</v>
      </c>
      <c r="LCA32" s="28">
        <f t="shared" si="212"/>
        <v>0</v>
      </c>
      <c r="LCB32" s="28">
        <f t="shared" si="212"/>
        <v>0</v>
      </c>
      <c r="LCC32" s="28">
        <f t="shared" si="212"/>
        <v>0</v>
      </c>
      <c r="LCD32" s="28">
        <f t="shared" si="212"/>
        <v>0</v>
      </c>
      <c r="LCE32" s="28">
        <f t="shared" si="212"/>
        <v>0</v>
      </c>
      <c r="LCF32" s="28">
        <f t="shared" si="212"/>
        <v>0</v>
      </c>
      <c r="LCG32" s="28">
        <f t="shared" si="212"/>
        <v>0</v>
      </c>
      <c r="LCH32" s="28">
        <f t="shared" si="212"/>
        <v>0</v>
      </c>
      <c r="LCI32" s="28">
        <f t="shared" si="212"/>
        <v>0</v>
      </c>
      <c r="LCJ32" s="28">
        <f t="shared" si="212"/>
        <v>0</v>
      </c>
      <c r="LCK32" s="28">
        <f t="shared" ref="LCK32:LEV32" si="213">IFERROR(LCK31/LCK$4,0)</f>
        <v>0</v>
      </c>
      <c r="LCL32" s="28">
        <f t="shared" si="213"/>
        <v>0</v>
      </c>
      <c r="LCM32" s="28">
        <f t="shared" si="213"/>
        <v>0</v>
      </c>
      <c r="LCN32" s="28">
        <f t="shared" si="213"/>
        <v>0</v>
      </c>
      <c r="LCO32" s="28">
        <f t="shared" si="213"/>
        <v>0</v>
      </c>
      <c r="LCP32" s="28">
        <f t="shared" si="213"/>
        <v>0</v>
      </c>
      <c r="LCQ32" s="28">
        <f t="shared" si="213"/>
        <v>0</v>
      </c>
      <c r="LCR32" s="28">
        <f t="shared" si="213"/>
        <v>0</v>
      </c>
      <c r="LCS32" s="28">
        <f t="shared" si="213"/>
        <v>0</v>
      </c>
      <c r="LCT32" s="28">
        <f t="shared" si="213"/>
        <v>0</v>
      </c>
      <c r="LCU32" s="28">
        <f t="shared" si="213"/>
        <v>0</v>
      </c>
      <c r="LCV32" s="28">
        <f t="shared" si="213"/>
        <v>0</v>
      </c>
      <c r="LCW32" s="28">
        <f t="shared" si="213"/>
        <v>0</v>
      </c>
      <c r="LCX32" s="28">
        <f t="shared" si="213"/>
        <v>0</v>
      </c>
      <c r="LCY32" s="28">
        <f t="shared" si="213"/>
        <v>0</v>
      </c>
      <c r="LCZ32" s="28">
        <f t="shared" si="213"/>
        <v>0</v>
      </c>
      <c r="LDA32" s="28">
        <f t="shared" si="213"/>
        <v>0</v>
      </c>
      <c r="LDB32" s="28">
        <f t="shared" si="213"/>
        <v>0</v>
      </c>
      <c r="LDC32" s="28">
        <f t="shared" si="213"/>
        <v>0</v>
      </c>
      <c r="LDD32" s="28">
        <f t="shared" si="213"/>
        <v>0</v>
      </c>
      <c r="LDE32" s="28">
        <f t="shared" si="213"/>
        <v>0</v>
      </c>
      <c r="LDF32" s="28">
        <f t="shared" si="213"/>
        <v>0</v>
      </c>
      <c r="LDG32" s="28">
        <f t="shared" si="213"/>
        <v>0</v>
      </c>
      <c r="LDH32" s="28">
        <f t="shared" si="213"/>
        <v>0</v>
      </c>
      <c r="LDI32" s="28">
        <f t="shared" si="213"/>
        <v>0</v>
      </c>
      <c r="LDJ32" s="28">
        <f t="shared" si="213"/>
        <v>0</v>
      </c>
      <c r="LDK32" s="28">
        <f t="shared" si="213"/>
        <v>0</v>
      </c>
      <c r="LDL32" s="28">
        <f t="shared" si="213"/>
        <v>0</v>
      </c>
      <c r="LDM32" s="28">
        <f t="shared" si="213"/>
        <v>0</v>
      </c>
      <c r="LDN32" s="28">
        <f t="shared" si="213"/>
        <v>0</v>
      </c>
      <c r="LDO32" s="28">
        <f t="shared" si="213"/>
        <v>0</v>
      </c>
      <c r="LDP32" s="28">
        <f t="shared" si="213"/>
        <v>0</v>
      </c>
      <c r="LDQ32" s="28">
        <f t="shared" si="213"/>
        <v>0</v>
      </c>
      <c r="LDR32" s="28">
        <f t="shared" si="213"/>
        <v>0</v>
      </c>
      <c r="LDS32" s="28">
        <f t="shared" si="213"/>
        <v>0</v>
      </c>
      <c r="LDT32" s="28">
        <f t="shared" si="213"/>
        <v>0</v>
      </c>
      <c r="LDU32" s="28">
        <f t="shared" si="213"/>
        <v>0</v>
      </c>
      <c r="LDV32" s="28">
        <f t="shared" si="213"/>
        <v>0</v>
      </c>
      <c r="LDW32" s="28">
        <f t="shared" si="213"/>
        <v>0</v>
      </c>
      <c r="LDX32" s="28">
        <f t="shared" si="213"/>
        <v>0</v>
      </c>
      <c r="LDY32" s="28">
        <f t="shared" si="213"/>
        <v>0</v>
      </c>
      <c r="LDZ32" s="28">
        <f t="shared" si="213"/>
        <v>0</v>
      </c>
      <c r="LEA32" s="28">
        <f t="shared" si="213"/>
        <v>0</v>
      </c>
      <c r="LEB32" s="28">
        <f t="shared" si="213"/>
        <v>0</v>
      </c>
      <c r="LEC32" s="28">
        <f t="shared" si="213"/>
        <v>0</v>
      </c>
      <c r="LED32" s="28">
        <f t="shared" si="213"/>
        <v>0</v>
      </c>
      <c r="LEE32" s="28">
        <f t="shared" si="213"/>
        <v>0</v>
      </c>
      <c r="LEF32" s="28">
        <f t="shared" si="213"/>
        <v>0</v>
      </c>
      <c r="LEG32" s="28">
        <f t="shared" si="213"/>
        <v>0</v>
      </c>
      <c r="LEH32" s="28">
        <f t="shared" si="213"/>
        <v>0</v>
      </c>
      <c r="LEI32" s="28">
        <f t="shared" si="213"/>
        <v>0</v>
      </c>
      <c r="LEJ32" s="28">
        <f t="shared" si="213"/>
        <v>0</v>
      </c>
      <c r="LEK32" s="28">
        <f t="shared" si="213"/>
        <v>0</v>
      </c>
      <c r="LEL32" s="28">
        <f t="shared" si="213"/>
        <v>0</v>
      </c>
      <c r="LEM32" s="28">
        <f t="shared" si="213"/>
        <v>0</v>
      </c>
      <c r="LEN32" s="28">
        <f t="shared" si="213"/>
        <v>0</v>
      </c>
      <c r="LEO32" s="28">
        <f t="shared" si="213"/>
        <v>0</v>
      </c>
      <c r="LEP32" s="28">
        <f t="shared" si="213"/>
        <v>0</v>
      </c>
      <c r="LEQ32" s="28">
        <f t="shared" si="213"/>
        <v>0</v>
      </c>
      <c r="LER32" s="28">
        <f t="shared" si="213"/>
        <v>0</v>
      </c>
      <c r="LES32" s="28">
        <f t="shared" si="213"/>
        <v>0</v>
      </c>
      <c r="LET32" s="28">
        <f t="shared" si="213"/>
        <v>0</v>
      </c>
      <c r="LEU32" s="28">
        <f t="shared" si="213"/>
        <v>0</v>
      </c>
      <c r="LEV32" s="28">
        <f t="shared" si="213"/>
        <v>0</v>
      </c>
      <c r="LEW32" s="28">
        <f t="shared" ref="LEW32:LHH32" si="214">IFERROR(LEW31/LEW$4,0)</f>
        <v>0</v>
      </c>
      <c r="LEX32" s="28">
        <f t="shared" si="214"/>
        <v>0</v>
      </c>
      <c r="LEY32" s="28">
        <f t="shared" si="214"/>
        <v>0</v>
      </c>
      <c r="LEZ32" s="28">
        <f t="shared" si="214"/>
        <v>0</v>
      </c>
      <c r="LFA32" s="28">
        <f t="shared" si="214"/>
        <v>0</v>
      </c>
      <c r="LFB32" s="28">
        <f t="shared" si="214"/>
        <v>0</v>
      </c>
      <c r="LFC32" s="28">
        <f t="shared" si="214"/>
        <v>0</v>
      </c>
      <c r="LFD32" s="28">
        <f t="shared" si="214"/>
        <v>0</v>
      </c>
      <c r="LFE32" s="28">
        <f t="shared" si="214"/>
        <v>0</v>
      </c>
      <c r="LFF32" s="28">
        <f t="shared" si="214"/>
        <v>0</v>
      </c>
      <c r="LFG32" s="28">
        <f t="shared" si="214"/>
        <v>0</v>
      </c>
      <c r="LFH32" s="28">
        <f t="shared" si="214"/>
        <v>0</v>
      </c>
      <c r="LFI32" s="28">
        <f t="shared" si="214"/>
        <v>0</v>
      </c>
      <c r="LFJ32" s="28">
        <f t="shared" si="214"/>
        <v>0</v>
      </c>
      <c r="LFK32" s="28">
        <f t="shared" si="214"/>
        <v>0</v>
      </c>
      <c r="LFL32" s="28">
        <f t="shared" si="214"/>
        <v>0</v>
      </c>
      <c r="LFM32" s="28">
        <f t="shared" si="214"/>
        <v>0</v>
      </c>
      <c r="LFN32" s="28">
        <f t="shared" si="214"/>
        <v>0</v>
      </c>
      <c r="LFO32" s="28">
        <f t="shared" si="214"/>
        <v>0</v>
      </c>
      <c r="LFP32" s="28">
        <f t="shared" si="214"/>
        <v>0</v>
      </c>
      <c r="LFQ32" s="28">
        <f t="shared" si="214"/>
        <v>0</v>
      </c>
      <c r="LFR32" s="28">
        <f t="shared" si="214"/>
        <v>0</v>
      </c>
      <c r="LFS32" s="28">
        <f t="shared" si="214"/>
        <v>0</v>
      </c>
      <c r="LFT32" s="28">
        <f t="shared" si="214"/>
        <v>0</v>
      </c>
      <c r="LFU32" s="28">
        <f t="shared" si="214"/>
        <v>0</v>
      </c>
      <c r="LFV32" s="28">
        <f t="shared" si="214"/>
        <v>0</v>
      </c>
      <c r="LFW32" s="28">
        <f t="shared" si="214"/>
        <v>0</v>
      </c>
      <c r="LFX32" s="28">
        <f t="shared" si="214"/>
        <v>0</v>
      </c>
      <c r="LFY32" s="28">
        <f t="shared" si="214"/>
        <v>0</v>
      </c>
      <c r="LFZ32" s="28">
        <f t="shared" si="214"/>
        <v>0</v>
      </c>
      <c r="LGA32" s="28">
        <f t="shared" si="214"/>
        <v>0</v>
      </c>
      <c r="LGB32" s="28">
        <f t="shared" si="214"/>
        <v>0</v>
      </c>
      <c r="LGC32" s="28">
        <f t="shared" si="214"/>
        <v>0</v>
      </c>
      <c r="LGD32" s="28">
        <f t="shared" si="214"/>
        <v>0</v>
      </c>
      <c r="LGE32" s="28">
        <f t="shared" si="214"/>
        <v>0</v>
      </c>
      <c r="LGF32" s="28">
        <f t="shared" si="214"/>
        <v>0</v>
      </c>
      <c r="LGG32" s="28">
        <f t="shared" si="214"/>
        <v>0</v>
      </c>
      <c r="LGH32" s="28">
        <f t="shared" si="214"/>
        <v>0</v>
      </c>
      <c r="LGI32" s="28">
        <f t="shared" si="214"/>
        <v>0</v>
      </c>
      <c r="LGJ32" s="28">
        <f t="shared" si="214"/>
        <v>0</v>
      </c>
      <c r="LGK32" s="28">
        <f t="shared" si="214"/>
        <v>0</v>
      </c>
      <c r="LGL32" s="28">
        <f t="shared" si="214"/>
        <v>0</v>
      </c>
      <c r="LGM32" s="28">
        <f t="shared" si="214"/>
        <v>0</v>
      </c>
      <c r="LGN32" s="28">
        <f t="shared" si="214"/>
        <v>0</v>
      </c>
      <c r="LGO32" s="28">
        <f t="shared" si="214"/>
        <v>0</v>
      </c>
      <c r="LGP32" s="28">
        <f t="shared" si="214"/>
        <v>0</v>
      </c>
      <c r="LGQ32" s="28">
        <f t="shared" si="214"/>
        <v>0</v>
      </c>
      <c r="LGR32" s="28">
        <f t="shared" si="214"/>
        <v>0</v>
      </c>
      <c r="LGS32" s="28">
        <f t="shared" si="214"/>
        <v>0</v>
      </c>
      <c r="LGT32" s="28">
        <f t="shared" si="214"/>
        <v>0</v>
      </c>
      <c r="LGU32" s="28">
        <f t="shared" si="214"/>
        <v>0</v>
      </c>
      <c r="LGV32" s="28">
        <f t="shared" si="214"/>
        <v>0</v>
      </c>
      <c r="LGW32" s="28">
        <f t="shared" si="214"/>
        <v>0</v>
      </c>
      <c r="LGX32" s="28">
        <f t="shared" si="214"/>
        <v>0</v>
      </c>
      <c r="LGY32" s="28">
        <f t="shared" si="214"/>
        <v>0</v>
      </c>
      <c r="LGZ32" s="28">
        <f t="shared" si="214"/>
        <v>0</v>
      </c>
      <c r="LHA32" s="28">
        <f t="shared" si="214"/>
        <v>0</v>
      </c>
      <c r="LHB32" s="28">
        <f t="shared" si="214"/>
        <v>0</v>
      </c>
      <c r="LHC32" s="28">
        <f t="shared" si="214"/>
        <v>0</v>
      </c>
      <c r="LHD32" s="28">
        <f t="shared" si="214"/>
        <v>0</v>
      </c>
      <c r="LHE32" s="28">
        <f t="shared" si="214"/>
        <v>0</v>
      </c>
      <c r="LHF32" s="28">
        <f t="shared" si="214"/>
        <v>0</v>
      </c>
      <c r="LHG32" s="28">
        <f t="shared" si="214"/>
        <v>0</v>
      </c>
      <c r="LHH32" s="28">
        <f t="shared" si="214"/>
        <v>0</v>
      </c>
      <c r="LHI32" s="28">
        <f t="shared" ref="LHI32:LJT32" si="215">IFERROR(LHI31/LHI$4,0)</f>
        <v>0</v>
      </c>
      <c r="LHJ32" s="28">
        <f t="shared" si="215"/>
        <v>0</v>
      </c>
      <c r="LHK32" s="28">
        <f t="shared" si="215"/>
        <v>0</v>
      </c>
      <c r="LHL32" s="28">
        <f t="shared" si="215"/>
        <v>0</v>
      </c>
      <c r="LHM32" s="28">
        <f t="shared" si="215"/>
        <v>0</v>
      </c>
      <c r="LHN32" s="28">
        <f t="shared" si="215"/>
        <v>0</v>
      </c>
      <c r="LHO32" s="28">
        <f t="shared" si="215"/>
        <v>0</v>
      </c>
      <c r="LHP32" s="28">
        <f t="shared" si="215"/>
        <v>0</v>
      </c>
      <c r="LHQ32" s="28">
        <f t="shared" si="215"/>
        <v>0</v>
      </c>
      <c r="LHR32" s="28">
        <f t="shared" si="215"/>
        <v>0</v>
      </c>
      <c r="LHS32" s="28">
        <f t="shared" si="215"/>
        <v>0</v>
      </c>
      <c r="LHT32" s="28">
        <f t="shared" si="215"/>
        <v>0</v>
      </c>
      <c r="LHU32" s="28">
        <f t="shared" si="215"/>
        <v>0</v>
      </c>
      <c r="LHV32" s="28">
        <f t="shared" si="215"/>
        <v>0</v>
      </c>
      <c r="LHW32" s="28">
        <f t="shared" si="215"/>
        <v>0</v>
      </c>
      <c r="LHX32" s="28">
        <f t="shared" si="215"/>
        <v>0</v>
      </c>
      <c r="LHY32" s="28">
        <f t="shared" si="215"/>
        <v>0</v>
      </c>
      <c r="LHZ32" s="28">
        <f t="shared" si="215"/>
        <v>0</v>
      </c>
      <c r="LIA32" s="28">
        <f t="shared" si="215"/>
        <v>0</v>
      </c>
      <c r="LIB32" s="28">
        <f t="shared" si="215"/>
        <v>0</v>
      </c>
      <c r="LIC32" s="28">
        <f t="shared" si="215"/>
        <v>0</v>
      </c>
      <c r="LID32" s="28">
        <f t="shared" si="215"/>
        <v>0</v>
      </c>
      <c r="LIE32" s="28">
        <f t="shared" si="215"/>
        <v>0</v>
      </c>
      <c r="LIF32" s="28">
        <f t="shared" si="215"/>
        <v>0</v>
      </c>
      <c r="LIG32" s="28">
        <f t="shared" si="215"/>
        <v>0</v>
      </c>
      <c r="LIH32" s="28">
        <f t="shared" si="215"/>
        <v>0</v>
      </c>
      <c r="LII32" s="28">
        <f t="shared" si="215"/>
        <v>0</v>
      </c>
      <c r="LIJ32" s="28">
        <f t="shared" si="215"/>
        <v>0</v>
      </c>
      <c r="LIK32" s="28">
        <f t="shared" si="215"/>
        <v>0</v>
      </c>
      <c r="LIL32" s="28">
        <f t="shared" si="215"/>
        <v>0</v>
      </c>
      <c r="LIM32" s="28">
        <f t="shared" si="215"/>
        <v>0</v>
      </c>
      <c r="LIN32" s="28">
        <f t="shared" si="215"/>
        <v>0</v>
      </c>
      <c r="LIO32" s="28">
        <f t="shared" si="215"/>
        <v>0</v>
      </c>
      <c r="LIP32" s="28">
        <f t="shared" si="215"/>
        <v>0</v>
      </c>
      <c r="LIQ32" s="28">
        <f t="shared" si="215"/>
        <v>0</v>
      </c>
      <c r="LIR32" s="28">
        <f t="shared" si="215"/>
        <v>0</v>
      </c>
      <c r="LIS32" s="28">
        <f t="shared" si="215"/>
        <v>0</v>
      </c>
      <c r="LIT32" s="28">
        <f t="shared" si="215"/>
        <v>0</v>
      </c>
      <c r="LIU32" s="28">
        <f t="shared" si="215"/>
        <v>0</v>
      </c>
      <c r="LIV32" s="28">
        <f t="shared" si="215"/>
        <v>0</v>
      </c>
      <c r="LIW32" s="28">
        <f t="shared" si="215"/>
        <v>0</v>
      </c>
      <c r="LIX32" s="28">
        <f t="shared" si="215"/>
        <v>0</v>
      </c>
      <c r="LIY32" s="28">
        <f t="shared" si="215"/>
        <v>0</v>
      </c>
      <c r="LIZ32" s="28">
        <f t="shared" si="215"/>
        <v>0</v>
      </c>
      <c r="LJA32" s="28">
        <f t="shared" si="215"/>
        <v>0</v>
      </c>
      <c r="LJB32" s="28">
        <f t="shared" si="215"/>
        <v>0</v>
      </c>
      <c r="LJC32" s="28">
        <f t="shared" si="215"/>
        <v>0</v>
      </c>
      <c r="LJD32" s="28">
        <f t="shared" si="215"/>
        <v>0</v>
      </c>
      <c r="LJE32" s="28">
        <f t="shared" si="215"/>
        <v>0</v>
      </c>
      <c r="LJF32" s="28">
        <f t="shared" si="215"/>
        <v>0</v>
      </c>
      <c r="LJG32" s="28">
        <f t="shared" si="215"/>
        <v>0</v>
      </c>
      <c r="LJH32" s="28">
        <f t="shared" si="215"/>
        <v>0</v>
      </c>
      <c r="LJI32" s="28">
        <f t="shared" si="215"/>
        <v>0</v>
      </c>
      <c r="LJJ32" s="28">
        <f t="shared" si="215"/>
        <v>0</v>
      </c>
      <c r="LJK32" s="28">
        <f t="shared" si="215"/>
        <v>0</v>
      </c>
      <c r="LJL32" s="28">
        <f t="shared" si="215"/>
        <v>0</v>
      </c>
      <c r="LJM32" s="28">
        <f t="shared" si="215"/>
        <v>0</v>
      </c>
      <c r="LJN32" s="28">
        <f t="shared" si="215"/>
        <v>0</v>
      </c>
      <c r="LJO32" s="28">
        <f t="shared" si="215"/>
        <v>0</v>
      </c>
      <c r="LJP32" s="28">
        <f t="shared" si="215"/>
        <v>0</v>
      </c>
      <c r="LJQ32" s="28">
        <f t="shared" si="215"/>
        <v>0</v>
      </c>
      <c r="LJR32" s="28">
        <f t="shared" si="215"/>
        <v>0</v>
      </c>
      <c r="LJS32" s="28">
        <f t="shared" si="215"/>
        <v>0</v>
      </c>
      <c r="LJT32" s="28">
        <f t="shared" si="215"/>
        <v>0</v>
      </c>
      <c r="LJU32" s="28">
        <f t="shared" ref="LJU32:LMF32" si="216">IFERROR(LJU31/LJU$4,0)</f>
        <v>0</v>
      </c>
      <c r="LJV32" s="28">
        <f t="shared" si="216"/>
        <v>0</v>
      </c>
      <c r="LJW32" s="28">
        <f t="shared" si="216"/>
        <v>0</v>
      </c>
      <c r="LJX32" s="28">
        <f t="shared" si="216"/>
        <v>0</v>
      </c>
      <c r="LJY32" s="28">
        <f t="shared" si="216"/>
        <v>0</v>
      </c>
      <c r="LJZ32" s="28">
        <f t="shared" si="216"/>
        <v>0</v>
      </c>
      <c r="LKA32" s="28">
        <f t="shared" si="216"/>
        <v>0</v>
      </c>
      <c r="LKB32" s="28">
        <f t="shared" si="216"/>
        <v>0</v>
      </c>
      <c r="LKC32" s="28">
        <f t="shared" si="216"/>
        <v>0</v>
      </c>
      <c r="LKD32" s="28">
        <f t="shared" si="216"/>
        <v>0</v>
      </c>
      <c r="LKE32" s="28">
        <f t="shared" si="216"/>
        <v>0</v>
      </c>
      <c r="LKF32" s="28">
        <f t="shared" si="216"/>
        <v>0</v>
      </c>
      <c r="LKG32" s="28">
        <f t="shared" si="216"/>
        <v>0</v>
      </c>
      <c r="LKH32" s="28">
        <f t="shared" si="216"/>
        <v>0</v>
      </c>
      <c r="LKI32" s="28">
        <f t="shared" si="216"/>
        <v>0</v>
      </c>
      <c r="LKJ32" s="28">
        <f t="shared" si="216"/>
        <v>0</v>
      </c>
      <c r="LKK32" s="28">
        <f t="shared" si="216"/>
        <v>0</v>
      </c>
      <c r="LKL32" s="28">
        <f t="shared" si="216"/>
        <v>0</v>
      </c>
      <c r="LKM32" s="28">
        <f t="shared" si="216"/>
        <v>0</v>
      </c>
      <c r="LKN32" s="28">
        <f t="shared" si="216"/>
        <v>0</v>
      </c>
      <c r="LKO32" s="28">
        <f t="shared" si="216"/>
        <v>0</v>
      </c>
      <c r="LKP32" s="28">
        <f t="shared" si="216"/>
        <v>0</v>
      </c>
      <c r="LKQ32" s="28">
        <f t="shared" si="216"/>
        <v>0</v>
      </c>
      <c r="LKR32" s="28">
        <f t="shared" si="216"/>
        <v>0</v>
      </c>
      <c r="LKS32" s="28">
        <f t="shared" si="216"/>
        <v>0</v>
      </c>
      <c r="LKT32" s="28">
        <f t="shared" si="216"/>
        <v>0</v>
      </c>
      <c r="LKU32" s="28">
        <f t="shared" si="216"/>
        <v>0</v>
      </c>
      <c r="LKV32" s="28">
        <f t="shared" si="216"/>
        <v>0</v>
      </c>
      <c r="LKW32" s="28">
        <f t="shared" si="216"/>
        <v>0</v>
      </c>
      <c r="LKX32" s="28">
        <f t="shared" si="216"/>
        <v>0</v>
      </c>
      <c r="LKY32" s="28">
        <f t="shared" si="216"/>
        <v>0</v>
      </c>
      <c r="LKZ32" s="28">
        <f t="shared" si="216"/>
        <v>0</v>
      </c>
      <c r="LLA32" s="28">
        <f t="shared" si="216"/>
        <v>0</v>
      </c>
      <c r="LLB32" s="28">
        <f t="shared" si="216"/>
        <v>0</v>
      </c>
      <c r="LLC32" s="28">
        <f t="shared" si="216"/>
        <v>0</v>
      </c>
      <c r="LLD32" s="28">
        <f t="shared" si="216"/>
        <v>0</v>
      </c>
      <c r="LLE32" s="28">
        <f t="shared" si="216"/>
        <v>0</v>
      </c>
      <c r="LLF32" s="28">
        <f t="shared" si="216"/>
        <v>0</v>
      </c>
      <c r="LLG32" s="28">
        <f t="shared" si="216"/>
        <v>0</v>
      </c>
      <c r="LLH32" s="28">
        <f t="shared" si="216"/>
        <v>0</v>
      </c>
      <c r="LLI32" s="28">
        <f t="shared" si="216"/>
        <v>0</v>
      </c>
      <c r="LLJ32" s="28">
        <f t="shared" si="216"/>
        <v>0</v>
      </c>
      <c r="LLK32" s="28">
        <f t="shared" si="216"/>
        <v>0</v>
      </c>
      <c r="LLL32" s="28">
        <f t="shared" si="216"/>
        <v>0</v>
      </c>
      <c r="LLM32" s="28">
        <f t="shared" si="216"/>
        <v>0</v>
      </c>
      <c r="LLN32" s="28">
        <f t="shared" si="216"/>
        <v>0</v>
      </c>
      <c r="LLO32" s="28">
        <f t="shared" si="216"/>
        <v>0</v>
      </c>
      <c r="LLP32" s="28">
        <f t="shared" si="216"/>
        <v>0</v>
      </c>
      <c r="LLQ32" s="28">
        <f t="shared" si="216"/>
        <v>0</v>
      </c>
      <c r="LLR32" s="28">
        <f t="shared" si="216"/>
        <v>0</v>
      </c>
      <c r="LLS32" s="28">
        <f t="shared" si="216"/>
        <v>0</v>
      </c>
      <c r="LLT32" s="28">
        <f t="shared" si="216"/>
        <v>0</v>
      </c>
      <c r="LLU32" s="28">
        <f t="shared" si="216"/>
        <v>0</v>
      </c>
      <c r="LLV32" s="28">
        <f t="shared" si="216"/>
        <v>0</v>
      </c>
      <c r="LLW32" s="28">
        <f t="shared" si="216"/>
        <v>0</v>
      </c>
      <c r="LLX32" s="28">
        <f t="shared" si="216"/>
        <v>0</v>
      </c>
      <c r="LLY32" s="28">
        <f t="shared" si="216"/>
        <v>0</v>
      </c>
      <c r="LLZ32" s="28">
        <f t="shared" si="216"/>
        <v>0</v>
      </c>
      <c r="LMA32" s="28">
        <f t="shared" si="216"/>
        <v>0</v>
      </c>
      <c r="LMB32" s="28">
        <f t="shared" si="216"/>
        <v>0</v>
      </c>
      <c r="LMC32" s="28">
        <f t="shared" si="216"/>
        <v>0</v>
      </c>
      <c r="LMD32" s="28">
        <f t="shared" si="216"/>
        <v>0</v>
      </c>
      <c r="LME32" s="28">
        <f t="shared" si="216"/>
        <v>0</v>
      </c>
      <c r="LMF32" s="28">
        <f t="shared" si="216"/>
        <v>0</v>
      </c>
      <c r="LMG32" s="28">
        <f t="shared" ref="LMG32:LOR32" si="217">IFERROR(LMG31/LMG$4,0)</f>
        <v>0</v>
      </c>
      <c r="LMH32" s="28">
        <f t="shared" si="217"/>
        <v>0</v>
      </c>
      <c r="LMI32" s="28">
        <f t="shared" si="217"/>
        <v>0</v>
      </c>
      <c r="LMJ32" s="28">
        <f t="shared" si="217"/>
        <v>0</v>
      </c>
      <c r="LMK32" s="28">
        <f t="shared" si="217"/>
        <v>0</v>
      </c>
      <c r="LML32" s="28">
        <f t="shared" si="217"/>
        <v>0</v>
      </c>
      <c r="LMM32" s="28">
        <f t="shared" si="217"/>
        <v>0</v>
      </c>
      <c r="LMN32" s="28">
        <f t="shared" si="217"/>
        <v>0</v>
      </c>
      <c r="LMO32" s="28">
        <f t="shared" si="217"/>
        <v>0</v>
      </c>
      <c r="LMP32" s="28">
        <f t="shared" si="217"/>
        <v>0</v>
      </c>
      <c r="LMQ32" s="28">
        <f t="shared" si="217"/>
        <v>0</v>
      </c>
      <c r="LMR32" s="28">
        <f t="shared" si="217"/>
        <v>0</v>
      </c>
      <c r="LMS32" s="28">
        <f t="shared" si="217"/>
        <v>0</v>
      </c>
      <c r="LMT32" s="28">
        <f t="shared" si="217"/>
        <v>0</v>
      </c>
      <c r="LMU32" s="28">
        <f t="shared" si="217"/>
        <v>0</v>
      </c>
      <c r="LMV32" s="28">
        <f t="shared" si="217"/>
        <v>0</v>
      </c>
      <c r="LMW32" s="28">
        <f t="shared" si="217"/>
        <v>0</v>
      </c>
      <c r="LMX32" s="28">
        <f t="shared" si="217"/>
        <v>0</v>
      </c>
      <c r="LMY32" s="28">
        <f t="shared" si="217"/>
        <v>0</v>
      </c>
      <c r="LMZ32" s="28">
        <f t="shared" si="217"/>
        <v>0</v>
      </c>
      <c r="LNA32" s="28">
        <f t="shared" si="217"/>
        <v>0</v>
      </c>
      <c r="LNB32" s="28">
        <f t="shared" si="217"/>
        <v>0</v>
      </c>
      <c r="LNC32" s="28">
        <f t="shared" si="217"/>
        <v>0</v>
      </c>
      <c r="LND32" s="28">
        <f t="shared" si="217"/>
        <v>0</v>
      </c>
      <c r="LNE32" s="28">
        <f t="shared" si="217"/>
        <v>0</v>
      </c>
      <c r="LNF32" s="28">
        <f t="shared" si="217"/>
        <v>0</v>
      </c>
      <c r="LNG32" s="28">
        <f t="shared" si="217"/>
        <v>0</v>
      </c>
      <c r="LNH32" s="28">
        <f t="shared" si="217"/>
        <v>0</v>
      </c>
      <c r="LNI32" s="28">
        <f t="shared" si="217"/>
        <v>0</v>
      </c>
      <c r="LNJ32" s="28">
        <f t="shared" si="217"/>
        <v>0</v>
      </c>
      <c r="LNK32" s="28">
        <f t="shared" si="217"/>
        <v>0</v>
      </c>
      <c r="LNL32" s="28">
        <f t="shared" si="217"/>
        <v>0</v>
      </c>
      <c r="LNM32" s="28">
        <f t="shared" si="217"/>
        <v>0</v>
      </c>
      <c r="LNN32" s="28">
        <f t="shared" si="217"/>
        <v>0</v>
      </c>
      <c r="LNO32" s="28">
        <f t="shared" si="217"/>
        <v>0</v>
      </c>
      <c r="LNP32" s="28">
        <f t="shared" si="217"/>
        <v>0</v>
      </c>
      <c r="LNQ32" s="28">
        <f t="shared" si="217"/>
        <v>0</v>
      </c>
      <c r="LNR32" s="28">
        <f t="shared" si="217"/>
        <v>0</v>
      </c>
      <c r="LNS32" s="28">
        <f t="shared" si="217"/>
        <v>0</v>
      </c>
      <c r="LNT32" s="28">
        <f t="shared" si="217"/>
        <v>0</v>
      </c>
      <c r="LNU32" s="28">
        <f t="shared" si="217"/>
        <v>0</v>
      </c>
      <c r="LNV32" s="28">
        <f t="shared" si="217"/>
        <v>0</v>
      </c>
      <c r="LNW32" s="28">
        <f t="shared" si="217"/>
        <v>0</v>
      </c>
      <c r="LNX32" s="28">
        <f t="shared" si="217"/>
        <v>0</v>
      </c>
      <c r="LNY32" s="28">
        <f t="shared" si="217"/>
        <v>0</v>
      </c>
      <c r="LNZ32" s="28">
        <f t="shared" si="217"/>
        <v>0</v>
      </c>
      <c r="LOA32" s="28">
        <f t="shared" si="217"/>
        <v>0</v>
      </c>
      <c r="LOB32" s="28">
        <f t="shared" si="217"/>
        <v>0</v>
      </c>
      <c r="LOC32" s="28">
        <f t="shared" si="217"/>
        <v>0</v>
      </c>
      <c r="LOD32" s="28">
        <f t="shared" si="217"/>
        <v>0</v>
      </c>
      <c r="LOE32" s="28">
        <f t="shared" si="217"/>
        <v>0</v>
      </c>
      <c r="LOF32" s="28">
        <f t="shared" si="217"/>
        <v>0</v>
      </c>
      <c r="LOG32" s="28">
        <f t="shared" si="217"/>
        <v>0</v>
      </c>
      <c r="LOH32" s="28">
        <f t="shared" si="217"/>
        <v>0</v>
      </c>
      <c r="LOI32" s="28">
        <f t="shared" si="217"/>
        <v>0</v>
      </c>
      <c r="LOJ32" s="28">
        <f t="shared" si="217"/>
        <v>0</v>
      </c>
      <c r="LOK32" s="28">
        <f t="shared" si="217"/>
        <v>0</v>
      </c>
      <c r="LOL32" s="28">
        <f t="shared" si="217"/>
        <v>0</v>
      </c>
      <c r="LOM32" s="28">
        <f t="shared" si="217"/>
        <v>0</v>
      </c>
      <c r="LON32" s="28">
        <f t="shared" si="217"/>
        <v>0</v>
      </c>
      <c r="LOO32" s="28">
        <f t="shared" si="217"/>
        <v>0</v>
      </c>
      <c r="LOP32" s="28">
        <f t="shared" si="217"/>
        <v>0</v>
      </c>
      <c r="LOQ32" s="28">
        <f t="shared" si="217"/>
        <v>0</v>
      </c>
      <c r="LOR32" s="28">
        <f t="shared" si="217"/>
        <v>0</v>
      </c>
      <c r="LOS32" s="28">
        <f t="shared" ref="LOS32:LRD32" si="218">IFERROR(LOS31/LOS$4,0)</f>
        <v>0</v>
      </c>
      <c r="LOT32" s="28">
        <f t="shared" si="218"/>
        <v>0</v>
      </c>
      <c r="LOU32" s="28">
        <f t="shared" si="218"/>
        <v>0</v>
      </c>
      <c r="LOV32" s="28">
        <f t="shared" si="218"/>
        <v>0</v>
      </c>
      <c r="LOW32" s="28">
        <f t="shared" si="218"/>
        <v>0</v>
      </c>
      <c r="LOX32" s="28">
        <f t="shared" si="218"/>
        <v>0</v>
      </c>
      <c r="LOY32" s="28">
        <f t="shared" si="218"/>
        <v>0</v>
      </c>
      <c r="LOZ32" s="28">
        <f t="shared" si="218"/>
        <v>0</v>
      </c>
      <c r="LPA32" s="28">
        <f t="shared" si="218"/>
        <v>0</v>
      </c>
      <c r="LPB32" s="28">
        <f t="shared" si="218"/>
        <v>0</v>
      </c>
      <c r="LPC32" s="28">
        <f t="shared" si="218"/>
        <v>0</v>
      </c>
      <c r="LPD32" s="28">
        <f t="shared" si="218"/>
        <v>0</v>
      </c>
      <c r="LPE32" s="28">
        <f t="shared" si="218"/>
        <v>0</v>
      </c>
      <c r="LPF32" s="28">
        <f t="shared" si="218"/>
        <v>0</v>
      </c>
      <c r="LPG32" s="28">
        <f t="shared" si="218"/>
        <v>0</v>
      </c>
      <c r="LPH32" s="28">
        <f t="shared" si="218"/>
        <v>0</v>
      </c>
      <c r="LPI32" s="28">
        <f t="shared" si="218"/>
        <v>0</v>
      </c>
      <c r="LPJ32" s="28">
        <f t="shared" si="218"/>
        <v>0</v>
      </c>
      <c r="LPK32" s="28">
        <f t="shared" si="218"/>
        <v>0</v>
      </c>
      <c r="LPL32" s="28">
        <f t="shared" si="218"/>
        <v>0</v>
      </c>
      <c r="LPM32" s="28">
        <f t="shared" si="218"/>
        <v>0</v>
      </c>
      <c r="LPN32" s="28">
        <f t="shared" si="218"/>
        <v>0</v>
      </c>
      <c r="LPO32" s="28">
        <f t="shared" si="218"/>
        <v>0</v>
      </c>
      <c r="LPP32" s="28">
        <f t="shared" si="218"/>
        <v>0</v>
      </c>
      <c r="LPQ32" s="28">
        <f t="shared" si="218"/>
        <v>0</v>
      </c>
      <c r="LPR32" s="28">
        <f t="shared" si="218"/>
        <v>0</v>
      </c>
      <c r="LPS32" s="28">
        <f t="shared" si="218"/>
        <v>0</v>
      </c>
      <c r="LPT32" s="28">
        <f t="shared" si="218"/>
        <v>0</v>
      </c>
      <c r="LPU32" s="28">
        <f t="shared" si="218"/>
        <v>0</v>
      </c>
      <c r="LPV32" s="28">
        <f t="shared" si="218"/>
        <v>0</v>
      </c>
      <c r="LPW32" s="28">
        <f t="shared" si="218"/>
        <v>0</v>
      </c>
      <c r="LPX32" s="28">
        <f t="shared" si="218"/>
        <v>0</v>
      </c>
      <c r="LPY32" s="28">
        <f t="shared" si="218"/>
        <v>0</v>
      </c>
      <c r="LPZ32" s="28">
        <f t="shared" si="218"/>
        <v>0</v>
      </c>
      <c r="LQA32" s="28">
        <f t="shared" si="218"/>
        <v>0</v>
      </c>
      <c r="LQB32" s="28">
        <f t="shared" si="218"/>
        <v>0</v>
      </c>
      <c r="LQC32" s="28">
        <f t="shared" si="218"/>
        <v>0</v>
      </c>
      <c r="LQD32" s="28">
        <f t="shared" si="218"/>
        <v>0</v>
      </c>
      <c r="LQE32" s="28">
        <f t="shared" si="218"/>
        <v>0</v>
      </c>
      <c r="LQF32" s="28">
        <f t="shared" si="218"/>
        <v>0</v>
      </c>
      <c r="LQG32" s="28">
        <f t="shared" si="218"/>
        <v>0</v>
      </c>
      <c r="LQH32" s="28">
        <f t="shared" si="218"/>
        <v>0</v>
      </c>
      <c r="LQI32" s="28">
        <f t="shared" si="218"/>
        <v>0</v>
      </c>
      <c r="LQJ32" s="28">
        <f t="shared" si="218"/>
        <v>0</v>
      </c>
      <c r="LQK32" s="28">
        <f t="shared" si="218"/>
        <v>0</v>
      </c>
      <c r="LQL32" s="28">
        <f t="shared" si="218"/>
        <v>0</v>
      </c>
      <c r="LQM32" s="28">
        <f t="shared" si="218"/>
        <v>0</v>
      </c>
      <c r="LQN32" s="28">
        <f t="shared" si="218"/>
        <v>0</v>
      </c>
      <c r="LQO32" s="28">
        <f t="shared" si="218"/>
        <v>0</v>
      </c>
      <c r="LQP32" s="28">
        <f t="shared" si="218"/>
        <v>0</v>
      </c>
      <c r="LQQ32" s="28">
        <f t="shared" si="218"/>
        <v>0</v>
      </c>
      <c r="LQR32" s="28">
        <f t="shared" si="218"/>
        <v>0</v>
      </c>
      <c r="LQS32" s="28">
        <f t="shared" si="218"/>
        <v>0</v>
      </c>
      <c r="LQT32" s="28">
        <f t="shared" si="218"/>
        <v>0</v>
      </c>
      <c r="LQU32" s="28">
        <f t="shared" si="218"/>
        <v>0</v>
      </c>
      <c r="LQV32" s="28">
        <f t="shared" si="218"/>
        <v>0</v>
      </c>
      <c r="LQW32" s="28">
        <f t="shared" si="218"/>
        <v>0</v>
      </c>
      <c r="LQX32" s="28">
        <f t="shared" si="218"/>
        <v>0</v>
      </c>
      <c r="LQY32" s="28">
        <f t="shared" si="218"/>
        <v>0</v>
      </c>
      <c r="LQZ32" s="28">
        <f t="shared" si="218"/>
        <v>0</v>
      </c>
      <c r="LRA32" s="28">
        <f t="shared" si="218"/>
        <v>0</v>
      </c>
      <c r="LRB32" s="28">
        <f t="shared" si="218"/>
        <v>0</v>
      </c>
      <c r="LRC32" s="28">
        <f t="shared" si="218"/>
        <v>0</v>
      </c>
      <c r="LRD32" s="28">
        <f t="shared" si="218"/>
        <v>0</v>
      </c>
      <c r="LRE32" s="28">
        <f t="shared" ref="LRE32:LTP32" si="219">IFERROR(LRE31/LRE$4,0)</f>
        <v>0</v>
      </c>
      <c r="LRF32" s="28">
        <f t="shared" si="219"/>
        <v>0</v>
      </c>
      <c r="LRG32" s="28">
        <f t="shared" si="219"/>
        <v>0</v>
      </c>
      <c r="LRH32" s="28">
        <f t="shared" si="219"/>
        <v>0</v>
      </c>
      <c r="LRI32" s="28">
        <f t="shared" si="219"/>
        <v>0</v>
      </c>
      <c r="LRJ32" s="28">
        <f t="shared" si="219"/>
        <v>0</v>
      </c>
      <c r="LRK32" s="28">
        <f t="shared" si="219"/>
        <v>0</v>
      </c>
      <c r="LRL32" s="28">
        <f t="shared" si="219"/>
        <v>0</v>
      </c>
      <c r="LRM32" s="28">
        <f t="shared" si="219"/>
        <v>0</v>
      </c>
      <c r="LRN32" s="28">
        <f t="shared" si="219"/>
        <v>0</v>
      </c>
      <c r="LRO32" s="28">
        <f t="shared" si="219"/>
        <v>0</v>
      </c>
      <c r="LRP32" s="28">
        <f t="shared" si="219"/>
        <v>0</v>
      </c>
      <c r="LRQ32" s="28">
        <f t="shared" si="219"/>
        <v>0</v>
      </c>
      <c r="LRR32" s="28">
        <f t="shared" si="219"/>
        <v>0</v>
      </c>
      <c r="LRS32" s="28">
        <f t="shared" si="219"/>
        <v>0</v>
      </c>
      <c r="LRT32" s="28">
        <f t="shared" si="219"/>
        <v>0</v>
      </c>
      <c r="LRU32" s="28">
        <f t="shared" si="219"/>
        <v>0</v>
      </c>
      <c r="LRV32" s="28">
        <f t="shared" si="219"/>
        <v>0</v>
      </c>
      <c r="LRW32" s="28">
        <f t="shared" si="219"/>
        <v>0</v>
      </c>
      <c r="LRX32" s="28">
        <f t="shared" si="219"/>
        <v>0</v>
      </c>
      <c r="LRY32" s="28">
        <f t="shared" si="219"/>
        <v>0</v>
      </c>
      <c r="LRZ32" s="28">
        <f t="shared" si="219"/>
        <v>0</v>
      </c>
      <c r="LSA32" s="28">
        <f t="shared" si="219"/>
        <v>0</v>
      </c>
      <c r="LSB32" s="28">
        <f t="shared" si="219"/>
        <v>0</v>
      </c>
      <c r="LSC32" s="28">
        <f t="shared" si="219"/>
        <v>0</v>
      </c>
      <c r="LSD32" s="28">
        <f t="shared" si="219"/>
        <v>0</v>
      </c>
      <c r="LSE32" s="28">
        <f t="shared" si="219"/>
        <v>0</v>
      </c>
      <c r="LSF32" s="28">
        <f t="shared" si="219"/>
        <v>0</v>
      </c>
      <c r="LSG32" s="28">
        <f t="shared" si="219"/>
        <v>0</v>
      </c>
      <c r="LSH32" s="28">
        <f t="shared" si="219"/>
        <v>0</v>
      </c>
      <c r="LSI32" s="28">
        <f t="shared" si="219"/>
        <v>0</v>
      </c>
      <c r="LSJ32" s="28">
        <f t="shared" si="219"/>
        <v>0</v>
      </c>
      <c r="LSK32" s="28">
        <f t="shared" si="219"/>
        <v>0</v>
      </c>
      <c r="LSL32" s="28">
        <f t="shared" si="219"/>
        <v>0</v>
      </c>
      <c r="LSM32" s="28">
        <f t="shared" si="219"/>
        <v>0</v>
      </c>
      <c r="LSN32" s="28">
        <f t="shared" si="219"/>
        <v>0</v>
      </c>
      <c r="LSO32" s="28">
        <f t="shared" si="219"/>
        <v>0</v>
      </c>
      <c r="LSP32" s="28">
        <f t="shared" si="219"/>
        <v>0</v>
      </c>
      <c r="LSQ32" s="28">
        <f t="shared" si="219"/>
        <v>0</v>
      </c>
      <c r="LSR32" s="28">
        <f t="shared" si="219"/>
        <v>0</v>
      </c>
      <c r="LSS32" s="28">
        <f t="shared" si="219"/>
        <v>0</v>
      </c>
      <c r="LST32" s="28">
        <f t="shared" si="219"/>
        <v>0</v>
      </c>
      <c r="LSU32" s="28">
        <f t="shared" si="219"/>
        <v>0</v>
      </c>
      <c r="LSV32" s="28">
        <f t="shared" si="219"/>
        <v>0</v>
      </c>
      <c r="LSW32" s="28">
        <f t="shared" si="219"/>
        <v>0</v>
      </c>
      <c r="LSX32" s="28">
        <f t="shared" si="219"/>
        <v>0</v>
      </c>
      <c r="LSY32" s="28">
        <f t="shared" si="219"/>
        <v>0</v>
      </c>
      <c r="LSZ32" s="28">
        <f t="shared" si="219"/>
        <v>0</v>
      </c>
      <c r="LTA32" s="28">
        <f t="shared" si="219"/>
        <v>0</v>
      </c>
      <c r="LTB32" s="28">
        <f t="shared" si="219"/>
        <v>0</v>
      </c>
      <c r="LTC32" s="28">
        <f t="shared" si="219"/>
        <v>0</v>
      </c>
      <c r="LTD32" s="28">
        <f t="shared" si="219"/>
        <v>0</v>
      </c>
      <c r="LTE32" s="28">
        <f t="shared" si="219"/>
        <v>0</v>
      </c>
      <c r="LTF32" s="28">
        <f t="shared" si="219"/>
        <v>0</v>
      </c>
      <c r="LTG32" s="28">
        <f t="shared" si="219"/>
        <v>0</v>
      </c>
      <c r="LTH32" s="28">
        <f t="shared" si="219"/>
        <v>0</v>
      </c>
      <c r="LTI32" s="28">
        <f t="shared" si="219"/>
        <v>0</v>
      </c>
      <c r="LTJ32" s="28">
        <f t="shared" si="219"/>
        <v>0</v>
      </c>
      <c r="LTK32" s="28">
        <f t="shared" si="219"/>
        <v>0</v>
      </c>
      <c r="LTL32" s="28">
        <f t="shared" si="219"/>
        <v>0</v>
      </c>
      <c r="LTM32" s="28">
        <f t="shared" si="219"/>
        <v>0</v>
      </c>
      <c r="LTN32" s="28">
        <f t="shared" si="219"/>
        <v>0</v>
      </c>
      <c r="LTO32" s="28">
        <f t="shared" si="219"/>
        <v>0</v>
      </c>
      <c r="LTP32" s="28">
        <f t="shared" si="219"/>
        <v>0</v>
      </c>
      <c r="LTQ32" s="28">
        <f t="shared" ref="LTQ32:LWB32" si="220">IFERROR(LTQ31/LTQ$4,0)</f>
        <v>0</v>
      </c>
      <c r="LTR32" s="28">
        <f t="shared" si="220"/>
        <v>0</v>
      </c>
      <c r="LTS32" s="28">
        <f t="shared" si="220"/>
        <v>0</v>
      </c>
      <c r="LTT32" s="28">
        <f t="shared" si="220"/>
        <v>0</v>
      </c>
      <c r="LTU32" s="28">
        <f t="shared" si="220"/>
        <v>0</v>
      </c>
      <c r="LTV32" s="28">
        <f t="shared" si="220"/>
        <v>0</v>
      </c>
      <c r="LTW32" s="28">
        <f t="shared" si="220"/>
        <v>0</v>
      </c>
      <c r="LTX32" s="28">
        <f t="shared" si="220"/>
        <v>0</v>
      </c>
      <c r="LTY32" s="28">
        <f t="shared" si="220"/>
        <v>0</v>
      </c>
      <c r="LTZ32" s="28">
        <f t="shared" si="220"/>
        <v>0</v>
      </c>
      <c r="LUA32" s="28">
        <f t="shared" si="220"/>
        <v>0</v>
      </c>
      <c r="LUB32" s="28">
        <f t="shared" si="220"/>
        <v>0</v>
      </c>
      <c r="LUC32" s="28">
        <f t="shared" si="220"/>
        <v>0</v>
      </c>
      <c r="LUD32" s="28">
        <f t="shared" si="220"/>
        <v>0</v>
      </c>
      <c r="LUE32" s="28">
        <f t="shared" si="220"/>
        <v>0</v>
      </c>
      <c r="LUF32" s="28">
        <f t="shared" si="220"/>
        <v>0</v>
      </c>
      <c r="LUG32" s="28">
        <f t="shared" si="220"/>
        <v>0</v>
      </c>
      <c r="LUH32" s="28">
        <f t="shared" si="220"/>
        <v>0</v>
      </c>
      <c r="LUI32" s="28">
        <f t="shared" si="220"/>
        <v>0</v>
      </c>
      <c r="LUJ32" s="28">
        <f t="shared" si="220"/>
        <v>0</v>
      </c>
      <c r="LUK32" s="28">
        <f t="shared" si="220"/>
        <v>0</v>
      </c>
      <c r="LUL32" s="28">
        <f t="shared" si="220"/>
        <v>0</v>
      </c>
      <c r="LUM32" s="28">
        <f t="shared" si="220"/>
        <v>0</v>
      </c>
      <c r="LUN32" s="28">
        <f t="shared" si="220"/>
        <v>0</v>
      </c>
      <c r="LUO32" s="28">
        <f t="shared" si="220"/>
        <v>0</v>
      </c>
      <c r="LUP32" s="28">
        <f t="shared" si="220"/>
        <v>0</v>
      </c>
      <c r="LUQ32" s="28">
        <f t="shared" si="220"/>
        <v>0</v>
      </c>
      <c r="LUR32" s="28">
        <f t="shared" si="220"/>
        <v>0</v>
      </c>
      <c r="LUS32" s="28">
        <f t="shared" si="220"/>
        <v>0</v>
      </c>
      <c r="LUT32" s="28">
        <f t="shared" si="220"/>
        <v>0</v>
      </c>
      <c r="LUU32" s="28">
        <f t="shared" si="220"/>
        <v>0</v>
      </c>
      <c r="LUV32" s="28">
        <f t="shared" si="220"/>
        <v>0</v>
      </c>
      <c r="LUW32" s="28">
        <f t="shared" si="220"/>
        <v>0</v>
      </c>
      <c r="LUX32" s="28">
        <f t="shared" si="220"/>
        <v>0</v>
      </c>
      <c r="LUY32" s="28">
        <f t="shared" si="220"/>
        <v>0</v>
      </c>
      <c r="LUZ32" s="28">
        <f t="shared" si="220"/>
        <v>0</v>
      </c>
      <c r="LVA32" s="28">
        <f t="shared" si="220"/>
        <v>0</v>
      </c>
      <c r="LVB32" s="28">
        <f t="shared" si="220"/>
        <v>0</v>
      </c>
      <c r="LVC32" s="28">
        <f t="shared" si="220"/>
        <v>0</v>
      </c>
      <c r="LVD32" s="28">
        <f t="shared" si="220"/>
        <v>0</v>
      </c>
      <c r="LVE32" s="28">
        <f t="shared" si="220"/>
        <v>0</v>
      </c>
      <c r="LVF32" s="28">
        <f t="shared" si="220"/>
        <v>0</v>
      </c>
      <c r="LVG32" s="28">
        <f t="shared" si="220"/>
        <v>0</v>
      </c>
      <c r="LVH32" s="28">
        <f t="shared" si="220"/>
        <v>0</v>
      </c>
      <c r="LVI32" s="28">
        <f t="shared" si="220"/>
        <v>0</v>
      </c>
      <c r="LVJ32" s="28">
        <f t="shared" si="220"/>
        <v>0</v>
      </c>
      <c r="LVK32" s="28">
        <f t="shared" si="220"/>
        <v>0</v>
      </c>
      <c r="LVL32" s="28">
        <f t="shared" si="220"/>
        <v>0</v>
      </c>
      <c r="LVM32" s="28">
        <f t="shared" si="220"/>
        <v>0</v>
      </c>
      <c r="LVN32" s="28">
        <f t="shared" si="220"/>
        <v>0</v>
      </c>
      <c r="LVO32" s="28">
        <f t="shared" si="220"/>
        <v>0</v>
      </c>
      <c r="LVP32" s="28">
        <f t="shared" si="220"/>
        <v>0</v>
      </c>
      <c r="LVQ32" s="28">
        <f t="shared" si="220"/>
        <v>0</v>
      </c>
      <c r="LVR32" s="28">
        <f t="shared" si="220"/>
        <v>0</v>
      </c>
      <c r="LVS32" s="28">
        <f t="shared" si="220"/>
        <v>0</v>
      </c>
      <c r="LVT32" s="28">
        <f t="shared" si="220"/>
        <v>0</v>
      </c>
      <c r="LVU32" s="28">
        <f t="shared" si="220"/>
        <v>0</v>
      </c>
      <c r="LVV32" s="28">
        <f t="shared" si="220"/>
        <v>0</v>
      </c>
      <c r="LVW32" s="28">
        <f t="shared" si="220"/>
        <v>0</v>
      </c>
      <c r="LVX32" s="28">
        <f t="shared" si="220"/>
        <v>0</v>
      </c>
      <c r="LVY32" s="28">
        <f t="shared" si="220"/>
        <v>0</v>
      </c>
      <c r="LVZ32" s="28">
        <f t="shared" si="220"/>
        <v>0</v>
      </c>
      <c r="LWA32" s="28">
        <f t="shared" si="220"/>
        <v>0</v>
      </c>
      <c r="LWB32" s="28">
        <f t="shared" si="220"/>
        <v>0</v>
      </c>
      <c r="LWC32" s="28">
        <f t="shared" ref="LWC32:LYN32" si="221">IFERROR(LWC31/LWC$4,0)</f>
        <v>0</v>
      </c>
      <c r="LWD32" s="28">
        <f t="shared" si="221"/>
        <v>0</v>
      </c>
      <c r="LWE32" s="28">
        <f t="shared" si="221"/>
        <v>0</v>
      </c>
      <c r="LWF32" s="28">
        <f t="shared" si="221"/>
        <v>0</v>
      </c>
      <c r="LWG32" s="28">
        <f t="shared" si="221"/>
        <v>0</v>
      </c>
      <c r="LWH32" s="28">
        <f t="shared" si="221"/>
        <v>0</v>
      </c>
      <c r="LWI32" s="28">
        <f t="shared" si="221"/>
        <v>0</v>
      </c>
      <c r="LWJ32" s="28">
        <f t="shared" si="221"/>
        <v>0</v>
      </c>
      <c r="LWK32" s="28">
        <f t="shared" si="221"/>
        <v>0</v>
      </c>
      <c r="LWL32" s="28">
        <f t="shared" si="221"/>
        <v>0</v>
      </c>
      <c r="LWM32" s="28">
        <f t="shared" si="221"/>
        <v>0</v>
      </c>
      <c r="LWN32" s="28">
        <f t="shared" si="221"/>
        <v>0</v>
      </c>
      <c r="LWO32" s="28">
        <f t="shared" si="221"/>
        <v>0</v>
      </c>
      <c r="LWP32" s="28">
        <f t="shared" si="221"/>
        <v>0</v>
      </c>
      <c r="LWQ32" s="28">
        <f t="shared" si="221"/>
        <v>0</v>
      </c>
      <c r="LWR32" s="28">
        <f t="shared" si="221"/>
        <v>0</v>
      </c>
      <c r="LWS32" s="28">
        <f t="shared" si="221"/>
        <v>0</v>
      </c>
      <c r="LWT32" s="28">
        <f t="shared" si="221"/>
        <v>0</v>
      </c>
      <c r="LWU32" s="28">
        <f t="shared" si="221"/>
        <v>0</v>
      </c>
      <c r="LWV32" s="28">
        <f t="shared" si="221"/>
        <v>0</v>
      </c>
      <c r="LWW32" s="28">
        <f t="shared" si="221"/>
        <v>0</v>
      </c>
      <c r="LWX32" s="28">
        <f t="shared" si="221"/>
        <v>0</v>
      </c>
      <c r="LWY32" s="28">
        <f t="shared" si="221"/>
        <v>0</v>
      </c>
      <c r="LWZ32" s="28">
        <f t="shared" si="221"/>
        <v>0</v>
      </c>
      <c r="LXA32" s="28">
        <f t="shared" si="221"/>
        <v>0</v>
      </c>
      <c r="LXB32" s="28">
        <f t="shared" si="221"/>
        <v>0</v>
      </c>
      <c r="LXC32" s="28">
        <f t="shared" si="221"/>
        <v>0</v>
      </c>
      <c r="LXD32" s="28">
        <f t="shared" si="221"/>
        <v>0</v>
      </c>
      <c r="LXE32" s="28">
        <f t="shared" si="221"/>
        <v>0</v>
      </c>
      <c r="LXF32" s="28">
        <f t="shared" si="221"/>
        <v>0</v>
      </c>
      <c r="LXG32" s="28">
        <f t="shared" si="221"/>
        <v>0</v>
      </c>
      <c r="LXH32" s="28">
        <f t="shared" si="221"/>
        <v>0</v>
      </c>
      <c r="LXI32" s="28">
        <f t="shared" si="221"/>
        <v>0</v>
      </c>
      <c r="LXJ32" s="28">
        <f t="shared" si="221"/>
        <v>0</v>
      </c>
      <c r="LXK32" s="28">
        <f t="shared" si="221"/>
        <v>0</v>
      </c>
      <c r="LXL32" s="28">
        <f t="shared" si="221"/>
        <v>0</v>
      </c>
      <c r="LXM32" s="28">
        <f t="shared" si="221"/>
        <v>0</v>
      </c>
      <c r="LXN32" s="28">
        <f t="shared" si="221"/>
        <v>0</v>
      </c>
      <c r="LXO32" s="28">
        <f t="shared" si="221"/>
        <v>0</v>
      </c>
      <c r="LXP32" s="28">
        <f t="shared" si="221"/>
        <v>0</v>
      </c>
      <c r="LXQ32" s="28">
        <f t="shared" si="221"/>
        <v>0</v>
      </c>
      <c r="LXR32" s="28">
        <f t="shared" si="221"/>
        <v>0</v>
      </c>
      <c r="LXS32" s="28">
        <f t="shared" si="221"/>
        <v>0</v>
      </c>
      <c r="LXT32" s="28">
        <f t="shared" si="221"/>
        <v>0</v>
      </c>
      <c r="LXU32" s="28">
        <f t="shared" si="221"/>
        <v>0</v>
      </c>
      <c r="LXV32" s="28">
        <f t="shared" si="221"/>
        <v>0</v>
      </c>
      <c r="LXW32" s="28">
        <f t="shared" si="221"/>
        <v>0</v>
      </c>
      <c r="LXX32" s="28">
        <f t="shared" si="221"/>
        <v>0</v>
      </c>
      <c r="LXY32" s="28">
        <f t="shared" si="221"/>
        <v>0</v>
      </c>
      <c r="LXZ32" s="28">
        <f t="shared" si="221"/>
        <v>0</v>
      </c>
      <c r="LYA32" s="28">
        <f t="shared" si="221"/>
        <v>0</v>
      </c>
      <c r="LYB32" s="28">
        <f t="shared" si="221"/>
        <v>0</v>
      </c>
      <c r="LYC32" s="28">
        <f t="shared" si="221"/>
        <v>0</v>
      </c>
      <c r="LYD32" s="28">
        <f t="shared" si="221"/>
        <v>0</v>
      </c>
      <c r="LYE32" s="28">
        <f t="shared" si="221"/>
        <v>0</v>
      </c>
      <c r="LYF32" s="28">
        <f t="shared" si="221"/>
        <v>0</v>
      </c>
      <c r="LYG32" s="28">
        <f t="shared" si="221"/>
        <v>0</v>
      </c>
      <c r="LYH32" s="28">
        <f t="shared" si="221"/>
        <v>0</v>
      </c>
      <c r="LYI32" s="28">
        <f t="shared" si="221"/>
        <v>0</v>
      </c>
      <c r="LYJ32" s="28">
        <f t="shared" si="221"/>
        <v>0</v>
      </c>
      <c r="LYK32" s="28">
        <f t="shared" si="221"/>
        <v>0</v>
      </c>
      <c r="LYL32" s="28">
        <f t="shared" si="221"/>
        <v>0</v>
      </c>
      <c r="LYM32" s="28">
        <f t="shared" si="221"/>
        <v>0</v>
      </c>
      <c r="LYN32" s="28">
        <f t="shared" si="221"/>
        <v>0</v>
      </c>
      <c r="LYO32" s="28">
        <f t="shared" ref="LYO32:MAZ32" si="222">IFERROR(LYO31/LYO$4,0)</f>
        <v>0</v>
      </c>
      <c r="LYP32" s="28">
        <f t="shared" si="222"/>
        <v>0</v>
      </c>
      <c r="LYQ32" s="28">
        <f t="shared" si="222"/>
        <v>0</v>
      </c>
      <c r="LYR32" s="28">
        <f t="shared" si="222"/>
        <v>0</v>
      </c>
      <c r="LYS32" s="28">
        <f t="shared" si="222"/>
        <v>0</v>
      </c>
      <c r="LYT32" s="28">
        <f t="shared" si="222"/>
        <v>0</v>
      </c>
      <c r="LYU32" s="28">
        <f t="shared" si="222"/>
        <v>0</v>
      </c>
      <c r="LYV32" s="28">
        <f t="shared" si="222"/>
        <v>0</v>
      </c>
      <c r="LYW32" s="28">
        <f t="shared" si="222"/>
        <v>0</v>
      </c>
      <c r="LYX32" s="28">
        <f t="shared" si="222"/>
        <v>0</v>
      </c>
      <c r="LYY32" s="28">
        <f t="shared" si="222"/>
        <v>0</v>
      </c>
      <c r="LYZ32" s="28">
        <f t="shared" si="222"/>
        <v>0</v>
      </c>
      <c r="LZA32" s="28">
        <f t="shared" si="222"/>
        <v>0</v>
      </c>
      <c r="LZB32" s="28">
        <f t="shared" si="222"/>
        <v>0</v>
      </c>
      <c r="LZC32" s="28">
        <f t="shared" si="222"/>
        <v>0</v>
      </c>
      <c r="LZD32" s="28">
        <f t="shared" si="222"/>
        <v>0</v>
      </c>
      <c r="LZE32" s="28">
        <f t="shared" si="222"/>
        <v>0</v>
      </c>
      <c r="LZF32" s="28">
        <f t="shared" si="222"/>
        <v>0</v>
      </c>
      <c r="LZG32" s="28">
        <f t="shared" si="222"/>
        <v>0</v>
      </c>
      <c r="LZH32" s="28">
        <f t="shared" si="222"/>
        <v>0</v>
      </c>
      <c r="LZI32" s="28">
        <f t="shared" si="222"/>
        <v>0</v>
      </c>
      <c r="LZJ32" s="28">
        <f t="shared" si="222"/>
        <v>0</v>
      </c>
      <c r="LZK32" s="28">
        <f t="shared" si="222"/>
        <v>0</v>
      </c>
      <c r="LZL32" s="28">
        <f t="shared" si="222"/>
        <v>0</v>
      </c>
      <c r="LZM32" s="28">
        <f t="shared" si="222"/>
        <v>0</v>
      </c>
      <c r="LZN32" s="28">
        <f t="shared" si="222"/>
        <v>0</v>
      </c>
      <c r="LZO32" s="28">
        <f t="shared" si="222"/>
        <v>0</v>
      </c>
      <c r="LZP32" s="28">
        <f t="shared" si="222"/>
        <v>0</v>
      </c>
      <c r="LZQ32" s="28">
        <f t="shared" si="222"/>
        <v>0</v>
      </c>
      <c r="LZR32" s="28">
        <f t="shared" si="222"/>
        <v>0</v>
      </c>
      <c r="LZS32" s="28">
        <f t="shared" si="222"/>
        <v>0</v>
      </c>
      <c r="LZT32" s="28">
        <f t="shared" si="222"/>
        <v>0</v>
      </c>
      <c r="LZU32" s="28">
        <f t="shared" si="222"/>
        <v>0</v>
      </c>
      <c r="LZV32" s="28">
        <f t="shared" si="222"/>
        <v>0</v>
      </c>
      <c r="LZW32" s="28">
        <f t="shared" si="222"/>
        <v>0</v>
      </c>
      <c r="LZX32" s="28">
        <f t="shared" si="222"/>
        <v>0</v>
      </c>
      <c r="LZY32" s="28">
        <f t="shared" si="222"/>
        <v>0</v>
      </c>
      <c r="LZZ32" s="28">
        <f t="shared" si="222"/>
        <v>0</v>
      </c>
      <c r="MAA32" s="28">
        <f t="shared" si="222"/>
        <v>0</v>
      </c>
      <c r="MAB32" s="28">
        <f t="shared" si="222"/>
        <v>0</v>
      </c>
      <c r="MAC32" s="28">
        <f t="shared" si="222"/>
        <v>0</v>
      </c>
      <c r="MAD32" s="28">
        <f t="shared" si="222"/>
        <v>0</v>
      </c>
      <c r="MAE32" s="28">
        <f t="shared" si="222"/>
        <v>0</v>
      </c>
      <c r="MAF32" s="28">
        <f t="shared" si="222"/>
        <v>0</v>
      </c>
      <c r="MAG32" s="28">
        <f t="shared" si="222"/>
        <v>0</v>
      </c>
      <c r="MAH32" s="28">
        <f t="shared" si="222"/>
        <v>0</v>
      </c>
      <c r="MAI32" s="28">
        <f t="shared" si="222"/>
        <v>0</v>
      </c>
      <c r="MAJ32" s="28">
        <f t="shared" si="222"/>
        <v>0</v>
      </c>
      <c r="MAK32" s="28">
        <f t="shared" si="222"/>
        <v>0</v>
      </c>
      <c r="MAL32" s="28">
        <f t="shared" si="222"/>
        <v>0</v>
      </c>
      <c r="MAM32" s="28">
        <f t="shared" si="222"/>
        <v>0</v>
      </c>
      <c r="MAN32" s="28">
        <f t="shared" si="222"/>
        <v>0</v>
      </c>
      <c r="MAO32" s="28">
        <f t="shared" si="222"/>
        <v>0</v>
      </c>
      <c r="MAP32" s="28">
        <f t="shared" si="222"/>
        <v>0</v>
      </c>
      <c r="MAQ32" s="28">
        <f t="shared" si="222"/>
        <v>0</v>
      </c>
      <c r="MAR32" s="28">
        <f t="shared" si="222"/>
        <v>0</v>
      </c>
      <c r="MAS32" s="28">
        <f t="shared" si="222"/>
        <v>0</v>
      </c>
      <c r="MAT32" s="28">
        <f t="shared" si="222"/>
        <v>0</v>
      </c>
      <c r="MAU32" s="28">
        <f t="shared" si="222"/>
        <v>0</v>
      </c>
      <c r="MAV32" s="28">
        <f t="shared" si="222"/>
        <v>0</v>
      </c>
      <c r="MAW32" s="28">
        <f t="shared" si="222"/>
        <v>0</v>
      </c>
      <c r="MAX32" s="28">
        <f t="shared" si="222"/>
        <v>0</v>
      </c>
      <c r="MAY32" s="28">
        <f t="shared" si="222"/>
        <v>0</v>
      </c>
      <c r="MAZ32" s="28">
        <f t="shared" si="222"/>
        <v>0</v>
      </c>
      <c r="MBA32" s="28">
        <f t="shared" ref="MBA32:MDL32" si="223">IFERROR(MBA31/MBA$4,0)</f>
        <v>0</v>
      </c>
      <c r="MBB32" s="28">
        <f t="shared" si="223"/>
        <v>0</v>
      </c>
      <c r="MBC32" s="28">
        <f t="shared" si="223"/>
        <v>0</v>
      </c>
      <c r="MBD32" s="28">
        <f t="shared" si="223"/>
        <v>0</v>
      </c>
      <c r="MBE32" s="28">
        <f t="shared" si="223"/>
        <v>0</v>
      </c>
      <c r="MBF32" s="28">
        <f t="shared" si="223"/>
        <v>0</v>
      </c>
      <c r="MBG32" s="28">
        <f t="shared" si="223"/>
        <v>0</v>
      </c>
      <c r="MBH32" s="28">
        <f t="shared" si="223"/>
        <v>0</v>
      </c>
      <c r="MBI32" s="28">
        <f t="shared" si="223"/>
        <v>0</v>
      </c>
      <c r="MBJ32" s="28">
        <f t="shared" si="223"/>
        <v>0</v>
      </c>
      <c r="MBK32" s="28">
        <f t="shared" si="223"/>
        <v>0</v>
      </c>
      <c r="MBL32" s="28">
        <f t="shared" si="223"/>
        <v>0</v>
      </c>
      <c r="MBM32" s="28">
        <f t="shared" si="223"/>
        <v>0</v>
      </c>
      <c r="MBN32" s="28">
        <f t="shared" si="223"/>
        <v>0</v>
      </c>
      <c r="MBO32" s="28">
        <f t="shared" si="223"/>
        <v>0</v>
      </c>
      <c r="MBP32" s="28">
        <f t="shared" si="223"/>
        <v>0</v>
      </c>
      <c r="MBQ32" s="28">
        <f t="shared" si="223"/>
        <v>0</v>
      </c>
      <c r="MBR32" s="28">
        <f t="shared" si="223"/>
        <v>0</v>
      </c>
      <c r="MBS32" s="28">
        <f t="shared" si="223"/>
        <v>0</v>
      </c>
      <c r="MBT32" s="28">
        <f t="shared" si="223"/>
        <v>0</v>
      </c>
      <c r="MBU32" s="28">
        <f t="shared" si="223"/>
        <v>0</v>
      </c>
      <c r="MBV32" s="28">
        <f t="shared" si="223"/>
        <v>0</v>
      </c>
      <c r="MBW32" s="28">
        <f t="shared" si="223"/>
        <v>0</v>
      </c>
      <c r="MBX32" s="28">
        <f t="shared" si="223"/>
        <v>0</v>
      </c>
      <c r="MBY32" s="28">
        <f t="shared" si="223"/>
        <v>0</v>
      </c>
      <c r="MBZ32" s="28">
        <f t="shared" si="223"/>
        <v>0</v>
      </c>
      <c r="MCA32" s="28">
        <f t="shared" si="223"/>
        <v>0</v>
      </c>
      <c r="MCB32" s="28">
        <f t="shared" si="223"/>
        <v>0</v>
      </c>
      <c r="MCC32" s="28">
        <f t="shared" si="223"/>
        <v>0</v>
      </c>
      <c r="MCD32" s="28">
        <f t="shared" si="223"/>
        <v>0</v>
      </c>
      <c r="MCE32" s="28">
        <f t="shared" si="223"/>
        <v>0</v>
      </c>
      <c r="MCF32" s="28">
        <f t="shared" si="223"/>
        <v>0</v>
      </c>
      <c r="MCG32" s="28">
        <f t="shared" si="223"/>
        <v>0</v>
      </c>
      <c r="MCH32" s="28">
        <f t="shared" si="223"/>
        <v>0</v>
      </c>
      <c r="MCI32" s="28">
        <f t="shared" si="223"/>
        <v>0</v>
      </c>
      <c r="MCJ32" s="28">
        <f t="shared" si="223"/>
        <v>0</v>
      </c>
      <c r="MCK32" s="28">
        <f t="shared" si="223"/>
        <v>0</v>
      </c>
      <c r="MCL32" s="28">
        <f t="shared" si="223"/>
        <v>0</v>
      </c>
      <c r="MCM32" s="28">
        <f t="shared" si="223"/>
        <v>0</v>
      </c>
      <c r="MCN32" s="28">
        <f t="shared" si="223"/>
        <v>0</v>
      </c>
      <c r="MCO32" s="28">
        <f t="shared" si="223"/>
        <v>0</v>
      </c>
      <c r="MCP32" s="28">
        <f t="shared" si="223"/>
        <v>0</v>
      </c>
      <c r="MCQ32" s="28">
        <f t="shared" si="223"/>
        <v>0</v>
      </c>
      <c r="MCR32" s="28">
        <f t="shared" si="223"/>
        <v>0</v>
      </c>
      <c r="MCS32" s="28">
        <f t="shared" si="223"/>
        <v>0</v>
      </c>
      <c r="MCT32" s="28">
        <f t="shared" si="223"/>
        <v>0</v>
      </c>
      <c r="MCU32" s="28">
        <f t="shared" si="223"/>
        <v>0</v>
      </c>
      <c r="MCV32" s="28">
        <f t="shared" si="223"/>
        <v>0</v>
      </c>
      <c r="MCW32" s="28">
        <f t="shared" si="223"/>
        <v>0</v>
      </c>
      <c r="MCX32" s="28">
        <f t="shared" si="223"/>
        <v>0</v>
      </c>
      <c r="MCY32" s="28">
        <f t="shared" si="223"/>
        <v>0</v>
      </c>
      <c r="MCZ32" s="28">
        <f t="shared" si="223"/>
        <v>0</v>
      </c>
      <c r="MDA32" s="28">
        <f t="shared" si="223"/>
        <v>0</v>
      </c>
      <c r="MDB32" s="28">
        <f t="shared" si="223"/>
        <v>0</v>
      </c>
      <c r="MDC32" s="28">
        <f t="shared" si="223"/>
        <v>0</v>
      </c>
      <c r="MDD32" s="28">
        <f t="shared" si="223"/>
        <v>0</v>
      </c>
      <c r="MDE32" s="28">
        <f t="shared" si="223"/>
        <v>0</v>
      </c>
      <c r="MDF32" s="28">
        <f t="shared" si="223"/>
        <v>0</v>
      </c>
      <c r="MDG32" s="28">
        <f t="shared" si="223"/>
        <v>0</v>
      </c>
      <c r="MDH32" s="28">
        <f t="shared" si="223"/>
        <v>0</v>
      </c>
      <c r="MDI32" s="28">
        <f t="shared" si="223"/>
        <v>0</v>
      </c>
      <c r="MDJ32" s="28">
        <f t="shared" si="223"/>
        <v>0</v>
      </c>
      <c r="MDK32" s="28">
        <f t="shared" si="223"/>
        <v>0</v>
      </c>
      <c r="MDL32" s="28">
        <f t="shared" si="223"/>
        <v>0</v>
      </c>
      <c r="MDM32" s="28">
        <f t="shared" ref="MDM32:MFX32" si="224">IFERROR(MDM31/MDM$4,0)</f>
        <v>0</v>
      </c>
      <c r="MDN32" s="28">
        <f t="shared" si="224"/>
        <v>0</v>
      </c>
      <c r="MDO32" s="28">
        <f t="shared" si="224"/>
        <v>0</v>
      </c>
      <c r="MDP32" s="28">
        <f t="shared" si="224"/>
        <v>0</v>
      </c>
      <c r="MDQ32" s="28">
        <f t="shared" si="224"/>
        <v>0</v>
      </c>
      <c r="MDR32" s="28">
        <f t="shared" si="224"/>
        <v>0</v>
      </c>
      <c r="MDS32" s="28">
        <f t="shared" si="224"/>
        <v>0</v>
      </c>
      <c r="MDT32" s="28">
        <f t="shared" si="224"/>
        <v>0</v>
      </c>
      <c r="MDU32" s="28">
        <f t="shared" si="224"/>
        <v>0</v>
      </c>
      <c r="MDV32" s="28">
        <f t="shared" si="224"/>
        <v>0</v>
      </c>
      <c r="MDW32" s="28">
        <f t="shared" si="224"/>
        <v>0</v>
      </c>
      <c r="MDX32" s="28">
        <f t="shared" si="224"/>
        <v>0</v>
      </c>
      <c r="MDY32" s="28">
        <f t="shared" si="224"/>
        <v>0</v>
      </c>
      <c r="MDZ32" s="28">
        <f t="shared" si="224"/>
        <v>0</v>
      </c>
      <c r="MEA32" s="28">
        <f t="shared" si="224"/>
        <v>0</v>
      </c>
      <c r="MEB32" s="28">
        <f t="shared" si="224"/>
        <v>0</v>
      </c>
      <c r="MEC32" s="28">
        <f t="shared" si="224"/>
        <v>0</v>
      </c>
      <c r="MED32" s="28">
        <f t="shared" si="224"/>
        <v>0</v>
      </c>
      <c r="MEE32" s="28">
        <f t="shared" si="224"/>
        <v>0</v>
      </c>
      <c r="MEF32" s="28">
        <f t="shared" si="224"/>
        <v>0</v>
      </c>
      <c r="MEG32" s="28">
        <f t="shared" si="224"/>
        <v>0</v>
      </c>
      <c r="MEH32" s="28">
        <f t="shared" si="224"/>
        <v>0</v>
      </c>
      <c r="MEI32" s="28">
        <f t="shared" si="224"/>
        <v>0</v>
      </c>
      <c r="MEJ32" s="28">
        <f t="shared" si="224"/>
        <v>0</v>
      </c>
      <c r="MEK32" s="28">
        <f t="shared" si="224"/>
        <v>0</v>
      </c>
      <c r="MEL32" s="28">
        <f t="shared" si="224"/>
        <v>0</v>
      </c>
      <c r="MEM32" s="28">
        <f t="shared" si="224"/>
        <v>0</v>
      </c>
      <c r="MEN32" s="28">
        <f t="shared" si="224"/>
        <v>0</v>
      </c>
      <c r="MEO32" s="28">
        <f t="shared" si="224"/>
        <v>0</v>
      </c>
      <c r="MEP32" s="28">
        <f t="shared" si="224"/>
        <v>0</v>
      </c>
      <c r="MEQ32" s="28">
        <f t="shared" si="224"/>
        <v>0</v>
      </c>
      <c r="MER32" s="28">
        <f t="shared" si="224"/>
        <v>0</v>
      </c>
      <c r="MES32" s="28">
        <f t="shared" si="224"/>
        <v>0</v>
      </c>
      <c r="MET32" s="28">
        <f t="shared" si="224"/>
        <v>0</v>
      </c>
      <c r="MEU32" s="28">
        <f t="shared" si="224"/>
        <v>0</v>
      </c>
      <c r="MEV32" s="28">
        <f t="shared" si="224"/>
        <v>0</v>
      </c>
      <c r="MEW32" s="28">
        <f t="shared" si="224"/>
        <v>0</v>
      </c>
      <c r="MEX32" s="28">
        <f t="shared" si="224"/>
        <v>0</v>
      </c>
      <c r="MEY32" s="28">
        <f t="shared" si="224"/>
        <v>0</v>
      </c>
      <c r="MEZ32" s="28">
        <f t="shared" si="224"/>
        <v>0</v>
      </c>
      <c r="MFA32" s="28">
        <f t="shared" si="224"/>
        <v>0</v>
      </c>
      <c r="MFB32" s="28">
        <f t="shared" si="224"/>
        <v>0</v>
      </c>
      <c r="MFC32" s="28">
        <f t="shared" si="224"/>
        <v>0</v>
      </c>
      <c r="MFD32" s="28">
        <f t="shared" si="224"/>
        <v>0</v>
      </c>
      <c r="MFE32" s="28">
        <f t="shared" si="224"/>
        <v>0</v>
      </c>
      <c r="MFF32" s="28">
        <f t="shared" si="224"/>
        <v>0</v>
      </c>
      <c r="MFG32" s="28">
        <f t="shared" si="224"/>
        <v>0</v>
      </c>
      <c r="MFH32" s="28">
        <f t="shared" si="224"/>
        <v>0</v>
      </c>
      <c r="MFI32" s="28">
        <f t="shared" si="224"/>
        <v>0</v>
      </c>
      <c r="MFJ32" s="28">
        <f t="shared" si="224"/>
        <v>0</v>
      </c>
      <c r="MFK32" s="28">
        <f t="shared" si="224"/>
        <v>0</v>
      </c>
      <c r="MFL32" s="28">
        <f t="shared" si="224"/>
        <v>0</v>
      </c>
      <c r="MFM32" s="28">
        <f t="shared" si="224"/>
        <v>0</v>
      </c>
      <c r="MFN32" s="28">
        <f t="shared" si="224"/>
        <v>0</v>
      </c>
      <c r="MFO32" s="28">
        <f t="shared" si="224"/>
        <v>0</v>
      </c>
      <c r="MFP32" s="28">
        <f t="shared" si="224"/>
        <v>0</v>
      </c>
      <c r="MFQ32" s="28">
        <f t="shared" si="224"/>
        <v>0</v>
      </c>
      <c r="MFR32" s="28">
        <f t="shared" si="224"/>
        <v>0</v>
      </c>
      <c r="MFS32" s="28">
        <f t="shared" si="224"/>
        <v>0</v>
      </c>
      <c r="MFT32" s="28">
        <f t="shared" si="224"/>
        <v>0</v>
      </c>
      <c r="MFU32" s="28">
        <f t="shared" si="224"/>
        <v>0</v>
      </c>
      <c r="MFV32" s="28">
        <f t="shared" si="224"/>
        <v>0</v>
      </c>
      <c r="MFW32" s="28">
        <f t="shared" si="224"/>
        <v>0</v>
      </c>
      <c r="MFX32" s="28">
        <f t="shared" si="224"/>
        <v>0</v>
      </c>
      <c r="MFY32" s="28">
        <f t="shared" ref="MFY32:MIJ32" si="225">IFERROR(MFY31/MFY$4,0)</f>
        <v>0</v>
      </c>
      <c r="MFZ32" s="28">
        <f t="shared" si="225"/>
        <v>0</v>
      </c>
      <c r="MGA32" s="28">
        <f t="shared" si="225"/>
        <v>0</v>
      </c>
      <c r="MGB32" s="28">
        <f t="shared" si="225"/>
        <v>0</v>
      </c>
      <c r="MGC32" s="28">
        <f t="shared" si="225"/>
        <v>0</v>
      </c>
      <c r="MGD32" s="28">
        <f t="shared" si="225"/>
        <v>0</v>
      </c>
      <c r="MGE32" s="28">
        <f t="shared" si="225"/>
        <v>0</v>
      </c>
      <c r="MGF32" s="28">
        <f t="shared" si="225"/>
        <v>0</v>
      </c>
      <c r="MGG32" s="28">
        <f t="shared" si="225"/>
        <v>0</v>
      </c>
      <c r="MGH32" s="28">
        <f t="shared" si="225"/>
        <v>0</v>
      </c>
      <c r="MGI32" s="28">
        <f t="shared" si="225"/>
        <v>0</v>
      </c>
      <c r="MGJ32" s="28">
        <f t="shared" si="225"/>
        <v>0</v>
      </c>
      <c r="MGK32" s="28">
        <f t="shared" si="225"/>
        <v>0</v>
      </c>
      <c r="MGL32" s="28">
        <f t="shared" si="225"/>
        <v>0</v>
      </c>
      <c r="MGM32" s="28">
        <f t="shared" si="225"/>
        <v>0</v>
      </c>
      <c r="MGN32" s="28">
        <f t="shared" si="225"/>
        <v>0</v>
      </c>
      <c r="MGO32" s="28">
        <f t="shared" si="225"/>
        <v>0</v>
      </c>
      <c r="MGP32" s="28">
        <f t="shared" si="225"/>
        <v>0</v>
      </c>
      <c r="MGQ32" s="28">
        <f t="shared" si="225"/>
        <v>0</v>
      </c>
      <c r="MGR32" s="28">
        <f t="shared" si="225"/>
        <v>0</v>
      </c>
      <c r="MGS32" s="28">
        <f t="shared" si="225"/>
        <v>0</v>
      </c>
      <c r="MGT32" s="28">
        <f t="shared" si="225"/>
        <v>0</v>
      </c>
      <c r="MGU32" s="28">
        <f t="shared" si="225"/>
        <v>0</v>
      </c>
      <c r="MGV32" s="28">
        <f t="shared" si="225"/>
        <v>0</v>
      </c>
      <c r="MGW32" s="28">
        <f t="shared" si="225"/>
        <v>0</v>
      </c>
      <c r="MGX32" s="28">
        <f t="shared" si="225"/>
        <v>0</v>
      </c>
      <c r="MGY32" s="28">
        <f t="shared" si="225"/>
        <v>0</v>
      </c>
      <c r="MGZ32" s="28">
        <f t="shared" si="225"/>
        <v>0</v>
      </c>
      <c r="MHA32" s="28">
        <f t="shared" si="225"/>
        <v>0</v>
      </c>
      <c r="MHB32" s="28">
        <f t="shared" si="225"/>
        <v>0</v>
      </c>
      <c r="MHC32" s="28">
        <f t="shared" si="225"/>
        <v>0</v>
      </c>
      <c r="MHD32" s="28">
        <f t="shared" si="225"/>
        <v>0</v>
      </c>
      <c r="MHE32" s="28">
        <f t="shared" si="225"/>
        <v>0</v>
      </c>
      <c r="MHF32" s="28">
        <f t="shared" si="225"/>
        <v>0</v>
      </c>
      <c r="MHG32" s="28">
        <f t="shared" si="225"/>
        <v>0</v>
      </c>
      <c r="MHH32" s="28">
        <f t="shared" si="225"/>
        <v>0</v>
      </c>
      <c r="MHI32" s="28">
        <f t="shared" si="225"/>
        <v>0</v>
      </c>
      <c r="MHJ32" s="28">
        <f t="shared" si="225"/>
        <v>0</v>
      </c>
      <c r="MHK32" s="28">
        <f t="shared" si="225"/>
        <v>0</v>
      </c>
      <c r="MHL32" s="28">
        <f t="shared" si="225"/>
        <v>0</v>
      </c>
      <c r="MHM32" s="28">
        <f t="shared" si="225"/>
        <v>0</v>
      </c>
      <c r="MHN32" s="28">
        <f t="shared" si="225"/>
        <v>0</v>
      </c>
      <c r="MHO32" s="28">
        <f t="shared" si="225"/>
        <v>0</v>
      </c>
      <c r="MHP32" s="28">
        <f t="shared" si="225"/>
        <v>0</v>
      </c>
      <c r="MHQ32" s="28">
        <f t="shared" si="225"/>
        <v>0</v>
      </c>
      <c r="MHR32" s="28">
        <f t="shared" si="225"/>
        <v>0</v>
      </c>
      <c r="MHS32" s="28">
        <f t="shared" si="225"/>
        <v>0</v>
      </c>
      <c r="MHT32" s="28">
        <f t="shared" si="225"/>
        <v>0</v>
      </c>
      <c r="MHU32" s="28">
        <f t="shared" si="225"/>
        <v>0</v>
      </c>
      <c r="MHV32" s="28">
        <f t="shared" si="225"/>
        <v>0</v>
      </c>
      <c r="MHW32" s="28">
        <f t="shared" si="225"/>
        <v>0</v>
      </c>
      <c r="MHX32" s="28">
        <f t="shared" si="225"/>
        <v>0</v>
      </c>
      <c r="MHY32" s="28">
        <f t="shared" si="225"/>
        <v>0</v>
      </c>
      <c r="MHZ32" s="28">
        <f t="shared" si="225"/>
        <v>0</v>
      </c>
      <c r="MIA32" s="28">
        <f t="shared" si="225"/>
        <v>0</v>
      </c>
      <c r="MIB32" s="28">
        <f t="shared" si="225"/>
        <v>0</v>
      </c>
      <c r="MIC32" s="28">
        <f t="shared" si="225"/>
        <v>0</v>
      </c>
      <c r="MID32" s="28">
        <f t="shared" si="225"/>
        <v>0</v>
      </c>
      <c r="MIE32" s="28">
        <f t="shared" si="225"/>
        <v>0</v>
      </c>
      <c r="MIF32" s="28">
        <f t="shared" si="225"/>
        <v>0</v>
      </c>
      <c r="MIG32" s="28">
        <f t="shared" si="225"/>
        <v>0</v>
      </c>
      <c r="MIH32" s="28">
        <f t="shared" si="225"/>
        <v>0</v>
      </c>
      <c r="MII32" s="28">
        <f t="shared" si="225"/>
        <v>0</v>
      </c>
      <c r="MIJ32" s="28">
        <f t="shared" si="225"/>
        <v>0</v>
      </c>
      <c r="MIK32" s="28">
        <f t="shared" ref="MIK32:MKV32" si="226">IFERROR(MIK31/MIK$4,0)</f>
        <v>0</v>
      </c>
      <c r="MIL32" s="28">
        <f t="shared" si="226"/>
        <v>0</v>
      </c>
      <c r="MIM32" s="28">
        <f t="shared" si="226"/>
        <v>0</v>
      </c>
      <c r="MIN32" s="28">
        <f t="shared" si="226"/>
        <v>0</v>
      </c>
      <c r="MIO32" s="28">
        <f t="shared" si="226"/>
        <v>0</v>
      </c>
      <c r="MIP32" s="28">
        <f t="shared" si="226"/>
        <v>0</v>
      </c>
      <c r="MIQ32" s="28">
        <f t="shared" si="226"/>
        <v>0</v>
      </c>
      <c r="MIR32" s="28">
        <f t="shared" si="226"/>
        <v>0</v>
      </c>
      <c r="MIS32" s="28">
        <f t="shared" si="226"/>
        <v>0</v>
      </c>
      <c r="MIT32" s="28">
        <f t="shared" si="226"/>
        <v>0</v>
      </c>
      <c r="MIU32" s="28">
        <f t="shared" si="226"/>
        <v>0</v>
      </c>
      <c r="MIV32" s="28">
        <f t="shared" si="226"/>
        <v>0</v>
      </c>
      <c r="MIW32" s="28">
        <f t="shared" si="226"/>
        <v>0</v>
      </c>
      <c r="MIX32" s="28">
        <f t="shared" si="226"/>
        <v>0</v>
      </c>
      <c r="MIY32" s="28">
        <f t="shared" si="226"/>
        <v>0</v>
      </c>
      <c r="MIZ32" s="28">
        <f t="shared" si="226"/>
        <v>0</v>
      </c>
      <c r="MJA32" s="28">
        <f t="shared" si="226"/>
        <v>0</v>
      </c>
      <c r="MJB32" s="28">
        <f t="shared" si="226"/>
        <v>0</v>
      </c>
      <c r="MJC32" s="28">
        <f t="shared" si="226"/>
        <v>0</v>
      </c>
      <c r="MJD32" s="28">
        <f t="shared" si="226"/>
        <v>0</v>
      </c>
      <c r="MJE32" s="28">
        <f t="shared" si="226"/>
        <v>0</v>
      </c>
      <c r="MJF32" s="28">
        <f t="shared" si="226"/>
        <v>0</v>
      </c>
      <c r="MJG32" s="28">
        <f t="shared" si="226"/>
        <v>0</v>
      </c>
      <c r="MJH32" s="28">
        <f t="shared" si="226"/>
        <v>0</v>
      </c>
      <c r="MJI32" s="28">
        <f t="shared" si="226"/>
        <v>0</v>
      </c>
      <c r="MJJ32" s="28">
        <f t="shared" si="226"/>
        <v>0</v>
      </c>
      <c r="MJK32" s="28">
        <f t="shared" si="226"/>
        <v>0</v>
      </c>
      <c r="MJL32" s="28">
        <f t="shared" si="226"/>
        <v>0</v>
      </c>
      <c r="MJM32" s="28">
        <f t="shared" si="226"/>
        <v>0</v>
      </c>
      <c r="MJN32" s="28">
        <f t="shared" si="226"/>
        <v>0</v>
      </c>
      <c r="MJO32" s="28">
        <f t="shared" si="226"/>
        <v>0</v>
      </c>
      <c r="MJP32" s="28">
        <f t="shared" si="226"/>
        <v>0</v>
      </c>
      <c r="MJQ32" s="28">
        <f t="shared" si="226"/>
        <v>0</v>
      </c>
      <c r="MJR32" s="28">
        <f t="shared" si="226"/>
        <v>0</v>
      </c>
      <c r="MJS32" s="28">
        <f t="shared" si="226"/>
        <v>0</v>
      </c>
      <c r="MJT32" s="28">
        <f t="shared" si="226"/>
        <v>0</v>
      </c>
      <c r="MJU32" s="28">
        <f t="shared" si="226"/>
        <v>0</v>
      </c>
      <c r="MJV32" s="28">
        <f t="shared" si="226"/>
        <v>0</v>
      </c>
      <c r="MJW32" s="28">
        <f t="shared" si="226"/>
        <v>0</v>
      </c>
      <c r="MJX32" s="28">
        <f t="shared" si="226"/>
        <v>0</v>
      </c>
      <c r="MJY32" s="28">
        <f t="shared" si="226"/>
        <v>0</v>
      </c>
      <c r="MJZ32" s="28">
        <f t="shared" si="226"/>
        <v>0</v>
      </c>
      <c r="MKA32" s="28">
        <f t="shared" si="226"/>
        <v>0</v>
      </c>
      <c r="MKB32" s="28">
        <f t="shared" si="226"/>
        <v>0</v>
      </c>
      <c r="MKC32" s="28">
        <f t="shared" si="226"/>
        <v>0</v>
      </c>
      <c r="MKD32" s="28">
        <f t="shared" si="226"/>
        <v>0</v>
      </c>
      <c r="MKE32" s="28">
        <f t="shared" si="226"/>
        <v>0</v>
      </c>
      <c r="MKF32" s="28">
        <f t="shared" si="226"/>
        <v>0</v>
      </c>
      <c r="MKG32" s="28">
        <f t="shared" si="226"/>
        <v>0</v>
      </c>
      <c r="MKH32" s="28">
        <f t="shared" si="226"/>
        <v>0</v>
      </c>
      <c r="MKI32" s="28">
        <f t="shared" si="226"/>
        <v>0</v>
      </c>
      <c r="MKJ32" s="28">
        <f t="shared" si="226"/>
        <v>0</v>
      </c>
      <c r="MKK32" s="28">
        <f t="shared" si="226"/>
        <v>0</v>
      </c>
      <c r="MKL32" s="28">
        <f t="shared" si="226"/>
        <v>0</v>
      </c>
      <c r="MKM32" s="28">
        <f t="shared" si="226"/>
        <v>0</v>
      </c>
      <c r="MKN32" s="28">
        <f t="shared" si="226"/>
        <v>0</v>
      </c>
      <c r="MKO32" s="28">
        <f t="shared" si="226"/>
        <v>0</v>
      </c>
      <c r="MKP32" s="28">
        <f t="shared" si="226"/>
        <v>0</v>
      </c>
      <c r="MKQ32" s="28">
        <f t="shared" si="226"/>
        <v>0</v>
      </c>
      <c r="MKR32" s="28">
        <f t="shared" si="226"/>
        <v>0</v>
      </c>
      <c r="MKS32" s="28">
        <f t="shared" si="226"/>
        <v>0</v>
      </c>
      <c r="MKT32" s="28">
        <f t="shared" si="226"/>
        <v>0</v>
      </c>
      <c r="MKU32" s="28">
        <f t="shared" si="226"/>
        <v>0</v>
      </c>
      <c r="MKV32" s="28">
        <f t="shared" si="226"/>
        <v>0</v>
      </c>
      <c r="MKW32" s="28">
        <f t="shared" ref="MKW32:MNH32" si="227">IFERROR(MKW31/MKW$4,0)</f>
        <v>0</v>
      </c>
      <c r="MKX32" s="28">
        <f t="shared" si="227"/>
        <v>0</v>
      </c>
      <c r="MKY32" s="28">
        <f t="shared" si="227"/>
        <v>0</v>
      </c>
      <c r="MKZ32" s="28">
        <f t="shared" si="227"/>
        <v>0</v>
      </c>
      <c r="MLA32" s="28">
        <f t="shared" si="227"/>
        <v>0</v>
      </c>
      <c r="MLB32" s="28">
        <f t="shared" si="227"/>
        <v>0</v>
      </c>
      <c r="MLC32" s="28">
        <f t="shared" si="227"/>
        <v>0</v>
      </c>
      <c r="MLD32" s="28">
        <f t="shared" si="227"/>
        <v>0</v>
      </c>
      <c r="MLE32" s="28">
        <f t="shared" si="227"/>
        <v>0</v>
      </c>
      <c r="MLF32" s="28">
        <f t="shared" si="227"/>
        <v>0</v>
      </c>
      <c r="MLG32" s="28">
        <f t="shared" si="227"/>
        <v>0</v>
      </c>
      <c r="MLH32" s="28">
        <f t="shared" si="227"/>
        <v>0</v>
      </c>
      <c r="MLI32" s="28">
        <f t="shared" si="227"/>
        <v>0</v>
      </c>
      <c r="MLJ32" s="28">
        <f t="shared" si="227"/>
        <v>0</v>
      </c>
      <c r="MLK32" s="28">
        <f t="shared" si="227"/>
        <v>0</v>
      </c>
      <c r="MLL32" s="28">
        <f t="shared" si="227"/>
        <v>0</v>
      </c>
      <c r="MLM32" s="28">
        <f t="shared" si="227"/>
        <v>0</v>
      </c>
      <c r="MLN32" s="28">
        <f t="shared" si="227"/>
        <v>0</v>
      </c>
      <c r="MLO32" s="28">
        <f t="shared" si="227"/>
        <v>0</v>
      </c>
      <c r="MLP32" s="28">
        <f t="shared" si="227"/>
        <v>0</v>
      </c>
      <c r="MLQ32" s="28">
        <f t="shared" si="227"/>
        <v>0</v>
      </c>
      <c r="MLR32" s="28">
        <f t="shared" si="227"/>
        <v>0</v>
      </c>
      <c r="MLS32" s="28">
        <f t="shared" si="227"/>
        <v>0</v>
      </c>
      <c r="MLT32" s="28">
        <f t="shared" si="227"/>
        <v>0</v>
      </c>
      <c r="MLU32" s="28">
        <f t="shared" si="227"/>
        <v>0</v>
      </c>
      <c r="MLV32" s="28">
        <f t="shared" si="227"/>
        <v>0</v>
      </c>
      <c r="MLW32" s="28">
        <f t="shared" si="227"/>
        <v>0</v>
      </c>
      <c r="MLX32" s="28">
        <f t="shared" si="227"/>
        <v>0</v>
      </c>
      <c r="MLY32" s="28">
        <f t="shared" si="227"/>
        <v>0</v>
      </c>
      <c r="MLZ32" s="28">
        <f t="shared" si="227"/>
        <v>0</v>
      </c>
      <c r="MMA32" s="28">
        <f t="shared" si="227"/>
        <v>0</v>
      </c>
      <c r="MMB32" s="28">
        <f t="shared" si="227"/>
        <v>0</v>
      </c>
      <c r="MMC32" s="28">
        <f t="shared" si="227"/>
        <v>0</v>
      </c>
      <c r="MMD32" s="28">
        <f t="shared" si="227"/>
        <v>0</v>
      </c>
      <c r="MME32" s="28">
        <f t="shared" si="227"/>
        <v>0</v>
      </c>
      <c r="MMF32" s="28">
        <f t="shared" si="227"/>
        <v>0</v>
      </c>
      <c r="MMG32" s="28">
        <f t="shared" si="227"/>
        <v>0</v>
      </c>
      <c r="MMH32" s="28">
        <f t="shared" si="227"/>
        <v>0</v>
      </c>
      <c r="MMI32" s="28">
        <f t="shared" si="227"/>
        <v>0</v>
      </c>
      <c r="MMJ32" s="28">
        <f t="shared" si="227"/>
        <v>0</v>
      </c>
      <c r="MMK32" s="28">
        <f t="shared" si="227"/>
        <v>0</v>
      </c>
      <c r="MML32" s="28">
        <f t="shared" si="227"/>
        <v>0</v>
      </c>
      <c r="MMM32" s="28">
        <f t="shared" si="227"/>
        <v>0</v>
      </c>
      <c r="MMN32" s="28">
        <f t="shared" si="227"/>
        <v>0</v>
      </c>
      <c r="MMO32" s="28">
        <f t="shared" si="227"/>
        <v>0</v>
      </c>
      <c r="MMP32" s="28">
        <f t="shared" si="227"/>
        <v>0</v>
      </c>
      <c r="MMQ32" s="28">
        <f t="shared" si="227"/>
        <v>0</v>
      </c>
      <c r="MMR32" s="28">
        <f t="shared" si="227"/>
        <v>0</v>
      </c>
      <c r="MMS32" s="28">
        <f t="shared" si="227"/>
        <v>0</v>
      </c>
      <c r="MMT32" s="28">
        <f t="shared" si="227"/>
        <v>0</v>
      </c>
      <c r="MMU32" s="28">
        <f t="shared" si="227"/>
        <v>0</v>
      </c>
      <c r="MMV32" s="28">
        <f t="shared" si="227"/>
        <v>0</v>
      </c>
      <c r="MMW32" s="28">
        <f t="shared" si="227"/>
        <v>0</v>
      </c>
      <c r="MMX32" s="28">
        <f t="shared" si="227"/>
        <v>0</v>
      </c>
      <c r="MMY32" s="28">
        <f t="shared" si="227"/>
        <v>0</v>
      </c>
      <c r="MMZ32" s="28">
        <f t="shared" si="227"/>
        <v>0</v>
      </c>
      <c r="MNA32" s="28">
        <f t="shared" si="227"/>
        <v>0</v>
      </c>
      <c r="MNB32" s="28">
        <f t="shared" si="227"/>
        <v>0</v>
      </c>
      <c r="MNC32" s="28">
        <f t="shared" si="227"/>
        <v>0</v>
      </c>
      <c r="MND32" s="28">
        <f t="shared" si="227"/>
        <v>0</v>
      </c>
      <c r="MNE32" s="28">
        <f t="shared" si="227"/>
        <v>0</v>
      </c>
      <c r="MNF32" s="28">
        <f t="shared" si="227"/>
        <v>0</v>
      </c>
      <c r="MNG32" s="28">
        <f t="shared" si="227"/>
        <v>0</v>
      </c>
      <c r="MNH32" s="28">
        <f t="shared" si="227"/>
        <v>0</v>
      </c>
      <c r="MNI32" s="28">
        <f t="shared" ref="MNI32:MPT32" si="228">IFERROR(MNI31/MNI$4,0)</f>
        <v>0</v>
      </c>
      <c r="MNJ32" s="28">
        <f t="shared" si="228"/>
        <v>0</v>
      </c>
      <c r="MNK32" s="28">
        <f t="shared" si="228"/>
        <v>0</v>
      </c>
      <c r="MNL32" s="28">
        <f t="shared" si="228"/>
        <v>0</v>
      </c>
      <c r="MNM32" s="28">
        <f t="shared" si="228"/>
        <v>0</v>
      </c>
      <c r="MNN32" s="28">
        <f t="shared" si="228"/>
        <v>0</v>
      </c>
      <c r="MNO32" s="28">
        <f t="shared" si="228"/>
        <v>0</v>
      </c>
      <c r="MNP32" s="28">
        <f t="shared" si="228"/>
        <v>0</v>
      </c>
      <c r="MNQ32" s="28">
        <f t="shared" si="228"/>
        <v>0</v>
      </c>
      <c r="MNR32" s="28">
        <f t="shared" si="228"/>
        <v>0</v>
      </c>
      <c r="MNS32" s="28">
        <f t="shared" si="228"/>
        <v>0</v>
      </c>
      <c r="MNT32" s="28">
        <f t="shared" si="228"/>
        <v>0</v>
      </c>
      <c r="MNU32" s="28">
        <f t="shared" si="228"/>
        <v>0</v>
      </c>
      <c r="MNV32" s="28">
        <f t="shared" si="228"/>
        <v>0</v>
      </c>
      <c r="MNW32" s="28">
        <f t="shared" si="228"/>
        <v>0</v>
      </c>
      <c r="MNX32" s="28">
        <f t="shared" si="228"/>
        <v>0</v>
      </c>
      <c r="MNY32" s="28">
        <f t="shared" si="228"/>
        <v>0</v>
      </c>
      <c r="MNZ32" s="28">
        <f t="shared" si="228"/>
        <v>0</v>
      </c>
      <c r="MOA32" s="28">
        <f t="shared" si="228"/>
        <v>0</v>
      </c>
      <c r="MOB32" s="28">
        <f t="shared" si="228"/>
        <v>0</v>
      </c>
      <c r="MOC32" s="28">
        <f t="shared" si="228"/>
        <v>0</v>
      </c>
      <c r="MOD32" s="28">
        <f t="shared" si="228"/>
        <v>0</v>
      </c>
      <c r="MOE32" s="28">
        <f t="shared" si="228"/>
        <v>0</v>
      </c>
      <c r="MOF32" s="28">
        <f t="shared" si="228"/>
        <v>0</v>
      </c>
      <c r="MOG32" s="28">
        <f t="shared" si="228"/>
        <v>0</v>
      </c>
      <c r="MOH32" s="28">
        <f t="shared" si="228"/>
        <v>0</v>
      </c>
      <c r="MOI32" s="28">
        <f t="shared" si="228"/>
        <v>0</v>
      </c>
      <c r="MOJ32" s="28">
        <f t="shared" si="228"/>
        <v>0</v>
      </c>
      <c r="MOK32" s="28">
        <f t="shared" si="228"/>
        <v>0</v>
      </c>
      <c r="MOL32" s="28">
        <f t="shared" si="228"/>
        <v>0</v>
      </c>
      <c r="MOM32" s="28">
        <f t="shared" si="228"/>
        <v>0</v>
      </c>
      <c r="MON32" s="28">
        <f t="shared" si="228"/>
        <v>0</v>
      </c>
      <c r="MOO32" s="28">
        <f t="shared" si="228"/>
        <v>0</v>
      </c>
      <c r="MOP32" s="28">
        <f t="shared" si="228"/>
        <v>0</v>
      </c>
      <c r="MOQ32" s="28">
        <f t="shared" si="228"/>
        <v>0</v>
      </c>
      <c r="MOR32" s="28">
        <f t="shared" si="228"/>
        <v>0</v>
      </c>
      <c r="MOS32" s="28">
        <f t="shared" si="228"/>
        <v>0</v>
      </c>
      <c r="MOT32" s="28">
        <f t="shared" si="228"/>
        <v>0</v>
      </c>
      <c r="MOU32" s="28">
        <f t="shared" si="228"/>
        <v>0</v>
      </c>
      <c r="MOV32" s="28">
        <f t="shared" si="228"/>
        <v>0</v>
      </c>
      <c r="MOW32" s="28">
        <f t="shared" si="228"/>
        <v>0</v>
      </c>
      <c r="MOX32" s="28">
        <f t="shared" si="228"/>
        <v>0</v>
      </c>
      <c r="MOY32" s="28">
        <f t="shared" si="228"/>
        <v>0</v>
      </c>
      <c r="MOZ32" s="28">
        <f t="shared" si="228"/>
        <v>0</v>
      </c>
      <c r="MPA32" s="28">
        <f t="shared" si="228"/>
        <v>0</v>
      </c>
      <c r="MPB32" s="28">
        <f t="shared" si="228"/>
        <v>0</v>
      </c>
      <c r="MPC32" s="28">
        <f t="shared" si="228"/>
        <v>0</v>
      </c>
      <c r="MPD32" s="28">
        <f t="shared" si="228"/>
        <v>0</v>
      </c>
      <c r="MPE32" s="28">
        <f t="shared" si="228"/>
        <v>0</v>
      </c>
      <c r="MPF32" s="28">
        <f t="shared" si="228"/>
        <v>0</v>
      </c>
      <c r="MPG32" s="28">
        <f t="shared" si="228"/>
        <v>0</v>
      </c>
      <c r="MPH32" s="28">
        <f t="shared" si="228"/>
        <v>0</v>
      </c>
      <c r="MPI32" s="28">
        <f t="shared" si="228"/>
        <v>0</v>
      </c>
      <c r="MPJ32" s="28">
        <f t="shared" si="228"/>
        <v>0</v>
      </c>
      <c r="MPK32" s="28">
        <f t="shared" si="228"/>
        <v>0</v>
      </c>
      <c r="MPL32" s="28">
        <f t="shared" si="228"/>
        <v>0</v>
      </c>
      <c r="MPM32" s="28">
        <f t="shared" si="228"/>
        <v>0</v>
      </c>
      <c r="MPN32" s="28">
        <f t="shared" si="228"/>
        <v>0</v>
      </c>
      <c r="MPO32" s="28">
        <f t="shared" si="228"/>
        <v>0</v>
      </c>
      <c r="MPP32" s="28">
        <f t="shared" si="228"/>
        <v>0</v>
      </c>
      <c r="MPQ32" s="28">
        <f t="shared" si="228"/>
        <v>0</v>
      </c>
      <c r="MPR32" s="28">
        <f t="shared" si="228"/>
        <v>0</v>
      </c>
      <c r="MPS32" s="28">
        <f t="shared" si="228"/>
        <v>0</v>
      </c>
      <c r="MPT32" s="28">
        <f t="shared" si="228"/>
        <v>0</v>
      </c>
      <c r="MPU32" s="28">
        <f t="shared" ref="MPU32:MSF32" si="229">IFERROR(MPU31/MPU$4,0)</f>
        <v>0</v>
      </c>
      <c r="MPV32" s="28">
        <f t="shared" si="229"/>
        <v>0</v>
      </c>
      <c r="MPW32" s="28">
        <f t="shared" si="229"/>
        <v>0</v>
      </c>
      <c r="MPX32" s="28">
        <f t="shared" si="229"/>
        <v>0</v>
      </c>
      <c r="MPY32" s="28">
        <f t="shared" si="229"/>
        <v>0</v>
      </c>
      <c r="MPZ32" s="28">
        <f t="shared" si="229"/>
        <v>0</v>
      </c>
      <c r="MQA32" s="28">
        <f t="shared" si="229"/>
        <v>0</v>
      </c>
      <c r="MQB32" s="28">
        <f t="shared" si="229"/>
        <v>0</v>
      </c>
      <c r="MQC32" s="28">
        <f t="shared" si="229"/>
        <v>0</v>
      </c>
      <c r="MQD32" s="28">
        <f t="shared" si="229"/>
        <v>0</v>
      </c>
      <c r="MQE32" s="28">
        <f t="shared" si="229"/>
        <v>0</v>
      </c>
      <c r="MQF32" s="28">
        <f t="shared" si="229"/>
        <v>0</v>
      </c>
      <c r="MQG32" s="28">
        <f t="shared" si="229"/>
        <v>0</v>
      </c>
      <c r="MQH32" s="28">
        <f t="shared" si="229"/>
        <v>0</v>
      </c>
      <c r="MQI32" s="28">
        <f t="shared" si="229"/>
        <v>0</v>
      </c>
      <c r="MQJ32" s="28">
        <f t="shared" si="229"/>
        <v>0</v>
      </c>
      <c r="MQK32" s="28">
        <f t="shared" si="229"/>
        <v>0</v>
      </c>
      <c r="MQL32" s="28">
        <f t="shared" si="229"/>
        <v>0</v>
      </c>
      <c r="MQM32" s="28">
        <f t="shared" si="229"/>
        <v>0</v>
      </c>
      <c r="MQN32" s="28">
        <f t="shared" si="229"/>
        <v>0</v>
      </c>
      <c r="MQO32" s="28">
        <f t="shared" si="229"/>
        <v>0</v>
      </c>
      <c r="MQP32" s="28">
        <f t="shared" si="229"/>
        <v>0</v>
      </c>
      <c r="MQQ32" s="28">
        <f t="shared" si="229"/>
        <v>0</v>
      </c>
      <c r="MQR32" s="28">
        <f t="shared" si="229"/>
        <v>0</v>
      </c>
      <c r="MQS32" s="28">
        <f t="shared" si="229"/>
        <v>0</v>
      </c>
      <c r="MQT32" s="28">
        <f t="shared" si="229"/>
        <v>0</v>
      </c>
      <c r="MQU32" s="28">
        <f t="shared" si="229"/>
        <v>0</v>
      </c>
      <c r="MQV32" s="28">
        <f t="shared" si="229"/>
        <v>0</v>
      </c>
      <c r="MQW32" s="28">
        <f t="shared" si="229"/>
        <v>0</v>
      </c>
      <c r="MQX32" s="28">
        <f t="shared" si="229"/>
        <v>0</v>
      </c>
      <c r="MQY32" s="28">
        <f t="shared" si="229"/>
        <v>0</v>
      </c>
      <c r="MQZ32" s="28">
        <f t="shared" si="229"/>
        <v>0</v>
      </c>
      <c r="MRA32" s="28">
        <f t="shared" si="229"/>
        <v>0</v>
      </c>
      <c r="MRB32" s="28">
        <f t="shared" si="229"/>
        <v>0</v>
      </c>
      <c r="MRC32" s="28">
        <f t="shared" si="229"/>
        <v>0</v>
      </c>
      <c r="MRD32" s="28">
        <f t="shared" si="229"/>
        <v>0</v>
      </c>
      <c r="MRE32" s="28">
        <f t="shared" si="229"/>
        <v>0</v>
      </c>
      <c r="MRF32" s="28">
        <f t="shared" si="229"/>
        <v>0</v>
      </c>
      <c r="MRG32" s="28">
        <f t="shared" si="229"/>
        <v>0</v>
      </c>
      <c r="MRH32" s="28">
        <f t="shared" si="229"/>
        <v>0</v>
      </c>
      <c r="MRI32" s="28">
        <f t="shared" si="229"/>
        <v>0</v>
      </c>
      <c r="MRJ32" s="28">
        <f t="shared" si="229"/>
        <v>0</v>
      </c>
      <c r="MRK32" s="28">
        <f t="shared" si="229"/>
        <v>0</v>
      </c>
      <c r="MRL32" s="28">
        <f t="shared" si="229"/>
        <v>0</v>
      </c>
      <c r="MRM32" s="28">
        <f t="shared" si="229"/>
        <v>0</v>
      </c>
      <c r="MRN32" s="28">
        <f t="shared" si="229"/>
        <v>0</v>
      </c>
      <c r="MRO32" s="28">
        <f t="shared" si="229"/>
        <v>0</v>
      </c>
      <c r="MRP32" s="28">
        <f t="shared" si="229"/>
        <v>0</v>
      </c>
      <c r="MRQ32" s="28">
        <f t="shared" si="229"/>
        <v>0</v>
      </c>
      <c r="MRR32" s="28">
        <f t="shared" si="229"/>
        <v>0</v>
      </c>
      <c r="MRS32" s="28">
        <f t="shared" si="229"/>
        <v>0</v>
      </c>
      <c r="MRT32" s="28">
        <f t="shared" si="229"/>
        <v>0</v>
      </c>
      <c r="MRU32" s="28">
        <f t="shared" si="229"/>
        <v>0</v>
      </c>
      <c r="MRV32" s="28">
        <f t="shared" si="229"/>
        <v>0</v>
      </c>
      <c r="MRW32" s="28">
        <f t="shared" si="229"/>
        <v>0</v>
      </c>
      <c r="MRX32" s="28">
        <f t="shared" si="229"/>
        <v>0</v>
      </c>
      <c r="MRY32" s="28">
        <f t="shared" si="229"/>
        <v>0</v>
      </c>
      <c r="MRZ32" s="28">
        <f t="shared" si="229"/>
        <v>0</v>
      </c>
      <c r="MSA32" s="28">
        <f t="shared" si="229"/>
        <v>0</v>
      </c>
      <c r="MSB32" s="28">
        <f t="shared" si="229"/>
        <v>0</v>
      </c>
      <c r="MSC32" s="28">
        <f t="shared" si="229"/>
        <v>0</v>
      </c>
      <c r="MSD32" s="28">
        <f t="shared" si="229"/>
        <v>0</v>
      </c>
      <c r="MSE32" s="28">
        <f t="shared" si="229"/>
        <v>0</v>
      </c>
      <c r="MSF32" s="28">
        <f t="shared" si="229"/>
        <v>0</v>
      </c>
      <c r="MSG32" s="28">
        <f t="shared" ref="MSG32:MUR32" si="230">IFERROR(MSG31/MSG$4,0)</f>
        <v>0</v>
      </c>
      <c r="MSH32" s="28">
        <f t="shared" si="230"/>
        <v>0</v>
      </c>
      <c r="MSI32" s="28">
        <f t="shared" si="230"/>
        <v>0</v>
      </c>
      <c r="MSJ32" s="28">
        <f t="shared" si="230"/>
        <v>0</v>
      </c>
      <c r="MSK32" s="28">
        <f t="shared" si="230"/>
        <v>0</v>
      </c>
      <c r="MSL32" s="28">
        <f t="shared" si="230"/>
        <v>0</v>
      </c>
      <c r="MSM32" s="28">
        <f t="shared" si="230"/>
        <v>0</v>
      </c>
      <c r="MSN32" s="28">
        <f t="shared" si="230"/>
        <v>0</v>
      </c>
      <c r="MSO32" s="28">
        <f t="shared" si="230"/>
        <v>0</v>
      </c>
      <c r="MSP32" s="28">
        <f t="shared" si="230"/>
        <v>0</v>
      </c>
      <c r="MSQ32" s="28">
        <f t="shared" si="230"/>
        <v>0</v>
      </c>
      <c r="MSR32" s="28">
        <f t="shared" si="230"/>
        <v>0</v>
      </c>
      <c r="MSS32" s="28">
        <f t="shared" si="230"/>
        <v>0</v>
      </c>
      <c r="MST32" s="28">
        <f t="shared" si="230"/>
        <v>0</v>
      </c>
      <c r="MSU32" s="28">
        <f t="shared" si="230"/>
        <v>0</v>
      </c>
      <c r="MSV32" s="28">
        <f t="shared" si="230"/>
        <v>0</v>
      </c>
      <c r="MSW32" s="28">
        <f t="shared" si="230"/>
        <v>0</v>
      </c>
      <c r="MSX32" s="28">
        <f t="shared" si="230"/>
        <v>0</v>
      </c>
      <c r="MSY32" s="28">
        <f t="shared" si="230"/>
        <v>0</v>
      </c>
      <c r="MSZ32" s="28">
        <f t="shared" si="230"/>
        <v>0</v>
      </c>
      <c r="MTA32" s="28">
        <f t="shared" si="230"/>
        <v>0</v>
      </c>
      <c r="MTB32" s="28">
        <f t="shared" si="230"/>
        <v>0</v>
      </c>
      <c r="MTC32" s="28">
        <f t="shared" si="230"/>
        <v>0</v>
      </c>
      <c r="MTD32" s="28">
        <f t="shared" si="230"/>
        <v>0</v>
      </c>
      <c r="MTE32" s="28">
        <f t="shared" si="230"/>
        <v>0</v>
      </c>
      <c r="MTF32" s="28">
        <f t="shared" si="230"/>
        <v>0</v>
      </c>
      <c r="MTG32" s="28">
        <f t="shared" si="230"/>
        <v>0</v>
      </c>
      <c r="MTH32" s="28">
        <f t="shared" si="230"/>
        <v>0</v>
      </c>
      <c r="MTI32" s="28">
        <f t="shared" si="230"/>
        <v>0</v>
      </c>
      <c r="MTJ32" s="28">
        <f t="shared" si="230"/>
        <v>0</v>
      </c>
      <c r="MTK32" s="28">
        <f t="shared" si="230"/>
        <v>0</v>
      </c>
      <c r="MTL32" s="28">
        <f t="shared" si="230"/>
        <v>0</v>
      </c>
      <c r="MTM32" s="28">
        <f t="shared" si="230"/>
        <v>0</v>
      </c>
      <c r="MTN32" s="28">
        <f t="shared" si="230"/>
        <v>0</v>
      </c>
      <c r="MTO32" s="28">
        <f t="shared" si="230"/>
        <v>0</v>
      </c>
      <c r="MTP32" s="28">
        <f t="shared" si="230"/>
        <v>0</v>
      </c>
      <c r="MTQ32" s="28">
        <f t="shared" si="230"/>
        <v>0</v>
      </c>
      <c r="MTR32" s="28">
        <f t="shared" si="230"/>
        <v>0</v>
      </c>
      <c r="MTS32" s="28">
        <f t="shared" si="230"/>
        <v>0</v>
      </c>
      <c r="MTT32" s="28">
        <f t="shared" si="230"/>
        <v>0</v>
      </c>
      <c r="MTU32" s="28">
        <f t="shared" si="230"/>
        <v>0</v>
      </c>
      <c r="MTV32" s="28">
        <f t="shared" si="230"/>
        <v>0</v>
      </c>
      <c r="MTW32" s="28">
        <f t="shared" si="230"/>
        <v>0</v>
      </c>
      <c r="MTX32" s="28">
        <f t="shared" si="230"/>
        <v>0</v>
      </c>
      <c r="MTY32" s="28">
        <f t="shared" si="230"/>
        <v>0</v>
      </c>
      <c r="MTZ32" s="28">
        <f t="shared" si="230"/>
        <v>0</v>
      </c>
      <c r="MUA32" s="28">
        <f t="shared" si="230"/>
        <v>0</v>
      </c>
      <c r="MUB32" s="28">
        <f t="shared" si="230"/>
        <v>0</v>
      </c>
      <c r="MUC32" s="28">
        <f t="shared" si="230"/>
        <v>0</v>
      </c>
      <c r="MUD32" s="28">
        <f t="shared" si="230"/>
        <v>0</v>
      </c>
      <c r="MUE32" s="28">
        <f t="shared" si="230"/>
        <v>0</v>
      </c>
      <c r="MUF32" s="28">
        <f t="shared" si="230"/>
        <v>0</v>
      </c>
      <c r="MUG32" s="28">
        <f t="shared" si="230"/>
        <v>0</v>
      </c>
      <c r="MUH32" s="28">
        <f t="shared" si="230"/>
        <v>0</v>
      </c>
      <c r="MUI32" s="28">
        <f t="shared" si="230"/>
        <v>0</v>
      </c>
      <c r="MUJ32" s="28">
        <f t="shared" si="230"/>
        <v>0</v>
      </c>
      <c r="MUK32" s="28">
        <f t="shared" si="230"/>
        <v>0</v>
      </c>
      <c r="MUL32" s="28">
        <f t="shared" si="230"/>
        <v>0</v>
      </c>
      <c r="MUM32" s="28">
        <f t="shared" si="230"/>
        <v>0</v>
      </c>
      <c r="MUN32" s="28">
        <f t="shared" si="230"/>
        <v>0</v>
      </c>
      <c r="MUO32" s="28">
        <f t="shared" si="230"/>
        <v>0</v>
      </c>
      <c r="MUP32" s="28">
        <f t="shared" si="230"/>
        <v>0</v>
      </c>
      <c r="MUQ32" s="28">
        <f t="shared" si="230"/>
        <v>0</v>
      </c>
      <c r="MUR32" s="28">
        <f t="shared" si="230"/>
        <v>0</v>
      </c>
      <c r="MUS32" s="28">
        <f t="shared" ref="MUS32:MXD32" si="231">IFERROR(MUS31/MUS$4,0)</f>
        <v>0</v>
      </c>
      <c r="MUT32" s="28">
        <f t="shared" si="231"/>
        <v>0</v>
      </c>
      <c r="MUU32" s="28">
        <f t="shared" si="231"/>
        <v>0</v>
      </c>
      <c r="MUV32" s="28">
        <f t="shared" si="231"/>
        <v>0</v>
      </c>
      <c r="MUW32" s="28">
        <f t="shared" si="231"/>
        <v>0</v>
      </c>
      <c r="MUX32" s="28">
        <f t="shared" si="231"/>
        <v>0</v>
      </c>
      <c r="MUY32" s="28">
        <f t="shared" si="231"/>
        <v>0</v>
      </c>
      <c r="MUZ32" s="28">
        <f t="shared" si="231"/>
        <v>0</v>
      </c>
      <c r="MVA32" s="28">
        <f t="shared" si="231"/>
        <v>0</v>
      </c>
      <c r="MVB32" s="28">
        <f t="shared" si="231"/>
        <v>0</v>
      </c>
      <c r="MVC32" s="28">
        <f t="shared" si="231"/>
        <v>0</v>
      </c>
      <c r="MVD32" s="28">
        <f t="shared" si="231"/>
        <v>0</v>
      </c>
      <c r="MVE32" s="28">
        <f t="shared" si="231"/>
        <v>0</v>
      </c>
      <c r="MVF32" s="28">
        <f t="shared" si="231"/>
        <v>0</v>
      </c>
      <c r="MVG32" s="28">
        <f t="shared" si="231"/>
        <v>0</v>
      </c>
      <c r="MVH32" s="28">
        <f t="shared" si="231"/>
        <v>0</v>
      </c>
      <c r="MVI32" s="28">
        <f t="shared" si="231"/>
        <v>0</v>
      </c>
      <c r="MVJ32" s="28">
        <f t="shared" si="231"/>
        <v>0</v>
      </c>
      <c r="MVK32" s="28">
        <f t="shared" si="231"/>
        <v>0</v>
      </c>
      <c r="MVL32" s="28">
        <f t="shared" si="231"/>
        <v>0</v>
      </c>
      <c r="MVM32" s="28">
        <f t="shared" si="231"/>
        <v>0</v>
      </c>
      <c r="MVN32" s="28">
        <f t="shared" si="231"/>
        <v>0</v>
      </c>
      <c r="MVO32" s="28">
        <f t="shared" si="231"/>
        <v>0</v>
      </c>
      <c r="MVP32" s="28">
        <f t="shared" si="231"/>
        <v>0</v>
      </c>
      <c r="MVQ32" s="28">
        <f t="shared" si="231"/>
        <v>0</v>
      </c>
      <c r="MVR32" s="28">
        <f t="shared" si="231"/>
        <v>0</v>
      </c>
      <c r="MVS32" s="28">
        <f t="shared" si="231"/>
        <v>0</v>
      </c>
      <c r="MVT32" s="28">
        <f t="shared" si="231"/>
        <v>0</v>
      </c>
      <c r="MVU32" s="28">
        <f t="shared" si="231"/>
        <v>0</v>
      </c>
      <c r="MVV32" s="28">
        <f t="shared" si="231"/>
        <v>0</v>
      </c>
      <c r="MVW32" s="28">
        <f t="shared" si="231"/>
        <v>0</v>
      </c>
      <c r="MVX32" s="28">
        <f t="shared" si="231"/>
        <v>0</v>
      </c>
      <c r="MVY32" s="28">
        <f t="shared" si="231"/>
        <v>0</v>
      </c>
      <c r="MVZ32" s="28">
        <f t="shared" si="231"/>
        <v>0</v>
      </c>
      <c r="MWA32" s="28">
        <f t="shared" si="231"/>
        <v>0</v>
      </c>
      <c r="MWB32" s="28">
        <f t="shared" si="231"/>
        <v>0</v>
      </c>
      <c r="MWC32" s="28">
        <f t="shared" si="231"/>
        <v>0</v>
      </c>
      <c r="MWD32" s="28">
        <f t="shared" si="231"/>
        <v>0</v>
      </c>
      <c r="MWE32" s="28">
        <f t="shared" si="231"/>
        <v>0</v>
      </c>
      <c r="MWF32" s="28">
        <f t="shared" si="231"/>
        <v>0</v>
      </c>
      <c r="MWG32" s="28">
        <f t="shared" si="231"/>
        <v>0</v>
      </c>
      <c r="MWH32" s="28">
        <f t="shared" si="231"/>
        <v>0</v>
      </c>
      <c r="MWI32" s="28">
        <f t="shared" si="231"/>
        <v>0</v>
      </c>
      <c r="MWJ32" s="28">
        <f t="shared" si="231"/>
        <v>0</v>
      </c>
      <c r="MWK32" s="28">
        <f t="shared" si="231"/>
        <v>0</v>
      </c>
      <c r="MWL32" s="28">
        <f t="shared" si="231"/>
        <v>0</v>
      </c>
      <c r="MWM32" s="28">
        <f t="shared" si="231"/>
        <v>0</v>
      </c>
      <c r="MWN32" s="28">
        <f t="shared" si="231"/>
        <v>0</v>
      </c>
      <c r="MWO32" s="28">
        <f t="shared" si="231"/>
        <v>0</v>
      </c>
      <c r="MWP32" s="28">
        <f t="shared" si="231"/>
        <v>0</v>
      </c>
      <c r="MWQ32" s="28">
        <f t="shared" si="231"/>
        <v>0</v>
      </c>
      <c r="MWR32" s="28">
        <f t="shared" si="231"/>
        <v>0</v>
      </c>
      <c r="MWS32" s="28">
        <f t="shared" si="231"/>
        <v>0</v>
      </c>
      <c r="MWT32" s="28">
        <f t="shared" si="231"/>
        <v>0</v>
      </c>
      <c r="MWU32" s="28">
        <f t="shared" si="231"/>
        <v>0</v>
      </c>
      <c r="MWV32" s="28">
        <f t="shared" si="231"/>
        <v>0</v>
      </c>
      <c r="MWW32" s="28">
        <f t="shared" si="231"/>
        <v>0</v>
      </c>
      <c r="MWX32" s="28">
        <f t="shared" si="231"/>
        <v>0</v>
      </c>
      <c r="MWY32" s="28">
        <f t="shared" si="231"/>
        <v>0</v>
      </c>
      <c r="MWZ32" s="28">
        <f t="shared" si="231"/>
        <v>0</v>
      </c>
      <c r="MXA32" s="28">
        <f t="shared" si="231"/>
        <v>0</v>
      </c>
      <c r="MXB32" s="28">
        <f t="shared" si="231"/>
        <v>0</v>
      </c>
      <c r="MXC32" s="28">
        <f t="shared" si="231"/>
        <v>0</v>
      </c>
      <c r="MXD32" s="28">
        <f t="shared" si="231"/>
        <v>0</v>
      </c>
      <c r="MXE32" s="28">
        <f t="shared" ref="MXE32:MZP32" si="232">IFERROR(MXE31/MXE$4,0)</f>
        <v>0</v>
      </c>
      <c r="MXF32" s="28">
        <f t="shared" si="232"/>
        <v>0</v>
      </c>
      <c r="MXG32" s="28">
        <f t="shared" si="232"/>
        <v>0</v>
      </c>
      <c r="MXH32" s="28">
        <f t="shared" si="232"/>
        <v>0</v>
      </c>
      <c r="MXI32" s="28">
        <f t="shared" si="232"/>
        <v>0</v>
      </c>
      <c r="MXJ32" s="28">
        <f t="shared" si="232"/>
        <v>0</v>
      </c>
      <c r="MXK32" s="28">
        <f t="shared" si="232"/>
        <v>0</v>
      </c>
      <c r="MXL32" s="28">
        <f t="shared" si="232"/>
        <v>0</v>
      </c>
      <c r="MXM32" s="28">
        <f t="shared" si="232"/>
        <v>0</v>
      </c>
      <c r="MXN32" s="28">
        <f t="shared" si="232"/>
        <v>0</v>
      </c>
      <c r="MXO32" s="28">
        <f t="shared" si="232"/>
        <v>0</v>
      </c>
      <c r="MXP32" s="28">
        <f t="shared" si="232"/>
        <v>0</v>
      </c>
      <c r="MXQ32" s="28">
        <f t="shared" si="232"/>
        <v>0</v>
      </c>
      <c r="MXR32" s="28">
        <f t="shared" si="232"/>
        <v>0</v>
      </c>
      <c r="MXS32" s="28">
        <f t="shared" si="232"/>
        <v>0</v>
      </c>
      <c r="MXT32" s="28">
        <f t="shared" si="232"/>
        <v>0</v>
      </c>
      <c r="MXU32" s="28">
        <f t="shared" si="232"/>
        <v>0</v>
      </c>
      <c r="MXV32" s="28">
        <f t="shared" si="232"/>
        <v>0</v>
      </c>
      <c r="MXW32" s="28">
        <f t="shared" si="232"/>
        <v>0</v>
      </c>
      <c r="MXX32" s="28">
        <f t="shared" si="232"/>
        <v>0</v>
      </c>
      <c r="MXY32" s="28">
        <f t="shared" si="232"/>
        <v>0</v>
      </c>
      <c r="MXZ32" s="28">
        <f t="shared" si="232"/>
        <v>0</v>
      </c>
      <c r="MYA32" s="28">
        <f t="shared" si="232"/>
        <v>0</v>
      </c>
      <c r="MYB32" s="28">
        <f t="shared" si="232"/>
        <v>0</v>
      </c>
      <c r="MYC32" s="28">
        <f t="shared" si="232"/>
        <v>0</v>
      </c>
      <c r="MYD32" s="28">
        <f t="shared" si="232"/>
        <v>0</v>
      </c>
      <c r="MYE32" s="28">
        <f t="shared" si="232"/>
        <v>0</v>
      </c>
      <c r="MYF32" s="28">
        <f t="shared" si="232"/>
        <v>0</v>
      </c>
      <c r="MYG32" s="28">
        <f t="shared" si="232"/>
        <v>0</v>
      </c>
      <c r="MYH32" s="28">
        <f t="shared" si="232"/>
        <v>0</v>
      </c>
      <c r="MYI32" s="28">
        <f t="shared" si="232"/>
        <v>0</v>
      </c>
      <c r="MYJ32" s="28">
        <f t="shared" si="232"/>
        <v>0</v>
      </c>
      <c r="MYK32" s="28">
        <f t="shared" si="232"/>
        <v>0</v>
      </c>
      <c r="MYL32" s="28">
        <f t="shared" si="232"/>
        <v>0</v>
      </c>
      <c r="MYM32" s="28">
        <f t="shared" si="232"/>
        <v>0</v>
      </c>
      <c r="MYN32" s="28">
        <f t="shared" si="232"/>
        <v>0</v>
      </c>
      <c r="MYO32" s="28">
        <f t="shared" si="232"/>
        <v>0</v>
      </c>
      <c r="MYP32" s="28">
        <f t="shared" si="232"/>
        <v>0</v>
      </c>
      <c r="MYQ32" s="28">
        <f t="shared" si="232"/>
        <v>0</v>
      </c>
      <c r="MYR32" s="28">
        <f t="shared" si="232"/>
        <v>0</v>
      </c>
      <c r="MYS32" s="28">
        <f t="shared" si="232"/>
        <v>0</v>
      </c>
      <c r="MYT32" s="28">
        <f t="shared" si="232"/>
        <v>0</v>
      </c>
      <c r="MYU32" s="28">
        <f t="shared" si="232"/>
        <v>0</v>
      </c>
      <c r="MYV32" s="28">
        <f t="shared" si="232"/>
        <v>0</v>
      </c>
      <c r="MYW32" s="28">
        <f t="shared" si="232"/>
        <v>0</v>
      </c>
      <c r="MYX32" s="28">
        <f t="shared" si="232"/>
        <v>0</v>
      </c>
      <c r="MYY32" s="28">
        <f t="shared" si="232"/>
        <v>0</v>
      </c>
      <c r="MYZ32" s="28">
        <f t="shared" si="232"/>
        <v>0</v>
      </c>
      <c r="MZA32" s="28">
        <f t="shared" si="232"/>
        <v>0</v>
      </c>
      <c r="MZB32" s="28">
        <f t="shared" si="232"/>
        <v>0</v>
      </c>
      <c r="MZC32" s="28">
        <f t="shared" si="232"/>
        <v>0</v>
      </c>
      <c r="MZD32" s="28">
        <f t="shared" si="232"/>
        <v>0</v>
      </c>
      <c r="MZE32" s="28">
        <f t="shared" si="232"/>
        <v>0</v>
      </c>
      <c r="MZF32" s="28">
        <f t="shared" si="232"/>
        <v>0</v>
      </c>
      <c r="MZG32" s="28">
        <f t="shared" si="232"/>
        <v>0</v>
      </c>
      <c r="MZH32" s="28">
        <f t="shared" si="232"/>
        <v>0</v>
      </c>
      <c r="MZI32" s="28">
        <f t="shared" si="232"/>
        <v>0</v>
      </c>
      <c r="MZJ32" s="28">
        <f t="shared" si="232"/>
        <v>0</v>
      </c>
      <c r="MZK32" s="28">
        <f t="shared" si="232"/>
        <v>0</v>
      </c>
      <c r="MZL32" s="28">
        <f t="shared" si="232"/>
        <v>0</v>
      </c>
      <c r="MZM32" s="28">
        <f t="shared" si="232"/>
        <v>0</v>
      </c>
      <c r="MZN32" s="28">
        <f t="shared" si="232"/>
        <v>0</v>
      </c>
      <c r="MZO32" s="28">
        <f t="shared" si="232"/>
        <v>0</v>
      </c>
      <c r="MZP32" s="28">
        <f t="shared" si="232"/>
        <v>0</v>
      </c>
      <c r="MZQ32" s="28">
        <f t="shared" ref="MZQ32:NCB32" si="233">IFERROR(MZQ31/MZQ$4,0)</f>
        <v>0</v>
      </c>
      <c r="MZR32" s="28">
        <f t="shared" si="233"/>
        <v>0</v>
      </c>
      <c r="MZS32" s="28">
        <f t="shared" si="233"/>
        <v>0</v>
      </c>
      <c r="MZT32" s="28">
        <f t="shared" si="233"/>
        <v>0</v>
      </c>
      <c r="MZU32" s="28">
        <f t="shared" si="233"/>
        <v>0</v>
      </c>
      <c r="MZV32" s="28">
        <f t="shared" si="233"/>
        <v>0</v>
      </c>
      <c r="MZW32" s="28">
        <f t="shared" si="233"/>
        <v>0</v>
      </c>
      <c r="MZX32" s="28">
        <f t="shared" si="233"/>
        <v>0</v>
      </c>
      <c r="MZY32" s="28">
        <f t="shared" si="233"/>
        <v>0</v>
      </c>
      <c r="MZZ32" s="28">
        <f t="shared" si="233"/>
        <v>0</v>
      </c>
      <c r="NAA32" s="28">
        <f t="shared" si="233"/>
        <v>0</v>
      </c>
      <c r="NAB32" s="28">
        <f t="shared" si="233"/>
        <v>0</v>
      </c>
      <c r="NAC32" s="28">
        <f t="shared" si="233"/>
        <v>0</v>
      </c>
      <c r="NAD32" s="28">
        <f t="shared" si="233"/>
        <v>0</v>
      </c>
      <c r="NAE32" s="28">
        <f t="shared" si="233"/>
        <v>0</v>
      </c>
      <c r="NAF32" s="28">
        <f t="shared" si="233"/>
        <v>0</v>
      </c>
      <c r="NAG32" s="28">
        <f t="shared" si="233"/>
        <v>0</v>
      </c>
      <c r="NAH32" s="28">
        <f t="shared" si="233"/>
        <v>0</v>
      </c>
      <c r="NAI32" s="28">
        <f t="shared" si="233"/>
        <v>0</v>
      </c>
      <c r="NAJ32" s="28">
        <f t="shared" si="233"/>
        <v>0</v>
      </c>
      <c r="NAK32" s="28">
        <f t="shared" si="233"/>
        <v>0</v>
      </c>
      <c r="NAL32" s="28">
        <f t="shared" si="233"/>
        <v>0</v>
      </c>
      <c r="NAM32" s="28">
        <f t="shared" si="233"/>
        <v>0</v>
      </c>
      <c r="NAN32" s="28">
        <f t="shared" si="233"/>
        <v>0</v>
      </c>
      <c r="NAO32" s="28">
        <f t="shared" si="233"/>
        <v>0</v>
      </c>
      <c r="NAP32" s="28">
        <f t="shared" si="233"/>
        <v>0</v>
      </c>
      <c r="NAQ32" s="28">
        <f t="shared" si="233"/>
        <v>0</v>
      </c>
      <c r="NAR32" s="28">
        <f t="shared" si="233"/>
        <v>0</v>
      </c>
      <c r="NAS32" s="28">
        <f t="shared" si="233"/>
        <v>0</v>
      </c>
      <c r="NAT32" s="28">
        <f t="shared" si="233"/>
        <v>0</v>
      </c>
      <c r="NAU32" s="28">
        <f t="shared" si="233"/>
        <v>0</v>
      </c>
      <c r="NAV32" s="28">
        <f t="shared" si="233"/>
        <v>0</v>
      </c>
      <c r="NAW32" s="28">
        <f t="shared" si="233"/>
        <v>0</v>
      </c>
      <c r="NAX32" s="28">
        <f t="shared" si="233"/>
        <v>0</v>
      </c>
      <c r="NAY32" s="28">
        <f t="shared" si="233"/>
        <v>0</v>
      </c>
      <c r="NAZ32" s="28">
        <f t="shared" si="233"/>
        <v>0</v>
      </c>
      <c r="NBA32" s="28">
        <f t="shared" si="233"/>
        <v>0</v>
      </c>
      <c r="NBB32" s="28">
        <f t="shared" si="233"/>
        <v>0</v>
      </c>
      <c r="NBC32" s="28">
        <f t="shared" si="233"/>
        <v>0</v>
      </c>
      <c r="NBD32" s="28">
        <f t="shared" si="233"/>
        <v>0</v>
      </c>
      <c r="NBE32" s="28">
        <f t="shared" si="233"/>
        <v>0</v>
      </c>
      <c r="NBF32" s="28">
        <f t="shared" si="233"/>
        <v>0</v>
      </c>
      <c r="NBG32" s="28">
        <f t="shared" si="233"/>
        <v>0</v>
      </c>
      <c r="NBH32" s="28">
        <f t="shared" si="233"/>
        <v>0</v>
      </c>
      <c r="NBI32" s="28">
        <f t="shared" si="233"/>
        <v>0</v>
      </c>
      <c r="NBJ32" s="28">
        <f t="shared" si="233"/>
        <v>0</v>
      </c>
      <c r="NBK32" s="28">
        <f t="shared" si="233"/>
        <v>0</v>
      </c>
      <c r="NBL32" s="28">
        <f t="shared" si="233"/>
        <v>0</v>
      </c>
      <c r="NBM32" s="28">
        <f t="shared" si="233"/>
        <v>0</v>
      </c>
      <c r="NBN32" s="28">
        <f t="shared" si="233"/>
        <v>0</v>
      </c>
      <c r="NBO32" s="28">
        <f t="shared" si="233"/>
        <v>0</v>
      </c>
      <c r="NBP32" s="28">
        <f t="shared" si="233"/>
        <v>0</v>
      </c>
      <c r="NBQ32" s="28">
        <f t="shared" si="233"/>
        <v>0</v>
      </c>
      <c r="NBR32" s="28">
        <f t="shared" si="233"/>
        <v>0</v>
      </c>
      <c r="NBS32" s="28">
        <f t="shared" si="233"/>
        <v>0</v>
      </c>
      <c r="NBT32" s="28">
        <f t="shared" si="233"/>
        <v>0</v>
      </c>
      <c r="NBU32" s="28">
        <f t="shared" si="233"/>
        <v>0</v>
      </c>
      <c r="NBV32" s="28">
        <f t="shared" si="233"/>
        <v>0</v>
      </c>
      <c r="NBW32" s="28">
        <f t="shared" si="233"/>
        <v>0</v>
      </c>
      <c r="NBX32" s="28">
        <f t="shared" si="233"/>
        <v>0</v>
      </c>
      <c r="NBY32" s="28">
        <f t="shared" si="233"/>
        <v>0</v>
      </c>
      <c r="NBZ32" s="28">
        <f t="shared" si="233"/>
        <v>0</v>
      </c>
      <c r="NCA32" s="28">
        <f t="shared" si="233"/>
        <v>0</v>
      </c>
      <c r="NCB32" s="28">
        <f t="shared" si="233"/>
        <v>0</v>
      </c>
      <c r="NCC32" s="28">
        <f t="shared" ref="NCC32:NEN32" si="234">IFERROR(NCC31/NCC$4,0)</f>
        <v>0</v>
      </c>
      <c r="NCD32" s="28">
        <f t="shared" si="234"/>
        <v>0</v>
      </c>
      <c r="NCE32" s="28">
        <f t="shared" si="234"/>
        <v>0</v>
      </c>
      <c r="NCF32" s="28">
        <f t="shared" si="234"/>
        <v>0</v>
      </c>
      <c r="NCG32" s="28">
        <f t="shared" si="234"/>
        <v>0</v>
      </c>
      <c r="NCH32" s="28">
        <f t="shared" si="234"/>
        <v>0</v>
      </c>
      <c r="NCI32" s="28">
        <f t="shared" si="234"/>
        <v>0</v>
      </c>
      <c r="NCJ32" s="28">
        <f t="shared" si="234"/>
        <v>0</v>
      </c>
      <c r="NCK32" s="28">
        <f t="shared" si="234"/>
        <v>0</v>
      </c>
      <c r="NCL32" s="28">
        <f t="shared" si="234"/>
        <v>0</v>
      </c>
      <c r="NCM32" s="28">
        <f t="shared" si="234"/>
        <v>0</v>
      </c>
      <c r="NCN32" s="28">
        <f t="shared" si="234"/>
        <v>0</v>
      </c>
      <c r="NCO32" s="28">
        <f t="shared" si="234"/>
        <v>0</v>
      </c>
      <c r="NCP32" s="28">
        <f t="shared" si="234"/>
        <v>0</v>
      </c>
      <c r="NCQ32" s="28">
        <f t="shared" si="234"/>
        <v>0</v>
      </c>
      <c r="NCR32" s="28">
        <f t="shared" si="234"/>
        <v>0</v>
      </c>
      <c r="NCS32" s="28">
        <f t="shared" si="234"/>
        <v>0</v>
      </c>
      <c r="NCT32" s="28">
        <f t="shared" si="234"/>
        <v>0</v>
      </c>
      <c r="NCU32" s="28">
        <f t="shared" si="234"/>
        <v>0</v>
      </c>
      <c r="NCV32" s="28">
        <f t="shared" si="234"/>
        <v>0</v>
      </c>
      <c r="NCW32" s="28">
        <f t="shared" si="234"/>
        <v>0</v>
      </c>
      <c r="NCX32" s="28">
        <f t="shared" si="234"/>
        <v>0</v>
      </c>
      <c r="NCY32" s="28">
        <f t="shared" si="234"/>
        <v>0</v>
      </c>
      <c r="NCZ32" s="28">
        <f t="shared" si="234"/>
        <v>0</v>
      </c>
      <c r="NDA32" s="28">
        <f t="shared" si="234"/>
        <v>0</v>
      </c>
      <c r="NDB32" s="28">
        <f t="shared" si="234"/>
        <v>0</v>
      </c>
      <c r="NDC32" s="28">
        <f t="shared" si="234"/>
        <v>0</v>
      </c>
      <c r="NDD32" s="28">
        <f t="shared" si="234"/>
        <v>0</v>
      </c>
      <c r="NDE32" s="28">
        <f t="shared" si="234"/>
        <v>0</v>
      </c>
      <c r="NDF32" s="28">
        <f t="shared" si="234"/>
        <v>0</v>
      </c>
      <c r="NDG32" s="28">
        <f t="shared" si="234"/>
        <v>0</v>
      </c>
      <c r="NDH32" s="28">
        <f t="shared" si="234"/>
        <v>0</v>
      </c>
      <c r="NDI32" s="28">
        <f t="shared" si="234"/>
        <v>0</v>
      </c>
      <c r="NDJ32" s="28">
        <f t="shared" si="234"/>
        <v>0</v>
      </c>
      <c r="NDK32" s="28">
        <f t="shared" si="234"/>
        <v>0</v>
      </c>
      <c r="NDL32" s="28">
        <f t="shared" si="234"/>
        <v>0</v>
      </c>
      <c r="NDM32" s="28">
        <f t="shared" si="234"/>
        <v>0</v>
      </c>
      <c r="NDN32" s="28">
        <f t="shared" si="234"/>
        <v>0</v>
      </c>
      <c r="NDO32" s="28">
        <f t="shared" si="234"/>
        <v>0</v>
      </c>
      <c r="NDP32" s="28">
        <f t="shared" si="234"/>
        <v>0</v>
      </c>
      <c r="NDQ32" s="28">
        <f t="shared" si="234"/>
        <v>0</v>
      </c>
      <c r="NDR32" s="28">
        <f t="shared" si="234"/>
        <v>0</v>
      </c>
      <c r="NDS32" s="28">
        <f t="shared" si="234"/>
        <v>0</v>
      </c>
      <c r="NDT32" s="28">
        <f t="shared" si="234"/>
        <v>0</v>
      </c>
      <c r="NDU32" s="28">
        <f t="shared" si="234"/>
        <v>0</v>
      </c>
      <c r="NDV32" s="28">
        <f t="shared" si="234"/>
        <v>0</v>
      </c>
      <c r="NDW32" s="28">
        <f t="shared" si="234"/>
        <v>0</v>
      </c>
      <c r="NDX32" s="28">
        <f t="shared" si="234"/>
        <v>0</v>
      </c>
      <c r="NDY32" s="28">
        <f t="shared" si="234"/>
        <v>0</v>
      </c>
      <c r="NDZ32" s="28">
        <f t="shared" si="234"/>
        <v>0</v>
      </c>
      <c r="NEA32" s="28">
        <f t="shared" si="234"/>
        <v>0</v>
      </c>
      <c r="NEB32" s="28">
        <f t="shared" si="234"/>
        <v>0</v>
      </c>
      <c r="NEC32" s="28">
        <f t="shared" si="234"/>
        <v>0</v>
      </c>
      <c r="NED32" s="28">
        <f t="shared" si="234"/>
        <v>0</v>
      </c>
      <c r="NEE32" s="28">
        <f t="shared" si="234"/>
        <v>0</v>
      </c>
      <c r="NEF32" s="28">
        <f t="shared" si="234"/>
        <v>0</v>
      </c>
      <c r="NEG32" s="28">
        <f t="shared" si="234"/>
        <v>0</v>
      </c>
      <c r="NEH32" s="28">
        <f t="shared" si="234"/>
        <v>0</v>
      </c>
      <c r="NEI32" s="28">
        <f t="shared" si="234"/>
        <v>0</v>
      </c>
      <c r="NEJ32" s="28">
        <f t="shared" si="234"/>
        <v>0</v>
      </c>
      <c r="NEK32" s="28">
        <f t="shared" si="234"/>
        <v>0</v>
      </c>
      <c r="NEL32" s="28">
        <f t="shared" si="234"/>
        <v>0</v>
      </c>
      <c r="NEM32" s="28">
        <f t="shared" si="234"/>
        <v>0</v>
      </c>
      <c r="NEN32" s="28">
        <f t="shared" si="234"/>
        <v>0</v>
      </c>
      <c r="NEO32" s="28">
        <f t="shared" ref="NEO32:NGZ32" si="235">IFERROR(NEO31/NEO$4,0)</f>
        <v>0</v>
      </c>
      <c r="NEP32" s="28">
        <f t="shared" si="235"/>
        <v>0</v>
      </c>
      <c r="NEQ32" s="28">
        <f t="shared" si="235"/>
        <v>0</v>
      </c>
      <c r="NER32" s="28">
        <f t="shared" si="235"/>
        <v>0</v>
      </c>
      <c r="NES32" s="28">
        <f t="shared" si="235"/>
        <v>0</v>
      </c>
      <c r="NET32" s="28">
        <f t="shared" si="235"/>
        <v>0</v>
      </c>
      <c r="NEU32" s="28">
        <f t="shared" si="235"/>
        <v>0</v>
      </c>
      <c r="NEV32" s="28">
        <f t="shared" si="235"/>
        <v>0</v>
      </c>
      <c r="NEW32" s="28">
        <f t="shared" si="235"/>
        <v>0</v>
      </c>
      <c r="NEX32" s="28">
        <f t="shared" si="235"/>
        <v>0</v>
      </c>
      <c r="NEY32" s="28">
        <f t="shared" si="235"/>
        <v>0</v>
      </c>
      <c r="NEZ32" s="28">
        <f t="shared" si="235"/>
        <v>0</v>
      </c>
      <c r="NFA32" s="28">
        <f t="shared" si="235"/>
        <v>0</v>
      </c>
      <c r="NFB32" s="28">
        <f t="shared" si="235"/>
        <v>0</v>
      </c>
      <c r="NFC32" s="28">
        <f t="shared" si="235"/>
        <v>0</v>
      </c>
      <c r="NFD32" s="28">
        <f t="shared" si="235"/>
        <v>0</v>
      </c>
      <c r="NFE32" s="28">
        <f t="shared" si="235"/>
        <v>0</v>
      </c>
      <c r="NFF32" s="28">
        <f t="shared" si="235"/>
        <v>0</v>
      </c>
      <c r="NFG32" s="28">
        <f t="shared" si="235"/>
        <v>0</v>
      </c>
      <c r="NFH32" s="28">
        <f t="shared" si="235"/>
        <v>0</v>
      </c>
      <c r="NFI32" s="28">
        <f t="shared" si="235"/>
        <v>0</v>
      </c>
      <c r="NFJ32" s="28">
        <f t="shared" si="235"/>
        <v>0</v>
      </c>
      <c r="NFK32" s="28">
        <f t="shared" si="235"/>
        <v>0</v>
      </c>
      <c r="NFL32" s="28">
        <f t="shared" si="235"/>
        <v>0</v>
      </c>
      <c r="NFM32" s="28">
        <f t="shared" si="235"/>
        <v>0</v>
      </c>
      <c r="NFN32" s="28">
        <f t="shared" si="235"/>
        <v>0</v>
      </c>
      <c r="NFO32" s="28">
        <f t="shared" si="235"/>
        <v>0</v>
      </c>
      <c r="NFP32" s="28">
        <f t="shared" si="235"/>
        <v>0</v>
      </c>
      <c r="NFQ32" s="28">
        <f t="shared" si="235"/>
        <v>0</v>
      </c>
      <c r="NFR32" s="28">
        <f t="shared" si="235"/>
        <v>0</v>
      </c>
      <c r="NFS32" s="28">
        <f t="shared" si="235"/>
        <v>0</v>
      </c>
      <c r="NFT32" s="28">
        <f t="shared" si="235"/>
        <v>0</v>
      </c>
      <c r="NFU32" s="28">
        <f t="shared" si="235"/>
        <v>0</v>
      </c>
      <c r="NFV32" s="28">
        <f t="shared" si="235"/>
        <v>0</v>
      </c>
      <c r="NFW32" s="28">
        <f t="shared" si="235"/>
        <v>0</v>
      </c>
      <c r="NFX32" s="28">
        <f t="shared" si="235"/>
        <v>0</v>
      </c>
      <c r="NFY32" s="28">
        <f t="shared" si="235"/>
        <v>0</v>
      </c>
      <c r="NFZ32" s="28">
        <f t="shared" si="235"/>
        <v>0</v>
      </c>
      <c r="NGA32" s="28">
        <f t="shared" si="235"/>
        <v>0</v>
      </c>
      <c r="NGB32" s="28">
        <f t="shared" si="235"/>
        <v>0</v>
      </c>
      <c r="NGC32" s="28">
        <f t="shared" si="235"/>
        <v>0</v>
      </c>
      <c r="NGD32" s="28">
        <f t="shared" si="235"/>
        <v>0</v>
      </c>
      <c r="NGE32" s="28">
        <f t="shared" si="235"/>
        <v>0</v>
      </c>
      <c r="NGF32" s="28">
        <f t="shared" si="235"/>
        <v>0</v>
      </c>
      <c r="NGG32" s="28">
        <f t="shared" si="235"/>
        <v>0</v>
      </c>
      <c r="NGH32" s="28">
        <f t="shared" si="235"/>
        <v>0</v>
      </c>
      <c r="NGI32" s="28">
        <f t="shared" si="235"/>
        <v>0</v>
      </c>
      <c r="NGJ32" s="28">
        <f t="shared" si="235"/>
        <v>0</v>
      </c>
      <c r="NGK32" s="28">
        <f t="shared" si="235"/>
        <v>0</v>
      </c>
      <c r="NGL32" s="28">
        <f t="shared" si="235"/>
        <v>0</v>
      </c>
      <c r="NGM32" s="28">
        <f t="shared" si="235"/>
        <v>0</v>
      </c>
      <c r="NGN32" s="28">
        <f t="shared" si="235"/>
        <v>0</v>
      </c>
      <c r="NGO32" s="28">
        <f t="shared" si="235"/>
        <v>0</v>
      </c>
      <c r="NGP32" s="28">
        <f t="shared" si="235"/>
        <v>0</v>
      </c>
      <c r="NGQ32" s="28">
        <f t="shared" si="235"/>
        <v>0</v>
      </c>
      <c r="NGR32" s="28">
        <f t="shared" si="235"/>
        <v>0</v>
      </c>
      <c r="NGS32" s="28">
        <f t="shared" si="235"/>
        <v>0</v>
      </c>
      <c r="NGT32" s="28">
        <f t="shared" si="235"/>
        <v>0</v>
      </c>
      <c r="NGU32" s="28">
        <f t="shared" si="235"/>
        <v>0</v>
      </c>
      <c r="NGV32" s="28">
        <f t="shared" si="235"/>
        <v>0</v>
      </c>
      <c r="NGW32" s="28">
        <f t="shared" si="235"/>
        <v>0</v>
      </c>
      <c r="NGX32" s="28">
        <f t="shared" si="235"/>
        <v>0</v>
      </c>
      <c r="NGY32" s="28">
        <f t="shared" si="235"/>
        <v>0</v>
      </c>
      <c r="NGZ32" s="28">
        <f t="shared" si="235"/>
        <v>0</v>
      </c>
      <c r="NHA32" s="28">
        <f t="shared" ref="NHA32:NJL32" si="236">IFERROR(NHA31/NHA$4,0)</f>
        <v>0</v>
      </c>
      <c r="NHB32" s="28">
        <f t="shared" si="236"/>
        <v>0</v>
      </c>
      <c r="NHC32" s="28">
        <f t="shared" si="236"/>
        <v>0</v>
      </c>
      <c r="NHD32" s="28">
        <f t="shared" si="236"/>
        <v>0</v>
      </c>
      <c r="NHE32" s="28">
        <f t="shared" si="236"/>
        <v>0</v>
      </c>
      <c r="NHF32" s="28">
        <f t="shared" si="236"/>
        <v>0</v>
      </c>
      <c r="NHG32" s="28">
        <f t="shared" si="236"/>
        <v>0</v>
      </c>
      <c r="NHH32" s="28">
        <f t="shared" si="236"/>
        <v>0</v>
      </c>
      <c r="NHI32" s="28">
        <f t="shared" si="236"/>
        <v>0</v>
      </c>
      <c r="NHJ32" s="28">
        <f t="shared" si="236"/>
        <v>0</v>
      </c>
      <c r="NHK32" s="28">
        <f t="shared" si="236"/>
        <v>0</v>
      </c>
      <c r="NHL32" s="28">
        <f t="shared" si="236"/>
        <v>0</v>
      </c>
      <c r="NHM32" s="28">
        <f t="shared" si="236"/>
        <v>0</v>
      </c>
      <c r="NHN32" s="28">
        <f t="shared" si="236"/>
        <v>0</v>
      </c>
      <c r="NHO32" s="28">
        <f t="shared" si="236"/>
        <v>0</v>
      </c>
      <c r="NHP32" s="28">
        <f t="shared" si="236"/>
        <v>0</v>
      </c>
      <c r="NHQ32" s="28">
        <f t="shared" si="236"/>
        <v>0</v>
      </c>
      <c r="NHR32" s="28">
        <f t="shared" si="236"/>
        <v>0</v>
      </c>
      <c r="NHS32" s="28">
        <f t="shared" si="236"/>
        <v>0</v>
      </c>
      <c r="NHT32" s="28">
        <f t="shared" si="236"/>
        <v>0</v>
      </c>
      <c r="NHU32" s="28">
        <f t="shared" si="236"/>
        <v>0</v>
      </c>
      <c r="NHV32" s="28">
        <f t="shared" si="236"/>
        <v>0</v>
      </c>
      <c r="NHW32" s="28">
        <f t="shared" si="236"/>
        <v>0</v>
      </c>
      <c r="NHX32" s="28">
        <f t="shared" si="236"/>
        <v>0</v>
      </c>
      <c r="NHY32" s="28">
        <f t="shared" si="236"/>
        <v>0</v>
      </c>
      <c r="NHZ32" s="28">
        <f t="shared" si="236"/>
        <v>0</v>
      </c>
      <c r="NIA32" s="28">
        <f t="shared" si="236"/>
        <v>0</v>
      </c>
      <c r="NIB32" s="28">
        <f t="shared" si="236"/>
        <v>0</v>
      </c>
      <c r="NIC32" s="28">
        <f t="shared" si="236"/>
        <v>0</v>
      </c>
      <c r="NID32" s="28">
        <f t="shared" si="236"/>
        <v>0</v>
      </c>
      <c r="NIE32" s="28">
        <f t="shared" si="236"/>
        <v>0</v>
      </c>
      <c r="NIF32" s="28">
        <f t="shared" si="236"/>
        <v>0</v>
      </c>
      <c r="NIG32" s="28">
        <f t="shared" si="236"/>
        <v>0</v>
      </c>
      <c r="NIH32" s="28">
        <f t="shared" si="236"/>
        <v>0</v>
      </c>
      <c r="NII32" s="28">
        <f t="shared" si="236"/>
        <v>0</v>
      </c>
      <c r="NIJ32" s="28">
        <f t="shared" si="236"/>
        <v>0</v>
      </c>
      <c r="NIK32" s="28">
        <f t="shared" si="236"/>
        <v>0</v>
      </c>
      <c r="NIL32" s="28">
        <f t="shared" si="236"/>
        <v>0</v>
      </c>
      <c r="NIM32" s="28">
        <f t="shared" si="236"/>
        <v>0</v>
      </c>
      <c r="NIN32" s="28">
        <f t="shared" si="236"/>
        <v>0</v>
      </c>
      <c r="NIO32" s="28">
        <f t="shared" si="236"/>
        <v>0</v>
      </c>
      <c r="NIP32" s="28">
        <f t="shared" si="236"/>
        <v>0</v>
      </c>
      <c r="NIQ32" s="28">
        <f t="shared" si="236"/>
        <v>0</v>
      </c>
      <c r="NIR32" s="28">
        <f t="shared" si="236"/>
        <v>0</v>
      </c>
      <c r="NIS32" s="28">
        <f t="shared" si="236"/>
        <v>0</v>
      </c>
      <c r="NIT32" s="28">
        <f t="shared" si="236"/>
        <v>0</v>
      </c>
      <c r="NIU32" s="28">
        <f t="shared" si="236"/>
        <v>0</v>
      </c>
      <c r="NIV32" s="28">
        <f t="shared" si="236"/>
        <v>0</v>
      </c>
      <c r="NIW32" s="28">
        <f t="shared" si="236"/>
        <v>0</v>
      </c>
      <c r="NIX32" s="28">
        <f t="shared" si="236"/>
        <v>0</v>
      </c>
      <c r="NIY32" s="28">
        <f t="shared" si="236"/>
        <v>0</v>
      </c>
      <c r="NIZ32" s="28">
        <f t="shared" si="236"/>
        <v>0</v>
      </c>
      <c r="NJA32" s="28">
        <f t="shared" si="236"/>
        <v>0</v>
      </c>
      <c r="NJB32" s="28">
        <f t="shared" si="236"/>
        <v>0</v>
      </c>
      <c r="NJC32" s="28">
        <f t="shared" si="236"/>
        <v>0</v>
      </c>
      <c r="NJD32" s="28">
        <f t="shared" si="236"/>
        <v>0</v>
      </c>
      <c r="NJE32" s="28">
        <f t="shared" si="236"/>
        <v>0</v>
      </c>
      <c r="NJF32" s="28">
        <f t="shared" si="236"/>
        <v>0</v>
      </c>
      <c r="NJG32" s="28">
        <f t="shared" si="236"/>
        <v>0</v>
      </c>
      <c r="NJH32" s="28">
        <f t="shared" si="236"/>
        <v>0</v>
      </c>
      <c r="NJI32" s="28">
        <f t="shared" si="236"/>
        <v>0</v>
      </c>
      <c r="NJJ32" s="28">
        <f t="shared" si="236"/>
        <v>0</v>
      </c>
      <c r="NJK32" s="28">
        <f t="shared" si="236"/>
        <v>0</v>
      </c>
      <c r="NJL32" s="28">
        <f t="shared" si="236"/>
        <v>0</v>
      </c>
      <c r="NJM32" s="28">
        <f t="shared" ref="NJM32:NLX32" si="237">IFERROR(NJM31/NJM$4,0)</f>
        <v>0</v>
      </c>
      <c r="NJN32" s="28">
        <f t="shared" si="237"/>
        <v>0</v>
      </c>
      <c r="NJO32" s="28">
        <f t="shared" si="237"/>
        <v>0</v>
      </c>
      <c r="NJP32" s="28">
        <f t="shared" si="237"/>
        <v>0</v>
      </c>
      <c r="NJQ32" s="28">
        <f t="shared" si="237"/>
        <v>0</v>
      </c>
      <c r="NJR32" s="28">
        <f t="shared" si="237"/>
        <v>0</v>
      </c>
      <c r="NJS32" s="28">
        <f t="shared" si="237"/>
        <v>0</v>
      </c>
      <c r="NJT32" s="28">
        <f t="shared" si="237"/>
        <v>0</v>
      </c>
      <c r="NJU32" s="28">
        <f t="shared" si="237"/>
        <v>0</v>
      </c>
      <c r="NJV32" s="28">
        <f t="shared" si="237"/>
        <v>0</v>
      </c>
      <c r="NJW32" s="28">
        <f t="shared" si="237"/>
        <v>0</v>
      </c>
      <c r="NJX32" s="28">
        <f t="shared" si="237"/>
        <v>0</v>
      </c>
      <c r="NJY32" s="28">
        <f t="shared" si="237"/>
        <v>0</v>
      </c>
      <c r="NJZ32" s="28">
        <f t="shared" si="237"/>
        <v>0</v>
      </c>
      <c r="NKA32" s="28">
        <f t="shared" si="237"/>
        <v>0</v>
      </c>
      <c r="NKB32" s="28">
        <f t="shared" si="237"/>
        <v>0</v>
      </c>
      <c r="NKC32" s="28">
        <f t="shared" si="237"/>
        <v>0</v>
      </c>
      <c r="NKD32" s="28">
        <f t="shared" si="237"/>
        <v>0</v>
      </c>
      <c r="NKE32" s="28">
        <f t="shared" si="237"/>
        <v>0</v>
      </c>
      <c r="NKF32" s="28">
        <f t="shared" si="237"/>
        <v>0</v>
      </c>
      <c r="NKG32" s="28">
        <f t="shared" si="237"/>
        <v>0</v>
      </c>
      <c r="NKH32" s="28">
        <f t="shared" si="237"/>
        <v>0</v>
      </c>
      <c r="NKI32" s="28">
        <f t="shared" si="237"/>
        <v>0</v>
      </c>
      <c r="NKJ32" s="28">
        <f t="shared" si="237"/>
        <v>0</v>
      </c>
      <c r="NKK32" s="28">
        <f t="shared" si="237"/>
        <v>0</v>
      </c>
      <c r="NKL32" s="28">
        <f t="shared" si="237"/>
        <v>0</v>
      </c>
      <c r="NKM32" s="28">
        <f t="shared" si="237"/>
        <v>0</v>
      </c>
      <c r="NKN32" s="28">
        <f t="shared" si="237"/>
        <v>0</v>
      </c>
      <c r="NKO32" s="28">
        <f t="shared" si="237"/>
        <v>0</v>
      </c>
      <c r="NKP32" s="28">
        <f t="shared" si="237"/>
        <v>0</v>
      </c>
      <c r="NKQ32" s="28">
        <f t="shared" si="237"/>
        <v>0</v>
      </c>
      <c r="NKR32" s="28">
        <f t="shared" si="237"/>
        <v>0</v>
      </c>
      <c r="NKS32" s="28">
        <f t="shared" si="237"/>
        <v>0</v>
      </c>
      <c r="NKT32" s="28">
        <f t="shared" si="237"/>
        <v>0</v>
      </c>
      <c r="NKU32" s="28">
        <f t="shared" si="237"/>
        <v>0</v>
      </c>
      <c r="NKV32" s="28">
        <f t="shared" si="237"/>
        <v>0</v>
      </c>
      <c r="NKW32" s="28">
        <f t="shared" si="237"/>
        <v>0</v>
      </c>
      <c r="NKX32" s="28">
        <f t="shared" si="237"/>
        <v>0</v>
      </c>
      <c r="NKY32" s="28">
        <f t="shared" si="237"/>
        <v>0</v>
      </c>
      <c r="NKZ32" s="28">
        <f t="shared" si="237"/>
        <v>0</v>
      </c>
      <c r="NLA32" s="28">
        <f t="shared" si="237"/>
        <v>0</v>
      </c>
      <c r="NLB32" s="28">
        <f t="shared" si="237"/>
        <v>0</v>
      </c>
      <c r="NLC32" s="28">
        <f t="shared" si="237"/>
        <v>0</v>
      </c>
      <c r="NLD32" s="28">
        <f t="shared" si="237"/>
        <v>0</v>
      </c>
      <c r="NLE32" s="28">
        <f t="shared" si="237"/>
        <v>0</v>
      </c>
      <c r="NLF32" s="28">
        <f t="shared" si="237"/>
        <v>0</v>
      </c>
      <c r="NLG32" s="28">
        <f t="shared" si="237"/>
        <v>0</v>
      </c>
      <c r="NLH32" s="28">
        <f t="shared" si="237"/>
        <v>0</v>
      </c>
      <c r="NLI32" s="28">
        <f t="shared" si="237"/>
        <v>0</v>
      </c>
      <c r="NLJ32" s="28">
        <f t="shared" si="237"/>
        <v>0</v>
      </c>
      <c r="NLK32" s="28">
        <f t="shared" si="237"/>
        <v>0</v>
      </c>
      <c r="NLL32" s="28">
        <f t="shared" si="237"/>
        <v>0</v>
      </c>
      <c r="NLM32" s="28">
        <f t="shared" si="237"/>
        <v>0</v>
      </c>
      <c r="NLN32" s="28">
        <f t="shared" si="237"/>
        <v>0</v>
      </c>
      <c r="NLO32" s="28">
        <f t="shared" si="237"/>
        <v>0</v>
      </c>
      <c r="NLP32" s="28">
        <f t="shared" si="237"/>
        <v>0</v>
      </c>
      <c r="NLQ32" s="28">
        <f t="shared" si="237"/>
        <v>0</v>
      </c>
      <c r="NLR32" s="28">
        <f t="shared" si="237"/>
        <v>0</v>
      </c>
      <c r="NLS32" s="28">
        <f t="shared" si="237"/>
        <v>0</v>
      </c>
      <c r="NLT32" s="28">
        <f t="shared" si="237"/>
        <v>0</v>
      </c>
      <c r="NLU32" s="28">
        <f t="shared" si="237"/>
        <v>0</v>
      </c>
      <c r="NLV32" s="28">
        <f t="shared" si="237"/>
        <v>0</v>
      </c>
      <c r="NLW32" s="28">
        <f t="shared" si="237"/>
        <v>0</v>
      </c>
      <c r="NLX32" s="28">
        <f t="shared" si="237"/>
        <v>0</v>
      </c>
      <c r="NLY32" s="28">
        <f t="shared" ref="NLY32:NOJ32" si="238">IFERROR(NLY31/NLY$4,0)</f>
        <v>0</v>
      </c>
      <c r="NLZ32" s="28">
        <f t="shared" si="238"/>
        <v>0</v>
      </c>
      <c r="NMA32" s="28">
        <f t="shared" si="238"/>
        <v>0</v>
      </c>
      <c r="NMB32" s="28">
        <f t="shared" si="238"/>
        <v>0</v>
      </c>
      <c r="NMC32" s="28">
        <f t="shared" si="238"/>
        <v>0</v>
      </c>
      <c r="NMD32" s="28">
        <f t="shared" si="238"/>
        <v>0</v>
      </c>
      <c r="NME32" s="28">
        <f t="shared" si="238"/>
        <v>0</v>
      </c>
      <c r="NMF32" s="28">
        <f t="shared" si="238"/>
        <v>0</v>
      </c>
      <c r="NMG32" s="28">
        <f t="shared" si="238"/>
        <v>0</v>
      </c>
      <c r="NMH32" s="28">
        <f t="shared" si="238"/>
        <v>0</v>
      </c>
      <c r="NMI32" s="28">
        <f t="shared" si="238"/>
        <v>0</v>
      </c>
      <c r="NMJ32" s="28">
        <f t="shared" si="238"/>
        <v>0</v>
      </c>
      <c r="NMK32" s="28">
        <f t="shared" si="238"/>
        <v>0</v>
      </c>
      <c r="NML32" s="28">
        <f t="shared" si="238"/>
        <v>0</v>
      </c>
      <c r="NMM32" s="28">
        <f t="shared" si="238"/>
        <v>0</v>
      </c>
      <c r="NMN32" s="28">
        <f t="shared" si="238"/>
        <v>0</v>
      </c>
      <c r="NMO32" s="28">
        <f t="shared" si="238"/>
        <v>0</v>
      </c>
      <c r="NMP32" s="28">
        <f t="shared" si="238"/>
        <v>0</v>
      </c>
      <c r="NMQ32" s="28">
        <f t="shared" si="238"/>
        <v>0</v>
      </c>
      <c r="NMR32" s="28">
        <f t="shared" si="238"/>
        <v>0</v>
      </c>
      <c r="NMS32" s="28">
        <f t="shared" si="238"/>
        <v>0</v>
      </c>
      <c r="NMT32" s="28">
        <f t="shared" si="238"/>
        <v>0</v>
      </c>
      <c r="NMU32" s="28">
        <f t="shared" si="238"/>
        <v>0</v>
      </c>
      <c r="NMV32" s="28">
        <f t="shared" si="238"/>
        <v>0</v>
      </c>
      <c r="NMW32" s="28">
        <f t="shared" si="238"/>
        <v>0</v>
      </c>
      <c r="NMX32" s="28">
        <f t="shared" si="238"/>
        <v>0</v>
      </c>
      <c r="NMY32" s="28">
        <f t="shared" si="238"/>
        <v>0</v>
      </c>
      <c r="NMZ32" s="28">
        <f t="shared" si="238"/>
        <v>0</v>
      </c>
      <c r="NNA32" s="28">
        <f t="shared" si="238"/>
        <v>0</v>
      </c>
      <c r="NNB32" s="28">
        <f t="shared" si="238"/>
        <v>0</v>
      </c>
      <c r="NNC32" s="28">
        <f t="shared" si="238"/>
        <v>0</v>
      </c>
      <c r="NND32" s="28">
        <f t="shared" si="238"/>
        <v>0</v>
      </c>
      <c r="NNE32" s="28">
        <f t="shared" si="238"/>
        <v>0</v>
      </c>
      <c r="NNF32" s="28">
        <f t="shared" si="238"/>
        <v>0</v>
      </c>
      <c r="NNG32" s="28">
        <f t="shared" si="238"/>
        <v>0</v>
      </c>
      <c r="NNH32" s="28">
        <f t="shared" si="238"/>
        <v>0</v>
      </c>
      <c r="NNI32" s="28">
        <f t="shared" si="238"/>
        <v>0</v>
      </c>
      <c r="NNJ32" s="28">
        <f t="shared" si="238"/>
        <v>0</v>
      </c>
      <c r="NNK32" s="28">
        <f t="shared" si="238"/>
        <v>0</v>
      </c>
      <c r="NNL32" s="28">
        <f t="shared" si="238"/>
        <v>0</v>
      </c>
      <c r="NNM32" s="28">
        <f t="shared" si="238"/>
        <v>0</v>
      </c>
      <c r="NNN32" s="28">
        <f t="shared" si="238"/>
        <v>0</v>
      </c>
      <c r="NNO32" s="28">
        <f t="shared" si="238"/>
        <v>0</v>
      </c>
      <c r="NNP32" s="28">
        <f t="shared" si="238"/>
        <v>0</v>
      </c>
      <c r="NNQ32" s="28">
        <f t="shared" si="238"/>
        <v>0</v>
      </c>
      <c r="NNR32" s="28">
        <f t="shared" si="238"/>
        <v>0</v>
      </c>
      <c r="NNS32" s="28">
        <f t="shared" si="238"/>
        <v>0</v>
      </c>
      <c r="NNT32" s="28">
        <f t="shared" si="238"/>
        <v>0</v>
      </c>
      <c r="NNU32" s="28">
        <f t="shared" si="238"/>
        <v>0</v>
      </c>
      <c r="NNV32" s="28">
        <f t="shared" si="238"/>
        <v>0</v>
      </c>
      <c r="NNW32" s="28">
        <f t="shared" si="238"/>
        <v>0</v>
      </c>
      <c r="NNX32" s="28">
        <f t="shared" si="238"/>
        <v>0</v>
      </c>
      <c r="NNY32" s="28">
        <f t="shared" si="238"/>
        <v>0</v>
      </c>
      <c r="NNZ32" s="28">
        <f t="shared" si="238"/>
        <v>0</v>
      </c>
      <c r="NOA32" s="28">
        <f t="shared" si="238"/>
        <v>0</v>
      </c>
      <c r="NOB32" s="28">
        <f t="shared" si="238"/>
        <v>0</v>
      </c>
      <c r="NOC32" s="28">
        <f t="shared" si="238"/>
        <v>0</v>
      </c>
      <c r="NOD32" s="28">
        <f t="shared" si="238"/>
        <v>0</v>
      </c>
      <c r="NOE32" s="28">
        <f t="shared" si="238"/>
        <v>0</v>
      </c>
      <c r="NOF32" s="28">
        <f t="shared" si="238"/>
        <v>0</v>
      </c>
      <c r="NOG32" s="28">
        <f t="shared" si="238"/>
        <v>0</v>
      </c>
      <c r="NOH32" s="28">
        <f t="shared" si="238"/>
        <v>0</v>
      </c>
      <c r="NOI32" s="28">
        <f t="shared" si="238"/>
        <v>0</v>
      </c>
      <c r="NOJ32" s="28">
        <f t="shared" si="238"/>
        <v>0</v>
      </c>
      <c r="NOK32" s="28">
        <f t="shared" ref="NOK32:NQV32" si="239">IFERROR(NOK31/NOK$4,0)</f>
        <v>0</v>
      </c>
      <c r="NOL32" s="28">
        <f t="shared" si="239"/>
        <v>0</v>
      </c>
      <c r="NOM32" s="28">
        <f t="shared" si="239"/>
        <v>0</v>
      </c>
      <c r="NON32" s="28">
        <f t="shared" si="239"/>
        <v>0</v>
      </c>
      <c r="NOO32" s="28">
        <f t="shared" si="239"/>
        <v>0</v>
      </c>
      <c r="NOP32" s="28">
        <f t="shared" si="239"/>
        <v>0</v>
      </c>
      <c r="NOQ32" s="28">
        <f t="shared" si="239"/>
        <v>0</v>
      </c>
      <c r="NOR32" s="28">
        <f t="shared" si="239"/>
        <v>0</v>
      </c>
      <c r="NOS32" s="28">
        <f t="shared" si="239"/>
        <v>0</v>
      </c>
      <c r="NOT32" s="28">
        <f t="shared" si="239"/>
        <v>0</v>
      </c>
      <c r="NOU32" s="28">
        <f t="shared" si="239"/>
        <v>0</v>
      </c>
      <c r="NOV32" s="28">
        <f t="shared" si="239"/>
        <v>0</v>
      </c>
      <c r="NOW32" s="28">
        <f t="shared" si="239"/>
        <v>0</v>
      </c>
      <c r="NOX32" s="28">
        <f t="shared" si="239"/>
        <v>0</v>
      </c>
      <c r="NOY32" s="28">
        <f t="shared" si="239"/>
        <v>0</v>
      </c>
      <c r="NOZ32" s="28">
        <f t="shared" si="239"/>
        <v>0</v>
      </c>
      <c r="NPA32" s="28">
        <f t="shared" si="239"/>
        <v>0</v>
      </c>
      <c r="NPB32" s="28">
        <f t="shared" si="239"/>
        <v>0</v>
      </c>
      <c r="NPC32" s="28">
        <f t="shared" si="239"/>
        <v>0</v>
      </c>
      <c r="NPD32" s="28">
        <f t="shared" si="239"/>
        <v>0</v>
      </c>
      <c r="NPE32" s="28">
        <f t="shared" si="239"/>
        <v>0</v>
      </c>
      <c r="NPF32" s="28">
        <f t="shared" si="239"/>
        <v>0</v>
      </c>
      <c r="NPG32" s="28">
        <f t="shared" si="239"/>
        <v>0</v>
      </c>
      <c r="NPH32" s="28">
        <f t="shared" si="239"/>
        <v>0</v>
      </c>
      <c r="NPI32" s="28">
        <f t="shared" si="239"/>
        <v>0</v>
      </c>
      <c r="NPJ32" s="28">
        <f t="shared" si="239"/>
        <v>0</v>
      </c>
      <c r="NPK32" s="28">
        <f t="shared" si="239"/>
        <v>0</v>
      </c>
      <c r="NPL32" s="28">
        <f t="shared" si="239"/>
        <v>0</v>
      </c>
      <c r="NPM32" s="28">
        <f t="shared" si="239"/>
        <v>0</v>
      </c>
      <c r="NPN32" s="28">
        <f t="shared" si="239"/>
        <v>0</v>
      </c>
      <c r="NPO32" s="28">
        <f t="shared" si="239"/>
        <v>0</v>
      </c>
      <c r="NPP32" s="28">
        <f t="shared" si="239"/>
        <v>0</v>
      </c>
      <c r="NPQ32" s="28">
        <f t="shared" si="239"/>
        <v>0</v>
      </c>
      <c r="NPR32" s="28">
        <f t="shared" si="239"/>
        <v>0</v>
      </c>
      <c r="NPS32" s="28">
        <f t="shared" si="239"/>
        <v>0</v>
      </c>
      <c r="NPT32" s="28">
        <f t="shared" si="239"/>
        <v>0</v>
      </c>
      <c r="NPU32" s="28">
        <f t="shared" si="239"/>
        <v>0</v>
      </c>
      <c r="NPV32" s="28">
        <f t="shared" si="239"/>
        <v>0</v>
      </c>
      <c r="NPW32" s="28">
        <f t="shared" si="239"/>
        <v>0</v>
      </c>
      <c r="NPX32" s="28">
        <f t="shared" si="239"/>
        <v>0</v>
      </c>
      <c r="NPY32" s="28">
        <f t="shared" si="239"/>
        <v>0</v>
      </c>
      <c r="NPZ32" s="28">
        <f t="shared" si="239"/>
        <v>0</v>
      </c>
      <c r="NQA32" s="28">
        <f t="shared" si="239"/>
        <v>0</v>
      </c>
      <c r="NQB32" s="28">
        <f t="shared" si="239"/>
        <v>0</v>
      </c>
      <c r="NQC32" s="28">
        <f t="shared" si="239"/>
        <v>0</v>
      </c>
      <c r="NQD32" s="28">
        <f t="shared" si="239"/>
        <v>0</v>
      </c>
      <c r="NQE32" s="28">
        <f t="shared" si="239"/>
        <v>0</v>
      </c>
      <c r="NQF32" s="28">
        <f t="shared" si="239"/>
        <v>0</v>
      </c>
      <c r="NQG32" s="28">
        <f t="shared" si="239"/>
        <v>0</v>
      </c>
      <c r="NQH32" s="28">
        <f t="shared" si="239"/>
        <v>0</v>
      </c>
      <c r="NQI32" s="28">
        <f t="shared" si="239"/>
        <v>0</v>
      </c>
      <c r="NQJ32" s="28">
        <f t="shared" si="239"/>
        <v>0</v>
      </c>
      <c r="NQK32" s="28">
        <f t="shared" si="239"/>
        <v>0</v>
      </c>
      <c r="NQL32" s="28">
        <f t="shared" si="239"/>
        <v>0</v>
      </c>
      <c r="NQM32" s="28">
        <f t="shared" si="239"/>
        <v>0</v>
      </c>
      <c r="NQN32" s="28">
        <f t="shared" si="239"/>
        <v>0</v>
      </c>
      <c r="NQO32" s="28">
        <f t="shared" si="239"/>
        <v>0</v>
      </c>
      <c r="NQP32" s="28">
        <f t="shared" si="239"/>
        <v>0</v>
      </c>
      <c r="NQQ32" s="28">
        <f t="shared" si="239"/>
        <v>0</v>
      </c>
      <c r="NQR32" s="28">
        <f t="shared" si="239"/>
        <v>0</v>
      </c>
      <c r="NQS32" s="28">
        <f t="shared" si="239"/>
        <v>0</v>
      </c>
      <c r="NQT32" s="28">
        <f t="shared" si="239"/>
        <v>0</v>
      </c>
      <c r="NQU32" s="28">
        <f t="shared" si="239"/>
        <v>0</v>
      </c>
      <c r="NQV32" s="28">
        <f t="shared" si="239"/>
        <v>0</v>
      </c>
      <c r="NQW32" s="28">
        <f t="shared" ref="NQW32:NTH32" si="240">IFERROR(NQW31/NQW$4,0)</f>
        <v>0</v>
      </c>
      <c r="NQX32" s="28">
        <f t="shared" si="240"/>
        <v>0</v>
      </c>
      <c r="NQY32" s="28">
        <f t="shared" si="240"/>
        <v>0</v>
      </c>
      <c r="NQZ32" s="28">
        <f t="shared" si="240"/>
        <v>0</v>
      </c>
      <c r="NRA32" s="28">
        <f t="shared" si="240"/>
        <v>0</v>
      </c>
      <c r="NRB32" s="28">
        <f t="shared" si="240"/>
        <v>0</v>
      </c>
      <c r="NRC32" s="28">
        <f t="shared" si="240"/>
        <v>0</v>
      </c>
      <c r="NRD32" s="28">
        <f t="shared" si="240"/>
        <v>0</v>
      </c>
      <c r="NRE32" s="28">
        <f t="shared" si="240"/>
        <v>0</v>
      </c>
      <c r="NRF32" s="28">
        <f t="shared" si="240"/>
        <v>0</v>
      </c>
      <c r="NRG32" s="28">
        <f t="shared" si="240"/>
        <v>0</v>
      </c>
      <c r="NRH32" s="28">
        <f t="shared" si="240"/>
        <v>0</v>
      </c>
      <c r="NRI32" s="28">
        <f t="shared" si="240"/>
        <v>0</v>
      </c>
      <c r="NRJ32" s="28">
        <f t="shared" si="240"/>
        <v>0</v>
      </c>
      <c r="NRK32" s="28">
        <f t="shared" si="240"/>
        <v>0</v>
      </c>
      <c r="NRL32" s="28">
        <f t="shared" si="240"/>
        <v>0</v>
      </c>
      <c r="NRM32" s="28">
        <f t="shared" si="240"/>
        <v>0</v>
      </c>
      <c r="NRN32" s="28">
        <f t="shared" si="240"/>
        <v>0</v>
      </c>
      <c r="NRO32" s="28">
        <f t="shared" si="240"/>
        <v>0</v>
      </c>
      <c r="NRP32" s="28">
        <f t="shared" si="240"/>
        <v>0</v>
      </c>
      <c r="NRQ32" s="28">
        <f t="shared" si="240"/>
        <v>0</v>
      </c>
      <c r="NRR32" s="28">
        <f t="shared" si="240"/>
        <v>0</v>
      </c>
      <c r="NRS32" s="28">
        <f t="shared" si="240"/>
        <v>0</v>
      </c>
      <c r="NRT32" s="28">
        <f t="shared" si="240"/>
        <v>0</v>
      </c>
      <c r="NRU32" s="28">
        <f t="shared" si="240"/>
        <v>0</v>
      </c>
      <c r="NRV32" s="28">
        <f t="shared" si="240"/>
        <v>0</v>
      </c>
      <c r="NRW32" s="28">
        <f t="shared" si="240"/>
        <v>0</v>
      </c>
      <c r="NRX32" s="28">
        <f t="shared" si="240"/>
        <v>0</v>
      </c>
      <c r="NRY32" s="28">
        <f t="shared" si="240"/>
        <v>0</v>
      </c>
      <c r="NRZ32" s="28">
        <f t="shared" si="240"/>
        <v>0</v>
      </c>
      <c r="NSA32" s="28">
        <f t="shared" si="240"/>
        <v>0</v>
      </c>
      <c r="NSB32" s="28">
        <f t="shared" si="240"/>
        <v>0</v>
      </c>
      <c r="NSC32" s="28">
        <f t="shared" si="240"/>
        <v>0</v>
      </c>
      <c r="NSD32" s="28">
        <f t="shared" si="240"/>
        <v>0</v>
      </c>
      <c r="NSE32" s="28">
        <f t="shared" si="240"/>
        <v>0</v>
      </c>
      <c r="NSF32" s="28">
        <f t="shared" si="240"/>
        <v>0</v>
      </c>
      <c r="NSG32" s="28">
        <f t="shared" si="240"/>
        <v>0</v>
      </c>
      <c r="NSH32" s="28">
        <f t="shared" si="240"/>
        <v>0</v>
      </c>
      <c r="NSI32" s="28">
        <f t="shared" si="240"/>
        <v>0</v>
      </c>
      <c r="NSJ32" s="28">
        <f t="shared" si="240"/>
        <v>0</v>
      </c>
      <c r="NSK32" s="28">
        <f t="shared" si="240"/>
        <v>0</v>
      </c>
      <c r="NSL32" s="28">
        <f t="shared" si="240"/>
        <v>0</v>
      </c>
      <c r="NSM32" s="28">
        <f t="shared" si="240"/>
        <v>0</v>
      </c>
      <c r="NSN32" s="28">
        <f t="shared" si="240"/>
        <v>0</v>
      </c>
      <c r="NSO32" s="28">
        <f t="shared" si="240"/>
        <v>0</v>
      </c>
      <c r="NSP32" s="28">
        <f t="shared" si="240"/>
        <v>0</v>
      </c>
      <c r="NSQ32" s="28">
        <f t="shared" si="240"/>
        <v>0</v>
      </c>
      <c r="NSR32" s="28">
        <f t="shared" si="240"/>
        <v>0</v>
      </c>
      <c r="NSS32" s="28">
        <f t="shared" si="240"/>
        <v>0</v>
      </c>
      <c r="NST32" s="28">
        <f t="shared" si="240"/>
        <v>0</v>
      </c>
      <c r="NSU32" s="28">
        <f t="shared" si="240"/>
        <v>0</v>
      </c>
      <c r="NSV32" s="28">
        <f t="shared" si="240"/>
        <v>0</v>
      </c>
      <c r="NSW32" s="28">
        <f t="shared" si="240"/>
        <v>0</v>
      </c>
      <c r="NSX32" s="28">
        <f t="shared" si="240"/>
        <v>0</v>
      </c>
      <c r="NSY32" s="28">
        <f t="shared" si="240"/>
        <v>0</v>
      </c>
      <c r="NSZ32" s="28">
        <f t="shared" si="240"/>
        <v>0</v>
      </c>
      <c r="NTA32" s="28">
        <f t="shared" si="240"/>
        <v>0</v>
      </c>
      <c r="NTB32" s="28">
        <f t="shared" si="240"/>
        <v>0</v>
      </c>
      <c r="NTC32" s="28">
        <f t="shared" si="240"/>
        <v>0</v>
      </c>
      <c r="NTD32" s="28">
        <f t="shared" si="240"/>
        <v>0</v>
      </c>
      <c r="NTE32" s="28">
        <f t="shared" si="240"/>
        <v>0</v>
      </c>
      <c r="NTF32" s="28">
        <f t="shared" si="240"/>
        <v>0</v>
      </c>
      <c r="NTG32" s="28">
        <f t="shared" si="240"/>
        <v>0</v>
      </c>
      <c r="NTH32" s="28">
        <f t="shared" si="240"/>
        <v>0</v>
      </c>
      <c r="NTI32" s="28">
        <f t="shared" ref="NTI32:NVT32" si="241">IFERROR(NTI31/NTI$4,0)</f>
        <v>0</v>
      </c>
      <c r="NTJ32" s="28">
        <f t="shared" si="241"/>
        <v>0</v>
      </c>
      <c r="NTK32" s="28">
        <f t="shared" si="241"/>
        <v>0</v>
      </c>
      <c r="NTL32" s="28">
        <f t="shared" si="241"/>
        <v>0</v>
      </c>
      <c r="NTM32" s="28">
        <f t="shared" si="241"/>
        <v>0</v>
      </c>
      <c r="NTN32" s="28">
        <f t="shared" si="241"/>
        <v>0</v>
      </c>
      <c r="NTO32" s="28">
        <f t="shared" si="241"/>
        <v>0</v>
      </c>
      <c r="NTP32" s="28">
        <f t="shared" si="241"/>
        <v>0</v>
      </c>
      <c r="NTQ32" s="28">
        <f t="shared" si="241"/>
        <v>0</v>
      </c>
      <c r="NTR32" s="28">
        <f t="shared" si="241"/>
        <v>0</v>
      </c>
      <c r="NTS32" s="28">
        <f t="shared" si="241"/>
        <v>0</v>
      </c>
      <c r="NTT32" s="28">
        <f t="shared" si="241"/>
        <v>0</v>
      </c>
      <c r="NTU32" s="28">
        <f t="shared" si="241"/>
        <v>0</v>
      </c>
      <c r="NTV32" s="28">
        <f t="shared" si="241"/>
        <v>0</v>
      </c>
      <c r="NTW32" s="28">
        <f t="shared" si="241"/>
        <v>0</v>
      </c>
      <c r="NTX32" s="28">
        <f t="shared" si="241"/>
        <v>0</v>
      </c>
      <c r="NTY32" s="28">
        <f t="shared" si="241"/>
        <v>0</v>
      </c>
      <c r="NTZ32" s="28">
        <f t="shared" si="241"/>
        <v>0</v>
      </c>
      <c r="NUA32" s="28">
        <f t="shared" si="241"/>
        <v>0</v>
      </c>
      <c r="NUB32" s="28">
        <f t="shared" si="241"/>
        <v>0</v>
      </c>
      <c r="NUC32" s="28">
        <f t="shared" si="241"/>
        <v>0</v>
      </c>
      <c r="NUD32" s="28">
        <f t="shared" si="241"/>
        <v>0</v>
      </c>
      <c r="NUE32" s="28">
        <f t="shared" si="241"/>
        <v>0</v>
      </c>
      <c r="NUF32" s="28">
        <f t="shared" si="241"/>
        <v>0</v>
      </c>
      <c r="NUG32" s="28">
        <f t="shared" si="241"/>
        <v>0</v>
      </c>
      <c r="NUH32" s="28">
        <f t="shared" si="241"/>
        <v>0</v>
      </c>
      <c r="NUI32" s="28">
        <f t="shared" si="241"/>
        <v>0</v>
      </c>
      <c r="NUJ32" s="28">
        <f t="shared" si="241"/>
        <v>0</v>
      </c>
      <c r="NUK32" s="28">
        <f t="shared" si="241"/>
        <v>0</v>
      </c>
      <c r="NUL32" s="28">
        <f t="shared" si="241"/>
        <v>0</v>
      </c>
      <c r="NUM32" s="28">
        <f t="shared" si="241"/>
        <v>0</v>
      </c>
      <c r="NUN32" s="28">
        <f t="shared" si="241"/>
        <v>0</v>
      </c>
      <c r="NUO32" s="28">
        <f t="shared" si="241"/>
        <v>0</v>
      </c>
      <c r="NUP32" s="28">
        <f t="shared" si="241"/>
        <v>0</v>
      </c>
      <c r="NUQ32" s="28">
        <f t="shared" si="241"/>
        <v>0</v>
      </c>
      <c r="NUR32" s="28">
        <f t="shared" si="241"/>
        <v>0</v>
      </c>
      <c r="NUS32" s="28">
        <f t="shared" si="241"/>
        <v>0</v>
      </c>
      <c r="NUT32" s="28">
        <f t="shared" si="241"/>
        <v>0</v>
      </c>
      <c r="NUU32" s="28">
        <f t="shared" si="241"/>
        <v>0</v>
      </c>
      <c r="NUV32" s="28">
        <f t="shared" si="241"/>
        <v>0</v>
      </c>
      <c r="NUW32" s="28">
        <f t="shared" si="241"/>
        <v>0</v>
      </c>
      <c r="NUX32" s="28">
        <f t="shared" si="241"/>
        <v>0</v>
      </c>
      <c r="NUY32" s="28">
        <f t="shared" si="241"/>
        <v>0</v>
      </c>
      <c r="NUZ32" s="28">
        <f t="shared" si="241"/>
        <v>0</v>
      </c>
      <c r="NVA32" s="28">
        <f t="shared" si="241"/>
        <v>0</v>
      </c>
      <c r="NVB32" s="28">
        <f t="shared" si="241"/>
        <v>0</v>
      </c>
      <c r="NVC32" s="28">
        <f t="shared" si="241"/>
        <v>0</v>
      </c>
      <c r="NVD32" s="28">
        <f t="shared" si="241"/>
        <v>0</v>
      </c>
      <c r="NVE32" s="28">
        <f t="shared" si="241"/>
        <v>0</v>
      </c>
      <c r="NVF32" s="28">
        <f t="shared" si="241"/>
        <v>0</v>
      </c>
      <c r="NVG32" s="28">
        <f t="shared" si="241"/>
        <v>0</v>
      </c>
      <c r="NVH32" s="28">
        <f t="shared" si="241"/>
        <v>0</v>
      </c>
      <c r="NVI32" s="28">
        <f t="shared" si="241"/>
        <v>0</v>
      </c>
      <c r="NVJ32" s="28">
        <f t="shared" si="241"/>
        <v>0</v>
      </c>
      <c r="NVK32" s="28">
        <f t="shared" si="241"/>
        <v>0</v>
      </c>
      <c r="NVL32" s="28">
        <f t="shared" si="241"/>
        <v>0</v>
      </c>
      <c r="NVM32" s="28">
        <f t="shared" si="241"/>
        <v>0</v>
      </c>
      <c r="NVN32" s="28">
        <f t="shared" si="241"/>
        <v>0</v>
      </c>
      <c r="NVO32" s="28">
        <f t="shared" si="241"/>
        <v>0</v>
      </c>
      <c r="NVP32" s="28">
        <f t="shared" si="241"/>
        <v>0</v>
      </c>
      <c r="NVQ32" s="28">
        <f t="shared" si="241"/>
        <v>0</v>
      </c>
      <c r="NVR32" s="28">
        <f t="shared" si="241"/>
        <v>0</v>
      </c>
      <c r="NVS32" s="28">
        <f t="shared" si="241"/>
        <v>0</v>
      </c>
      <c r="NVT32" s="28">
        <f t="shared" si="241"/>
        <v>0</v>
      </c>
      <c r="NVU32" s="28">
        <f t="shared" ref="NVU32:NYF32" si="242">IFERROR(NVU31/NVU$4,0)</f>
        <v>0</v>
      </c>
      <c r="NVV32" s="28">
        <f t="shared" si="242"/>
        <v>0</v>
      </c>
      <c r="NVW32" s="28">
        <f t="shared" si="242"/>
        <v>0</v>
      </c>
      <c r="NVX32" s="28">
        <f t="shared" si="242"/>
        <v>0</v>
      </c>
      <c r="NVY32" s="28">
        <f t="shared" si="242"/>
        <v>0</v>
      </c>
      <c r="NVZ32" s="28">
        <f t="shared" si="242"/>
        <v>0</v>
      </c>
      <c r="NWA32" s="28">
        <f t="shared" si="242"/>
        <v>0</v>
      </c>
      <c r="NWB32" s="28">
        <f t="shared" si="242"/>
        <v>0</v>
      </c>
      <c r="NWC32" s="28">
        <f t="shared" si="242"/>
        <v>0</v>
      </c>
      <c r="NWD32" s="28">
        <f t="shared" si="242"/>
        <v>0</v>
      </c>
      <c r="NWE32" s="28">
        <f t="shared" si="242"/>
        <v>0</v>
      </c>
      <c r="NWF32" s="28">
        <f t="shared" si="242"/>
        <v>0</v>
      </c>
      <c r="NWG32" s="28">
        <f t="shared" si="242"/>
        <v>0</v>
      </c>
      <c r="NWH32" s="28">
        <f t="shared" si="242"/>
        <v>0</v>
      </c>
      <c r="NWI32" s="28">
        <f t="shared" si="242"/>
        <v>0</v>
      </c>
      <c r="NWJ32" s="28">
        <f t="shared" si="242"/>
        <v>0</v>
      </c>
      <c r="NWK32" s="28">
        <f t="shared" si="242"/>
        <v>0</v>
      </c>
      <c r="NWL32" s="28">
        <f t="shared" si="242"/>
        <v>0</v>
      </c>
      <c r="NWM32" s="28">
        <f t="shared" si="242"/>
        <v>0</v>
      </c>
      <c r="NWN32" s="28">
        <f t="shared" si="242"/>
        <v>0</v>
      </c>
      <c r="NWO32" s="28">
        <f t="shared" si="242"/>
        <v>0</v>
      </c>
      <c r="NWP32" s="28">
        <f t="shared" si="242"/>
        <v>0</v>
      </c>
      <c r="NWQ32" s="28">
        <f t="shared" si="242"/>
        <v>0</v>
      </c>
      <c r="NWR32" s="28">
        <f t="shared" si="242"/>
        <v>0</v>
      </c>
      <c r="NWS32" s="28">
        <f t="shared" si="242"/>
        <v>0</v>
      </c>
      <c r="NWT32" s="28">
        <f t="shared" si="242"/>
        <v>0</v>
      </c>
      <c r="NWU32" s="28">
        <f t="shared" si="242"/>
        <v>0</v>
      </c>
      <c r="NWV32" s="28">
        <f t="shared" si="242"/>
        <v>0</v>
      </c>
      <c r="NWW32" s="28">
        <f t="shared" si="242"/>
        <v>0</v>
      </c>
      <c r="NWX32" s="28">
        <f t="shared" si="242"/>
        <v>0</v>
      </c>
      <c r="NWY32" s="28">
        <f t="shared" si="242"/>
        <v>0</v>
      </c>
      <c r="NWZ32" s="28">
        <f t="shared" si="242"/>
        <v>0</v>
      </c>
      <c r="NXA32" s="28">
        <f t="shared" si="242"/>
        <v>0</v>
      </c>
      <c r="NXB32" s="28">
        <f t="shared" si="242"/>
        <v>0</v>
      </c>
      <c r="NXC32" s="28">
        <f t="shared" si="242"/>
        <v>0</v>
      </c>
      <c r="NXD32" s="28">
        <f t="shared" si="242"/>
        <v>0</v>
      </c>
      <c r="NXE32" s="28">
        <f t="shared" si="242"/>
        <v>0</v>
      </c>
      <c r="NXF32" s="28">
        <f t="shared" si="242"/>
        <v>0</v>
      </c>
      <c r="NXG32" s="28">
        <f t="shared" si="242"/>
        <v>0</v>
      </c>
      <c r="NXH32" s="28">
        <f t="shared" si="242"/>
        <v>0</v>
      </c>
      <c r="NXI32" s="28">
        <f t="shared" si="242"/>
        <v>0</v>
      </c>
      <c r="NXJ32" s="28">
        <f t="shared" si="242"/>
        <v>0</v>
      </c>
      <c r="NXK32" s="28">
        <f t="shared" si="242"/>
        <v>0</v>
      </c>
      <c r="NXL32" s="28">
        <f t="shared" si="242"/>
        <v>0</v>
      </c>
      <c r="NXM32" s="28">
        <f t="shared" si="242"/>
        <v>0</v>
      </c>
      <c r="NXN32" s="28">
        <f t="shared" si="242"/>
        <v>0</v>
      </c>
      <c r="NXO32" s="28">
        <f t="shared" si="242"/>
        <v>0</v>
      </c>
      <c r="NXP32" s="28">
        <f t="shared" si="242"/>
        <v>0</v>
      </c>
      <c r="NXQ32" s="28">
        <f t="shared" si="242"/>
        <v>0</v>
      </c>
      <c r="NXR32" s="28">
        <f t="shared" si="242"/>
        <v>0</v>
      </c>
      <c r="NXS32" s="28">
        <f t="shared" si="242"/>
        <v>0</v>
      </c>
      <c r="NXT32" s="28">
        <f t="shared" si="242"/>
        <v>0</v>
      </c>
      <c r="NXU32" s="28">
        <f t="shared" si="242"/>
        <v>0</v>
      </c>
      <c r="NXV32" s="28">
        <f t="shared" si="242"/>
        <v>0</v>
      </c>
      <c r="NXW32" s="28">
        <f t="shared" si="242"/>
        <v>0</v>
      </c>
      <c r="NXX32" s="28">
        <f t="shared" si="242"/>
        <v>0</v>
      </c>
      <c r="NXY32" s="28">
        <f t="shared" si="242"/>
        <v>0</v>
      </c>
      <c r="NXZ32" s="28">
        <f t="shared" si="242"/>
        <v>0</v>
      </c>
      <c r="NYA32" s="28">
        <f t="shared" si="242"/>
        <v>0</v>
      </c>
      <c r="NYB32" s="28">
        <f t="shared" si="242"/>
        <v>0</v>
      </c>
      <c r="NYC32" s="28">
        <f t="shared" si="242"/>
        <v>0</v>
      </c>
      <c r="NYD32" s="28">
        <f t="shared" si="242"/>
        <v>0</v>
      </c>
      <c r="NYE32" s="28">
        <f t="shared" si="242"/>
        <v>0</v>
      </c>
      <c r="NYF32" s="28">
        <f t="shared" si="242"/>
        <v>0</v>
      </c>
      <c r="NYG32" s="28">
        <f t="shared" ref="NYG32:OAR32" si="243">IFERROR(NYG31/NYG$4,0)</f>
        <v>0</v>
      </c>
      <c r="NYH32" s="28">
        <f t="shared" si="243"/>
        <v>0</v>
      </c>
      <c r="NYI32" s="28">
        <f t="shared" si="243"/>
        <v>0</v>
      </c>
      <c r="NYJ32" s="28">
        <f t="shared" si="243"/>
        <v>0</v>
      </c>
      <c r="NYK32" s="28">
        <f t="shared" si="243"/>
        <v>0</v>
      </c>
      <c r="NYL32" s="28">
        <f t="shared" si="243"/>
        <v>0</v>
      </c>
      <c r="NYM32" s="28">
        <f t="shared" si="243"/>
        <v>0</v>
      </c>
      <c r="NYN32" s="28">
        <f t="shared" si="243"/>
        <v>0</v>
      </c>
      <c r="NYO32" s="28">
        <f t="shared" si="243"/>
        <v>0</v>
      </c>
      <c r="NYP32" s="28">
        <f t="shared" si="243"/>
        <v>0</v>
      </c>
      <c r="NYQ32" s="28">
        <f t="shared" si="243"/>
        <v>0</v>
      </c>
      <c r="NYR32" s="28">
        <f t="shared" si="243"/>
        <v>0</v>
      </c>
      <c r="NYS32" s="28">
        <f t="shared" si="243"/>
        <v>0</v>
      </c>
      <c r="NYT32" s="28">
        <f t="shared" si="243"/>
        <v>0</v>
      </c>
      <c r="NYU32" s="28">
        <f t="shared" si="243"/>
        <v>0</v>
      </c>
      <c r="NYV32" s="28">
        <f t="shared" si="243"/>
        <v>0</v>
      </c>
      <c r="NYW32" s="28">
        <f t="shared" si="243"/>
        <v>0</v>
      </c>
      <c r="NYX32" s="28">
        <f t="shared" si="243"/>
        <v>0</v>
      </c>
      <c r="NYY32" s="28">
        <f t="shared" si="243"/>
        <v>0</v>
      </c>
      <c r="NYZ32" s="28">
        <f t="shared" si="243"/>
        <v>0</v>
      </c>
      <c r="NZA32" s="28">
        <f t="shared" si="243"/>
        <v>0</v>
      </c>
      <c r="NZB32" s="28">
        <f t="shared" si="243"/>
        <v>0</v>
      </c>
      <c r="NZC32" s="28">
        <f t="shared" si="243"/>
        <v>0</v>
      </c>
      <c r="NZD32" s="28">
        <f t="shared" si="243"/>
        <v>0</v>
      </c>
      <c r="NZE32" s="28">
        <f t="shared" si="243"/>
        <v>0</v>
      </c>
      <c r="NZF32" s="28">
        <f t="shared" si="243"/>
        <v>0</v>
      </c>
      <c r="NZG32" s="28">
        <f t="shared" si="243"/>
        <v>0</v>
      </c>
      <c r="NZH32" s="28">
        <f t="shared" si="243"/>
        <v>0</v>
      </c>
      <c r="NZI32" s="28">
        <f t="shared" si="243"/>
        <v>0</v>
      </c>
      <c r="NZJ32" s="28">
        <f t="shared" si="243"/>
        <v>0</v>
      </c>
      <c r="NZK32" s="28">
        <f t="shared" si="243"/>
        <v>0</v>
      </c>
      <c r="NZL32" s="28">
        <f t="shared" si="243"/>
        <v>0</v>
      </c>
      <c r="NZM32" s="28">
        <f t="shared" si="243"/>
        <v>0</v>
      </c>
      <c r="NZN32" s="28">
        <f t="shared" si="243"/>
        <v>0</v>
      </c>
      <c r="NZO32" s="28">
        <f t="shared" si="243"/>
        <v>0</v>
      </c>
      <c r="NZP32" s="28">
        <f t="shared" si="243"/>
        <v>0</v>
      </c>
      <c r="NZQ32" s="28">
        <f t="shared" si="243"/>
        <v>0</v>
      </c>
      <c r="NZR32" s="28">
        <f t="shared" si="243"/>
        <v>0</v>
      </c>
      <c r="NZS32" s="28">
        <f t="shared" si="243"/>
        <v>0</v>
      </c>
      <c r="NZT32" s="28">
        <f t="shared" si="243"/>
        <v>0</v>
      </c>
      <c r="NZU32" s="28">
        <f t="shared" si="243"/>
        <v>0</v>
      </c>
      <c r="NZV32" s="28">
        <f t="shared" si="243"/>
        <v>0</v>
      </c>
      <c r="NZW32" s="28">
        <f t="shared" si="243"/>
        <v>0</v>
      </c>
      <c r="NZX32" s="28">
        <f t="shared" si="243"/>
        <v>0</v>
      </c>
      <c r="NZY32" s="28">
        <f t="shared" si="243"/>
        <v>0</v>
      </c>
      <c r="NZZ32" s="28">
        <f t="shared" si="243"/>
        <v>0</v>
      </c>
      <c r="OAA32" s="28">
        <f t="shared" si="243"/>
        <v>0</v>
      </c>
      <c r="OAB32" s="28">
        <f t="shared" si="243"/>
        <v>0</v>
      </c>
      <c r="OAC32" s="28">
        <f t="shared" si="243"/>
        <v>0</v>
      </c>
      <c r="OAD32" s="28">
        <f t="shared" si="243"/>
        <v>0</v>
      </c>
      <c r="OAE32" s="28">
        <f t="shared" si="243"/>
        <v>0</v>
      </c>
      <c r="OAF32" s="28">
        <f t="shared" si="243"/>
        <v>0</v>
      </c>
      <c r="OAG32" s="28">
        <f t="shared" si="243"/>
        <v>0</v>
      </c>
      <c r="OAH32" s="28">
        <f t="shared" si="243"/>
        <v>0</v>
      </c>
      <c r="OAI32" s="28">
        <f t="shared" si="243"/>
        <v>0</v>
      </c>
      <c r="OAJ32" s="28">
        <f t="shared" si="243"/>
        <v>0</v>
      </c>
      <c r="OAK32" s="28">
        <f t="shared" si="243"/>
        <v>0</v>
      </c>
      <c r="OAL32" s="28">
        <f t="shared" si="243"/>
        <v>0</v>
      </c>
      <c r="OAM32" s="28">
        <f t="shared" si="243"/>
        <v>0</v>
      </c>
      <c r="OAN32" s="28">
        <f t="shared" si="243"/>
        <v>0</v>
      </c>
      <c r="OAO32" s="28">
        <f t="shared" si="243"/>
        <v>0</v>
      </c>
      <c r="OAP32" s="28">
        <f t="shared" si="243"/>
        <v>0</v>
      </c>
      <c r="OAQ32" s="28">
        <f t="shared" si="243"/>
        <v>0</v>
      </c>
      <c r="OAR32" s="28">
        <f t="shared" si="243"/>
        <v>0</v>
      </c>
      <c r="OAS32" s="28">
        <f t="shared" ref="OAS32:ODD32" si="244">IFERROR(OAS31/OAS$4,0)</f>
        <v>0</v>
      </c>
      <c r="OAT32" s="28">
        <f t="shared" si="244"/>
        <v>0</v>
      </c>
      <c r="OAU32" s="28">
        <f t="shared" si="244"/>
        <v>0</v>
      </c>
      <c r="OAV32" s="28">
        <f t="shared" si="244"/>
        <v>0</v>
      </c>
      <c r="OAW32" s="28">
        <f t="shared" si="244"/>
        <v>0</v>
      </c>
      <c r="OAX32" s="28">
        <f t="shared" si="244"/>
        <v>0</v>
      </c>
      <c r="OAY32" s="28">
        <f t="shared" si="244"/>
        <v>0</v>
      </c>
      <c r="OAZ32" s="28">
        <f t="shared" si="244"/>
        <v>0</v>
      </c>
      <c r="OBA32" s="28">
        <f t="shared" si="244"/>
        <v>0</v>
      </c>
      <c r="OBB32" s="28">
        <f t="shared" si="244"/>
        <v>0</v>
      </c>
      <c r="OBC32" s="28">
        <f t="shared" si="244"/>
        <v>0</v>
      </c>
      <c r="OBD32" s="28">
        <f t="shared" si="244"/>
        <v>0</v>
      </c>
      <c r="OBE32" s="28">
        <f t="shared" si="244"/>
        <v>0</v>
      </c>
      <c r="OBF32" s="28">
        <f t="shared" si="244"/>
        <v>0</v>
      </c>
      <c r="OBG32" s="28">
        <f t="shared" si="244"/>
        <v>0</v>
      </c>
      <c r="OBH32" s="28">
        <f t="shared" si="244"/>
        <v>0</v>
      </c>
      <c r="OBI32" s="28">
        <f t="shared" si="244"/>
        <v>0</v>
      </c>
      <c r="OBJ32" s="28">
        <f t="shared" si="244"/>
        <v>0</v>
      </c>
      <c r="OBK32" s="28">
        <f t="shared" si="244"/>
        <v>0</v>
      </c>
      <c r="OBL32" s="28">
        <f t="shared" si="244"/>
        <v>0</v>
      </c>
      <c r="OBM32" s="28">
        <f t="shared" si="244"/>
        <v>0</v>
      </c>
      <c r="OBN32" s="28">
        <f t="shared" si="244"/>
        <v>0</v>
      </c>
      <c r="OBO32" s="28">
        <f t="shared" si="244"/>
        <v>0</v>
      </c>
      <c r="OBP32" s="28">
        <f t="shared" si="244"/>
        <v>0</v>
      </c>
      <c r="OBQ32" s="28">
        <f t="shared" si="244"/>
        <v>0</v>
      </c>
      <c r="OBR32" s="28">
        <f t="shared" si="244"/>
        <v>0</v>
      </c>
      <c r="OBS32" s="28">
        <f t="shared" si="244"/>
        <v>0</v>
      </c>
      <c r="OBT32" s="28">
        <f t="shared" si="244"/>
        <v>0</v>
      </c>
      <c r="OBU32" s="28">
        <f t="shared" si="244"/>
        <v>0</v>
      </c>
      <c r="OBV32" s="28">
        <f t="shared" si="244"/>
        <v>0</v>
      </c>
      <c r="OBW32" s="28">
        <f t="shared" si="244"/>
        <v>0</v>
      </c>
      <c r="OBX32" s="28">
        <f t="shared" si="244"/>
        <v>0</v>
      </c>
      <c r="OBY32" s="28">
        <f t="shared" si="244"/>
        <v>0</v>
      </c>
      <c r="OBZ32" s="28">
        <f t="shared" si="244"/>
        <v>0</v>
      </c>
      <c r="OCA32" s="28">
        <f t="shared" si="244"/>
        <v>0</v>
      </c>
      <c r="OCB32" s="28">
        <f t="shared" si="244"/>
        <v>0</v>
      </c>
      <c r="OCC32" s="28">
        <f t="shared" si="244"/>
        <v>0</v>
      </c>
      <c r="OCD32" s="28">
        <f t="shared" si="244"/>
        <v>0</v>
      </c>
      <c r="OCE32" s="28">
        <f t="shared" si="244"/>
        <v>0</v>
      </c>
      <c r="OCF32" s="28">
        <f t="shared" si="244"/>
        <v>0</v>
      </c>
      <c r="OCG32" s="28">
        <f t="shared" si="244"/>
        <v>0</v>
      </c>
      <c r="OCH32" s="28">
        <f t="shared" si="244"/>
        <v>0</v>
      </c>
      <c r="OCI32" s="28">
        <f t="shared" si="244"/>
        <v>0</v>
      </c>
      <c r="OCJ32" s="28">
        <f t="shared" si="244"/>
        <v>0</v>
      </c>
      <c r="OCK32" s="28">
        <f t="shared" si="244"/>
        <v>0</v>
      </c>
      <c r="OCL32" s="28">
        <f t="shared" si="244"/>
        <v>0</v>
      </c>
      <c r="OCM32" s="28">
        <f t="shared" si="244"/>
        <v>0</v>
      </c>
      <c r="OCN32" s="28">
        <f t="shared" si="244"/>
        <v>0</v>
      </c>
      <c r="OCO32" s="28">
        <f t="shared" si="244"/>
        <v>0</v>
      </c>
      <c r="OCP32" s="28">
        <f t="shared" si="244"/>
        <v>0</v>
      </c>
      <c r="OCQ32" s="28">
        <f t="shared" si="244"/>
        <v>0</v>
      </c>
      <c r="OCR32" s="28">
        <f t="shared" si="244"/>
        <v>0</v>
      </c>
      <c r="OCS32" s="28">
        <f t="shared" si="244"/>
        <v>0</v>
      </c>
      <c r="OCT32" s="28">
        <f t="shared" si="244"/>
        <v>0</v>
      </c>
      <c r="OCU32" s="28">
        <f t="shared" si="244"/>
        <v>0</v>
      </c>
      <c r="OCV32" s="28">
        <f t="shared" si="244"/>
        <v>0</v>
      </c>
      <c r="OCW32" s="28">
        <f t="shared" si="244"/>
        <v>0</v>
      </c>
      <c r="OCX32" s="28">
        <f t="shared" si="244"/>
        <v>0</v>
      </c>
      <c r="OCY32" s="28">
        <f t="shared" si="244"/>
        <v>0</v>
      </c>
      <c r="OCZ32" s="28">
        <f t="shared" si="244"/>
        <v>0</v>
      </c>
      <c r="ODA32" s="28">
        <f t="shared" si="244"/>
        <v>0</v>
      </c>
      <c r="ODB32" s="28">
        <f t="shared" si="244"/>
        <v>0</v>
      </c>
      <c r="ODC32" s="28">
        <f t="shared" si="244"/>
        <v>0</v>
      </c>
      <c r="ODD32" s="28">
        <f t="shared" si="244"/>
        <v>0</v>
      </c>
      <c r="ODE32" s="28">
        <f t="shared" ref="ODE32:OFP32" si="245">IFERROR(ODE31/ODE$4,0)</f>
        <v>0</v>
      </c>
      <c r="ODF32" s="28">
        <f t="shared" si="245"/>
        <v>0</v>
      </c>
      <c r="ODG32" s="28">
        <f t="shared" si="245"/>
        <v>0</v>
      </c>
      <c r="ODH32" s="28">
        <f t="shared" si="245"/>
        <v>0</v>
      </c>
      <c r="ODI32" s="28">
        <f t="shared" si="245"/>
        <v>0</v>
      </c>
      <c r="ODJ32" s="28">
        <f t="shared" si="245"/>
        <v>0</v>
      </c>
      <c r="ODK32" s="28">
        <f t="shared" si="245"/>
        <v>0</v>
      </c>
      <c r="ODL32" s="28">
        <f t="shared" si="245"/>
        <v>0</v>
      </c>
      <c r="ODM32" s="28">
        <f t="shared" si="245"/>
        <v>0</v>
      </c>
      <c r="ODN32" s="28">
        <f t="shared" si="245"/>
        <v>0</v>
      </c>
      <c r="ODO32" s="28">
        <f t="shared" si="245"/>
        <v>0</v>
      </c>
      <c r="ODP32" s="28">
        <f t="shared" si="245"/>
        <v>0</v>
      </c>
      <c r="ODQ32" s="28">
        <f t="shared" si="245"/>
        <v>0</v>
      </c>
      <c r="ODR32" s="28">
        <f t="shared" si="245"/>
        <v>0</v>
      </c>
      <c r="ODS32" s="28">
        <f t="shared" si="245"/>
        <v>0</v>
      </c>
      <c r="ODT32" s="28">
        <f t="shared" si="245"/>
        <v>0</v>
      </c>
      <c r="ODU32" s="28">
        <f t="shared" si="245"/>
        <v>0</v>
      </c>
      <c r="ODV32" s="28">
        <f t="shared" si="245"/>
        <v>0</v>
      </c>
      <c r="ODW32" s="28">
        <f t="shared" si="245"/>
        <v>0</v>
      </c>
      <c r="ODX32" s="28">
        <f t="shared" si="245"/>
        <v>0</v>
      </c>
      <c r="ODY32" s="28">
        <f t="shared" si="245"/>
        <v>0</v>
      </c>
      <c r="ODZ32" s="28">
        <f t="shared" si="245"/>
        <v>0</v>
      </c>
      <c r="OEA32" s="28">
        <f t="shared" si="245"/>
        <v>0</v>
      </c>
      <c r="OEB32" s="28">
        <f t="shared" si="245"/>
        <v>0</v>
      </c>
      <c r="OEC32" s="28">
        <f t="shared" si="245"/>
        <v>0</v>
      </c>
      <c r="OED32" s="28">
        <f t="shared" si="245"/>
        <v>0</v>
      </c>
      <c r="OEE32" s="28">
        <f t="shared" si="245"/>
        <v>0</v>
      </c>
      <c r="OEF32" s="28">
        <f t="shared" si="245"/>
        <v>0</v>
      </c>
      <c r="OEG32" s="28">
        <f t="shared" si="245"/>
        <v>0</v>
      </c>
      <c r="OEH32" s="28">
        <f t="shared" si="245"/>
        <v>0</v>
      </c>
      <c r="OEI32" s="28">
        <f t="shared" si="245"/>
        <v>0</v>
      </c>
      <c r="OEJ32" s="28">
        <f t="shared" si="245"/>
        <v>0</v>
      </c>
      <c r="OEK32" s="28">
        <f t="shared" si="245"/>
        <v>0</v>
      </c>
      <c r="OEL32" s="28">
        <f t="shared" si="245"/>
        <v>0</v>
      </c>
      <c r="OEM32" s="28">
        <f t="shared" si="245"/>
        <v>0</v>
      </c>
      <c r="OEN32" s="28">
        <f t="shared" si="245"/>
        <v>0</v>
      </c>
      <c r="OEO32" s="28">
        <f t="shared" si="245"/>
        <v>0</v>
      </c>
      <c r="OEP32" s="28">
        <f t="shared" si="245"/>
        <v>0</v>
      </c>
      <c r="OEQ32" s="28">
        <f t="shared" si="245"/>
        <v>0</v>
      </c>
      <c r="OER32" s="28">
        <f t="shared" si="245"/>
        <v>0</v>
      </c>
      <c r="OES32" s="28">
        <f t="shared" si="245"/>
        <v>0</v>
      </c>
      <c r="OET32" s="28">
        <f t="shared" si="245"/>
        <v>0</v>
      </c>
      <c r="OEU32" s="28">
        <f t="shared" si="245"/>
        <v>0</v>
      </c>
      <c r="OEV32" s="28">
        <f t="shared" si="245"/>
        <v>0</v>
      </c>
      <c r="OEW32" s="28">
        <f t="shared" si="245"/>
        <v>0</v>
      </c>
      <c r="OEX32" s="28">
        <f t="shared" si="245"/>
        <v>0</v>
      </c>
      <c r="OEY32" s="28">
        <f t="shared" si="245"/>
        <v>0</v>
      </c>
      <c r="OEZ32" s="28">
        <f t="shared" si="245"/>
        <v>0</v>
      </c>
      <c r="OFA32" s="28">
        <f t="shared" si="245"/>
        <v>0</v>
      </c>
      <c r="OFB32" s="28">
        <f t="shared" si="245"/>
        <v>0</v>
      </c>
      <c r="OFC32" s="28">
        <f t="shared" si="245"/>
        <v>0</v>
      </c>
      <c r="OFD32" s="28">
        <f t="shared" si="245"/>
        <v>0</v>
      </c>
      <c r="OFE32" s="28">
        <f t="shared" si="245"/>
        <v>0</v>
      </c>
      <c r="OFF32" s="28">
        <f t="shared" si="245"/>
        <v>0</v>
      </c>
      <c r="OFG32" s="28">
        <f t="shared" si="245"/>
        <v>0</v>
      </c>
      <c r="OFH32" s="28">
        <f t="shared" si="245"/>
        <v>0</v>
      </c>
      <c r="OFI32" s="28">
        <f t="shared" si="245"/>
        <v>0</v>
      </c>
      <c r="OFJ32" s="28">
        <f t="shared" si="245"/>
        <v>0</v>
      </c>
      <c r="OFK32" s="28">
        <f t="shared" si="245"/>
        <v>0</v>
      </c>
      <c r="OFL32" s="28">
        <f t="shared" si="245"/>
        <v>0</v>
      </c>
      <c r="OFM32" s="28">
        <f t="shared" si="245"/>
        <v>0</v>
      </c>
      <c r="OFN32" s="28">
        <f t="shared" si="245"/>
        <v>0</v>
      </c>
      <c r="OFO32" s="28">
        <f t="shared" si="245"/>
        <v>0</v>
      </c>
      <c r="OFP32" s="28">
        <f t="shared" si="245"/>
        <v>0</v>
      </c>
      <c r="OFQ32" s="28">
        <f t="shared" ref="OFQ32:OIB32" si="246">IFERROR(OFQ31/OFQ$4,0)</f>
        <v>0</v>
      </c>
      <c r="OFR32" s="28">
        <f t="shared" si="246"/>
        <v>0</v>
      </c>
      <c r="OFS32" s="28">
        <f t="shared" si="246"/>
        <v>0</v>
      </c>
      <c r="OFT32" s="28">
        <f t="shared" si="246"/>
        <v>0</v>
      </c>
      <c r="OFU32" s="28">
        <f t="shared" si="246"/>
        <v>0</v>
      </c>
      <c r="OFV32" s="28">
        <f t="shared" si="246"/>
        <v>0</v>
      </c>
      <c r="OFW32" s="28">
        <f t="shared" si="246"/>
        <v>0</v>
      </c>
      <c r="OFX32" s="28">
        <f t="shared" si="246"/>
        <v>0</v>
      </c>
      <c r="OFY32" s="28">
        <f t="shared" si="246"/>
        <v>0</v>
      </c>
      <c r="OFZ32" s="28">
        <f t="shared" si="246"/>
        <v>0</v>
      </c>
      <c r="OGA32" s="28">
        <f t="shared" si="246"/>
        <v>0</v>
      </c>
      <c r="OGB32" s="28">
        <f t="shared" si="246"/>
        <v>0</v>
      </c>
      <c r="OGC32" s="28">
        <f t="shared" si="246"/>
        <v>0</v>
      </c>
      <c r="OGD32" s="28">
        <f t="shared" si="246"/>
        <v>0</v>
      </c>
      <c r="OGE32" s="28">
        <f t="shared" si="246"/>
        <v>0</v>
      </c>
      <c r="OGF32" s="28">
        <f t="shared" si="246"/>
        <v>0</v>
      </c>
      <c r="OGG32" s="28">
        <f t="shared" si="246"/>
        <v>0</v>
      </c>
      <c r="OGH32" s="28">
        <f t="shared" si="246"/>
        <v>0</v>
      </c>
      <c r="OGI32" s="28">
        <f t="shared" si="246"/>
        <v>0</v>
      </c>
      <c r="OGJ32" s="28">
        <f t="shared" si="246"/>
        <v>0</v>
      </c>
      <c r="OGK32" s="28">
        <f t="shared" si="246"/>
        <v>0</v>
      </c>
      <c r="OGL32" s="28">
        <f t="shared" si="246"/>
        <v>0</v>
      </c>
      <c r="OGM32" s="28">
        <f t="shared" si="246"/>
        <v>0</v>
      </c>
      <c r="OGN32" s="28">
        <f t="shared" si="246"/>
        <v>0</v>
      </c>
      <c r="OGO32" s="28">
        <f t="shared" si="246"/>
        <v>0</v>
      </c>
      <c r="OGP32" s="28">
        <f t="shared" si="246"/>
        <v>0</v>
      </c>
      <c r="OGQ32" s="28">
        <f t="shared" si="246"/>
        <v>0</v>
      </c>
      <c r="OGR32" s="28">
        <f t="shared" si="246"/>
        <v>0</v>
      </c>
      <c r="OGS32" s="28">
        <f t="shared" si="246"/>
        <v>0</v>
      </c>
      <c r="OGT32" s="28">
        <f t="shared" si="246"/>
        <v>0</v>
      </c>
      <c r="OGU32" s="28">
        <f t="shared" si="246"/>
        <v>0</v>
      </c>
      <c r="OGV32" s="28">
        <f t="shared" si="246"/>
        <v>0</v>
      </c>
      <c r="OGW32" s="28">
        <f t="shared" si="246"/>
        <v>0</v>
      </c>
      <c r="OGX32" s="28">
        <f t="shared" si="246"/>
        <v>0</v>
      </c>
      <c r="OGY32" s="28">
        <f t="shared" si="246"/>
        <v>0</v>
      </c>
      <c r="OGZ32" s="28">
        <f t="shared" si="246"/>
        <v>0</v>
      </c>
      <c r="OHA32" s="28">
        <f t="shared" si="246"/>
        <v>0</v>
      </c>
      <c r="OHB32" s="28">
        <f t="shared" si="246"/>
        <v>0</v>
      </c>
      <c r="OHC32" s="28">
        <f t="shared" si="246"/>
        <v>0</v>
      </c>
      <c r="OHD32" s="28">
        <f t="shared" si="246"/>
        <v>0</v>
      </c>
      <c r="OHE32" s="28">
        <f t="shared" si="246"/>
        <v>0</v>
      </c>
      <c r="OHF32" s="28">
        <f t="shared" si="246"/>
        <v>0</v>
      </c>
      <c r="OHG32" s="28">
        <f t="shared" si="246"/>
        <v>0</v>
      </c>
      <c r="OHH32" s="28">
        <f t="shared" si="246"/>
        <v>0</v>
      </c>
      <c r="OHI32" s="28">
        <f t="shared" si="246"/>
        <v>0</v>
      </c>
      <c r="OHJ32" s="28">
        <f t="shared" si="246"/>
        <v>0</v>
      </c>
      <c r="OHK32" s="28">
        <f t="shared" si="246"/>
        <v>0</v>
      </c>
      <c r="OHL32" s="28">
        <f t="shared" si="246"/>
        <v>0</v>
      </c>
      <c r="OHM32" s="28">
        <f t="shared" si="246"/>
        <v>0</v>
      </c>
      <c r="OHN32" s="28">
        <f t="shared" si="246"/>
        <v>0</v>
      </c>
      <c r="OHO32" s="28">
        <f t="shared" si="246"/>
        <v>0</v>
      </c>
      <c r="OHP32" s="28">
        <f t="shared" si="246"/>
        <v>0</v>
      </c>
      <c r="OHQ32" s="28">
        <f t="shared" si="246"/>
        <v>0</v>
      </c>
      <c r="OHR32" s="28">
        <f t="shared" si="246"/>
        <v>0</v>
      </c>
      <c r="OHS32" s="28">
        <f t="shared" si="246"/>
        <v>0</v>
      </c>
      <c r="OHT32" s="28">
        <f t="shared" si="246"/>
        <v>0</v>
      </c>
      <c r="OHU32" s="28">
        <f t="shared" si="246"/>
        <v>0</v>
      </c>
      <c r="OHV32" s="28">
        <f t="shared" si="246"/>
        <v>0</v>
      </c>
      <c r="OHW32" s="28">
        <f t="shared" si="246"/>
        <v>0</v>
      </c>
      <c r="OHX32" s="28">
        <f t="shared" si="246"/>
        <v>0</v>
      </c>
      <c r="OHY32" s="28">
        <f t="shared" si="246"/>
        <v>0</v>
      </c>
      <c r="OHZ32" s="28">
        <f t="shared" si="246"/>
        <v>0</v>
      </c>
      <c r="OIA32" s="28">
        <f t="shared" si="246"/>
        <v>0</v>
      </c>
      <c r="OIB32" s="28">
        <f t="shared" si="246"/>
        <v>0</v>
      </c>
      <c r="OIC32" s="28">
        <f t="shared" ref="OIC32:OKN32" si="247">IFERROR(OIC31/OIC$4,0)</f>
        <v>0</v>
      </c>
      <c r="OID32" s="28">
        <f t="shared" si="247"/>
        <v>0</v>
      </c>
      <c r="OIE32" s="28">
        <f t="shared" si="247"/>
        <v>0</v>
      </c>
      <c r="OIF32" s="28">
        <f t="shared" si="247"/>
        <v>0</v>
      </c>
      <c r="OIG32" s="28">
        <f t="shared" si="247"/>
        <v>0</v>
      </c>
      <c r="OIH32" s="28">
        <f t="shared" si="247"/>
        <v>0</v>
      </c>
      <c r="OII32" s="28">
        <f t="shared" si="247"/>
        <v>0</v>
      </c>
      <c r="OIJ32" s="28">
        <f t="shared" si="247"/>
        <v>0</v>
      </c>
      <c r="OIK32" s="28">
        <f t="shared" si="247"/>
        <v>0</v>
      </c>
      <c r="OIL32" s="28">
        <f t="shared" si="247"/>
        <v>0</v>
      </c>
      <c r="OIM32" s="28">
        <f t="shared" si="247"/>
        <v>0</v>
      </c>
      <c r="OIN32" s="28">
        <f t="shared" si="247"/>
        <v>0</v>
      </c>
      <c r="OIO32" s="28">
        <f t="shared" si="247"/>
        <v>0</v>
      </c>
      <c r="OIP32" s="28">
        <f t="shared" si="247"/>
        <v>0</v>
      </c>
      <c r="OIQ32" s="28">
        <f t="shared" si="247"/>
        <v>0</v>
      </c>
      <c r="OIR32" s="28">
        <f t="shared" si="247"/>
        <v>0</v>
      </c>
      <c r="OIS32" s="28">
        <f t="shared" si="247"/>
        <v>0</v>
      </c>
      <c r="OIT32" s="28">
        <f t="shared" si="247"/>
        <v>0</v>
      </c>
      <c r="OIU32" s="28">
        <f t="shared" si="247"/>
        <v>0</v>
      </c>
      <c r="OIV32" s="28">
        <f t="shared" si="247"/>
        <v>0</v>
      </c>
      <c r="OIW32" s="28">
        <f t="shared" si="247"/>
        <v>0</v>
      </c>
      <c r="OIX32" s="28">
        <f t="shared" si="247"/>
        <v>0</v>
      </c>
      <c r="OIY32" s="28">
        <f t="shared" si="247"/>
        <v>0</v>
      </c>
      <c r="OIZ32" s="28">
        <f t="shared" si="247"/>
        <v>0</v>
      </c>
      <c r="OJA32" s="28">
        <f t="shared" si="247"/>
        <v>0</v>
      </c>
      <c r="OJB32" s="28">
        <f t="shared" si="247"/>
        <v>0</v>
      </c>
      <c r="OJC32" s="28">
        <f t="shared" si="247"/>
        <v>0</v>
      </c>
      <c r="OJD32" s="28">
        <f t="shared" si="247"/>
        <v>0</v>
      </c>
      <c r="OJE32" s="28">
        <f t="shared" si="247"/>
        <v>0</v>
      </c>
      <c r="OJF32" s="28">
        <f t="shared" si="247"/>
        <v>0</v>
      </c>
      <c r="OJG32" s="28">
        <f t="shared" si="247"/>
        <v>0</v>
      </c>
      <c r="OJH32" s="28">
        <f t="shared" si="247"/>
        <v>0</v>
      </c>
      <c r="OJI32" s="28">
        <f t="shared" si="247"/>
        <v>0</v>
      </c>
      <c r="OJJ32" s="28">
        <f t="shared" si="247"/>
        <v>0</v>
      </c>
      <c r="OJK32" s="28">
        <f t="shared" si="247"/>
        <v>0</v>
      </c>
      <c r="OJL32" s="28">
        <f t="shared" si="247"/>
        <v>0</v>
      </c>
      <c r="OJM32" s="28">
        <f t="shared" si="247"/>
        <v>0</v>
      </c>
      <c r="OJN32" s="28">
        <f t="shared" si="247"/>
        <v>0</v>
      </c>
      <c r="OJO32" s="28">
        <f t="shared" si="247"/>
        <v>0</v>
      </c>
      <c r="OJP32" s="28">
        <f t="shared" si="247"/>
        <v>0</v>
      </c>
      <c r="OJQ32" s="28">
        <f t="shared" si="247"/>
        <v>0</v>
      </c>
      <c r="OJR32" s="28">
        <f t="shared" si="247"/>
        <v>0</v>
      </c>
      <c r="OJS32" s="28">
        <f t="shared" si="247"/>
        <v>0</v>
      </c>
      <c r="OJT32" s="28">
        <f t="shared" si="247"/>
        <v>0</v>
      </c>
      <c r="OJU32" s="28">
        <f t="shared" si="247"/>
        <v>0</v>
      </c>
      <c r="OJV32" s="28">
        <f t="shared" si="247"/>
        <v>0</v>
      </c>
      <c r="OJW32" s="28">
        <f t="shared" si="247"/>
        <v>0</v>
      </c>
      <c r="OJX32" s="28">
        <f t="shared" si="247"/>
        <v>0</v>
      </c>
      <c r="OJY32" s="28">
        <f t="shared" si="247"/>
        <v>0</v>
      </c>
      <c r="OJZ32" s="28">
        <f t="shared" si="247"/>
        <v>0</v>
      </c>
      <c r="OKA32" s="28">
        <f t="shared" si="247"/>
        <v>0</v>
      </c>
      <c r="OKB32" s="28">
        <f t="shared" si="247"/>
        <v>0</v>
      </c>
      <c r="OKC32" s="28">
        <f t="shared" si="247"/>
        <v>0</v>
      </c>
      <c r="OKD32" s="28">
        <f t="shared" si="247"/>
        <v>0</v>
      </c>
      <c r="OKE32" s="28">
        <f t="shared" si="247"/>
        <v>0</v>
      </c>
      <c r="OKF32" s="28">
        <f t="shared" si="247"/>
        <v>0</v>
      </c>
      <c r="OKG32" s="28">
        <f t="shared" si="247"/>
        <v>0</v>
      </c>
      <c r="OKH32" s="28">
        <f t="shared" si="247"/>
        <v>0</v>
      </c>
      <c r="OKI32" s="28">
        <f t="shared" si="247"/>
        <v>0</v>
      </c>
      <c r="OKJ32" s="28">
        <f t="shared" si="247"/>
        <v>0</v>
      </c>
      <c r="OKK32" s="28">
        <f t="shared" si="247"/>
        <v>0</v>
      </c>
      <c r="OKL32" s="28">
        <f t="shared" si="247"/>
        <v>0</v>
      </c>
      <c r="OKM32" s="28">
        <f t="shared" si="247"/>
        <v>0</v>
      </c>
      <c r="OKN32" s="28">
        <f t="shared" si="247"/>
        <v>0</v>
      </c>
      <c r="OKO32" s="28">
        <f t="shared" ref="OKO32:OMZ32" si="248">IFERROR(OKO31/OKO$4,0)</f>
        <v>0</v>
      </c>
      <c r="OKP32" s="28">
        <f t="shared" si="248"/>
        <v>0</v>
      </c>
      <c r="OKQ32" s="28">
        <f t="shared" si="248"/>
        <v>0</v>
      </c>
      <c r="OKR32" s="28">
        <f t="shared" si="248"/>
        <v>0</v>
      </c>
      <c r="OKS32" s="28">
        <f t="shared" si="248"/>
        <v>0</v>
      </c>
      <c r="OKT32" s="28">
        <f t="shared" si="248"/>
        <v>0</v>
      </c>
      <c r="OKU32" s="28">
        <f t="shared" si="248"/>
        <v>0</v>
      </c>
      <c r="OKV32" s="28">
        <f t="shared" si="248"/>
        <v>0</v>
      </c>
      <c r="OKW32" s="28">
        <f t="shared" si="248"/>
        <v>0</v>
      </c>
      <c r="OKX32" s="28">
        <f t="shared" si="248"/>
        <v>0</v>
      </c>
      <c r="OKY32" s="28">
        <f t="shared" si="248"/>
        <v>0</v>
      </c>
      <c r="OKZ32" s="28">
        <f t="shared" si="248"/>
        <v>0</v>
      </c>
      <c r="OLA32" s="28">
        <f t="shared" si="248"/>
        <v>0</v>
      </c>
      <c r="OLB32" s="28">
        <f t="shared" si="248"/>
        <v>0</v>
      </c>
      <c r="OLC32" s="28">
        <f t="shared" si="248"/>
        <v>0</v>
      </c>
      <c r="OLD32" s="28">
        <f t="shared" si="248"/>
        <v>0</v>
      </c>
      <c r="OLE32" s="28">
        <f t="shared" si="248"/>
        <v>0</v>
      </c>
      <c r="OLF32" s="28">
        <f t="shared" si="248"/>
        <v>0</v>
      </c>
      <c r="OLG32" s="28">
        <f t="shared" si="248"/>
        <v>0</v>
      </c>
      <c r="OLH32" s="28">
        <f t="shared" si="248"/>
        <v>0</v>
      </c>
      <c r="OLI32" s="28">
        <f t="shared" si="248"/>
        <v>0</v>
      </c>
      <c r="OLJ32" s="28">
        <f t="shared" si="248"/>
        <v>0</v>
      </c>
      <c r="OLK32" s="28">
        <f t="shared" si="248"/>
        <v>0</v>
      </c>
      <c r="OLL32" s="28">
        <f t="shared" si="248"/>
        <v>0</v>
      </c>
      <c r="OLM32" s="28">
        <f t="shared" si="248"/>
        <v>0</v>
      </c>
      <c r="OLN32" s="28">
        <f t="shared" si="248"/>
        <v>0</v>
      </c>
      <c r="OLO32" s="28">
        <f t="shared" si="248"/>
        <v>0</v>
      </c>
      <c r="OLP32" s="28">
        <f t="shared" si="248"/>
        <v>0</v>
      </c>
      <c r="OLQ32" s="28">
        <f t="shared" si="248"/>
        <v>0</v>
      </c>
      <c r="OLR32" s="28">
        <f t="shared" si="248"/>
        <v>0</v>
      </c>
      <c r="OLS32" s="28">
        <f t="shared" si="248"/>
        <v>0</v>
      </c>
      <c r="OLT32" s="28">
        <f t="shared" si="248"/>
        <v>0</v>
      </c>
      <c r="OLU32" s="28">
        <f t="shared" si="248"/>
        <v>0</v>
      </c>
      <c r="OLV32" s="28">
        <f t="shared" si="248"/>
        <v>0</v>
      </c>
      <c r="OLW32" s="28">
        <f t="shared" si="248"/>
        <v>0</v>
      </c>
      <c r="OLX32" s="28">
        <f t="shared" si="248"/>
        <v>0</v>
      </c>
      <c r="OLY32" s="28">
        <f t="shared" si="248"/>
        <v>0</v>
      </c>
      <c r="OLZ32" s="28">
        <f t="shared" si="248"/>
        <v>0</v>
      </c>
      <c r="OMA32" s="28">
        <f t="shared" si="248"/>
        <v>0</v>
      </c>
      <c r="OMB32" s="28">
        <f t="shared" si="248"/>
        <v>0</v>
      </c>
      <c r="OMC32" s="28">
        <f t="shared" si="248"/>
        <v>0</v>
      </c>
      <c r="OMD32" s="28">
        <f t="shared" si="248"/>
        <v>0</v>
      </c>
      <c r="OME32" s="28">
        <f t="shared" si="248"/>
        <v>0</v>
      </c>
      <c r="OMF32" s="28">
        <f t="shared" si="248"/>
        <v>0</v>
      </c>
      <c r="OMG32" s="28">
        <f t="shared" si="248"/>
        <v>0</v>
      </c>
      <c r="OMH32" s="28">
        <f t="shared" si="248"/>
        <v>0</v>
      </c>
      <c r="OMI32" s="28">
        <f t="shared" si="248"/>
        <v>0</v>
      </c>
      <c r="OMJ32" s="28">
        <f t="shared" si="248"/>
        <v>0</v>
      </c>
      <c r="OMK32" s="28">
        <f t="shared" si="248"/>
        <v>0</v>
      </c>
      <c r="OML32" s="28">
        <f t="shared" si="248"/>
        <v>0</v>
      </c>
      <c r="OMM32" s="28">
        <f t="shared" si="248"/>
        <v>0</v>
      </c>
      <c r="OMN32" s="28">
        <f t="shared" si="248"/>
        <v>0</v>
      </c>
      <c r="OMO32" s="28">
        <f t="shared" si="248"/>
        <v>0</v>
      </c>
      <c r="OMP32" s="28">
        <f t="shared" si="248"/>
        <v>0</v>
      </c>
      <c r="OMQ32" s="28">
        <f t="shared" si="248"/>
        <v>0</v>
      </c>
      <c r="OMR32" s="28">
        <f t="shared" si="248"/>
        <v>0</v>
      </c>
      <c r="OMS32" s="28">
        <f t="shared" si="248"/>
        <v>0</v>
      </c>
      <c r="OMT32" s="28">
        <f t="shared" si="248"/>
        <v>0</v>
      </c>
      <c r="OMU32" s="28">
        <f t="shared" si="248"/>
        <v>0</v>
      </c>
      <c r="OMV32" s="28">
        <f t="shared" si="248"/>
        <v>0</v>
      </c>
      <c r="OMW32" s="28">
        <f t="shared" si="248"/>
        <v>0</v>
      </c>
      <c r="OMX32" s="28">
        <f t="shared" si="248"/>
        <v>0</v>
      </c>
      <c r="OMY32" s="28">
        <f t="shared" si="248"/>
        <v>0</v>
      </c>
      <c r="OMZ32" s="28">
        <f t="shared" si="248"/>
        <v>0</v>
      </c>
      <c r="ONA32" s="28">
        <f t="shared" ref="ONA32:OPL32" si="249">IFERROR(ONA31/ONA$4,0)</f>
        <v>0</v>
      </c>
      <c r="ONB32" s="28">
        <f t="shared" si="249"/>
        <v>0</v>
      </c>
      <c r="ONC32" s="28">
        <f t="shared" si="249"/>
        <v>0</v>
      </c>
      <c r="OND32" s="28">
        <f t="shared" si="249"/>
        <v>0</v>
      </c>
      <c r="ONE32" s="28">
        <f t="shared" si="249"/>
        <v>0</v>
      </c>
      <c r="ONF32" s="28">
        <f t="shared" si="249"/>
        <v>0</v>
      </c>
      <c r="ONG32" s="28">
        <f t="shared" si="249"/>
        <v>0</v>
      </c>
      <c r="ONH32" s="28">
        <f t="shared" si="249"/>
        <v>0</v>
      </c>
      <c r="ONI32" s="28">
        <f t="shared" si="249"/>
        <v>0</v>
      </c>
      <c r="ONJ32" s="28">
        <f t="shared" si="249"/>
        <v>0</v>
      </c>
      <c r="ONK32" s="28">
        <f t="shared" si="249"/>
        <v>0</v>
      </c>
      <c r="ONL32" s="28">
        <f t="shared" si="249"/>
        <v>0</v>
      </c>
      <c r="ONM32" s="28">
        <f t="shared" si="249"/>
        <v>0</v>
      </c>
      <c r="ONN32" s="28">
        <f t="shared" si="249"/>
        <v>0</v>
      </c>
      <c r="ONO32" s="28">
        <f t="shared" si="249"/>
        <v>0</v>
      </c>
      <c r="ONP32" s="28">
        <f t="shared" si="249"/>
        <v>0</v>
      </c>
      <c r="ONQ32" s="28">
        <f t="shared" si="249"/>
        <v>0</v>
      </c>
      <c r="ONR32" s="28">
        <f t="shared" si="249"/>
        <v>0</v>
      </c>
      <c r="ONS32" s="28">
        <f t="shared" si="249"/>
        <v>0</v>
      </c>
      <c r="ONT32" s="28">
        <f t="shared" si="249"/>
        <v>0</v>
      </c>
      <c r="ONU32" s="28">
        <f t="shared" si="249"/>
        <v>0</v>
      </c>
      <c r="ONV32" s="28">
        <f t="shared" si="249"/>
        <v>0</v>
      </c>
      <c r="ONW32" s="28">
        <f t="shared" si="249"/>
        <v>0</v>
      </c>
      <c r="ONX32" s="28">
        <f t="shared" si="249"/>
        <v>0</v>
      </c>
      <c r="ONY32" s="28">
        <f t="shared" si="249"/>
        <v>0</v>
      </c>
      <c r="ONZ32" s="28">
        <f t="shared" si="249"/>
        <v>0</v>
      </c>
      <c r="OOA32" s="28">
        <f t="shared" si="249"/>
        <v>0</v>
      </c>
      <c r="OOB32" s="28">
        <f t="shared" si="249"/>
        <v>0</v>
      </c>
      <c r="OOC32" s="28">
        <f t="shared" si="249"/>
        <v>0</v>
      </c>
      <c r="OOD32" s="28">
        <f t="shared" si="249"/>
        <v>0</v>
      </c>
      <c r="OOE32" s="28">
        <f t="shared" si="249"/>
        <v>0</v>
      </c>
      <c r="OOF32" s="28">
        <f t="shared" si="249"/>
        <v>0</v>
      </c>
      <c r="OOG32" s="28">
        <f t="shared" si="249"/>
        <v>0</v>
      </c>
      <c r="OOH32" s="28">
        <f t="shared" si="249"/>
        <v>0</v>
      </c>
      <c r="OOI32" s="28">
        <f t="shared" si="249"/>
        <v>0</v>
      </c>
      <c r="OOJ32" s="28">
        <f t="shared" si="249"/>
        <v>0</v>
      </c>
      <c r="OOK32" s="28">
        <f t="shared" si="249"/>
        <v>0</v>
      </c>
      <c r="OOL32" s="28">
        <f t="shared" si="249"/>
        <v>0</v>
      </c>
      <c r="OOM32" s="28">
        <f t="shared" si="249"/>
        <v>0</v>
      </c>
      <c r="OON32" s="28">
        <f t="shared" si="249"/>
        <v>0</v>
      </c>
      <c r="OOO32" s="28">
        <f t="shared" si="249"/>
        <v>0</v>
      </c>
      <c r="OOP32" s="28">
        <f t="shared" si="249"/>
        <v>0</v>
      </c>
      <c r="OOQ32" s="28">
        <f t="shared" si="249"/>
        <v>0</v>
      </c>
      <c r="OOR32" s="28">
        <f t="shared" si="249"/>
        <v>0</v>
      </c>
      <c r="OOS32" s="28">
        <f t="shared" si="249"/>
        <v>0</v>
      </c>
      <c r="OOT32" s="28">
        <f t="shared" si="249"/>
        <v>0</v>
      </c>
      <c r="OOU32" s="28">
        <f t="shared" si="249"/>
        <v>0</v>
      </c>
      <c r="OOV32" s="28">
        <f t="shared" si="249"/>
        <v>0</v>
      </c>
      <c r="OOW32" s="28">
        <f t="shared" si="249"/>
        <v>0</v>
      </c>
      <c r="OOX32" s="28">
        <f t="shared" si="249"/>
        <v>0</v>
      </c>
      <c r="OOY32" s="28">
        <f t="shared" si="249"/>
        <v>0</v>
      </c>
      <c r="OOZ32" s="28">
        <f t="shared" si="249"/>
        <v>0</v>
      </c>
      <c r="OPA32" s="28">
        <f t="shared" si="249"/>
        <v>0</v>
      </c>
      <c r="OPB32" s="28">
        <f t="shared" si="249"/>
        <v>0</v>
      </c>
      <c r="OPC32" s="28">
        <f t="shared" si="249"/>
        <v>0</v>
      </c>
      <c r="OPD32" s="28">
        <f t="shared" si="249"/>
        <v>0</v>
      </c>
      <c r="OPE32" s="28">
        <f t="shared" si="249"/>
        <v>0</v>
      </c>
      <c r="OPF32" s="28">
        <f t="shared" si="249"/>
        <v>0</v>
      </c>
      <c r="OPG32" s="28">
        <f t="shared" si="249"/>
        <v>0</v>
      </c>
      <c r="OPH32" s="28">
        <f t="shared" si="249"/>
        <v>0</v>
      </c>
      <c r="OPI32" s="28">
        <f t="shared" si="249"/>
        <v>0</v>
      </c>
      <c r="OPJ32" s="28">
        <f t="shared" si="249"/>
        <v>0</v>
      </c>
      <c r="OPK32" s="28">
        <f t="shared" si="249"/>
        <v>0</v>
      </c>
      <c r="OPL32" s="28">
        <f t="shared" si="249"/>
        <v>0</v>
      </c>
      <c r="OPM32" s="28">
        <f t="shared" ref="OPM32:ORX32" si="250">IFERROR(OPM31/OPM$4,0)</f>
        <v>0</v>
      </c>
      <c r="OPN32" s="28">
        <f t="shared" si="250"/>
        <v>0</v>
      </c>
      <c r="OPO32" s="28">
        <f t="shared" si="250"/>
        <v>0</v>
      </c>
      <c r="OPP32" s="28">
        <f t="shared" si="250"/>
        <v>0</v>
      </c>
      <c r="OPQ32" s="28">
        <f t="shared" si="250"/>
        <v>0</v>
      </c>
      <c r="OPR32" s="28">
        <f t="shared" si="250"/>
        <v>0</v>
      </c>
      <c r="OPS32" s="28">
        <f t="shared" si="250"/>
        <v>0</v>
      </c>
      <c r="OPT32" s="28">
        <f t="shared" si="250"/>
        <v>0</v>
      </c>
      <c r="OPU32" s="28">
        <f t="shared" si="250"/>
        <v>0</v>
      </c>
      <c r="OPV32" s="28">
        <f t="shared" si="250"/>
        <v>0</v>
      </c>
      <c r="OPW32" s="28">
        <f t="shared" si="250"/>
        <v>0</v>
      </c>
      <c r="OPX32" s="28">
        <f t="shared" si="250"/>
        <v>0</v>
      </c>
      <c r="OPY32" s="28">
        <f t="shared" si="250"/>
        <v>0</v>
      </c>
      <c r="OPZ32" s="28">
        <f t="shared" si="250"/>
        <v>0</v>
      </c>
      <c r="OQA32" s="28">
        <f t="shared" si="250"/>
        <v>0</v>
      </c>
      <c r="OQB32" s="28">
        <f t="shared" si="250"/>
        <v>0</v>
      </c>
      <c r="OQC32" s="28">
        <f t="shared" si="250"/>
        <v>0</v>
      </c>
      <c r="OQD32" s="28">
        <f t="shared" si="250"/>
        <v>0</v>
      </c>
      <c r="OQE32" s="28">
        <f t="shared" si="250"/>
        <v>0</v>
      </c>
      <c r="OQF32" s="28">
        <f t="shared" si="250"/>
        <v>0</v>
      </c>
      <c r="OQG32" s="28">
        <f t="shared" si="250"/>
        <v>0</v>
      </c>
      <c r="OQH32" s="28">
        <f t="shared" si="250"/>
        <v>0</v>
      </c>
      <c r="OQI32" s="28">
        <f t="shared" si="250"/>
        <v>0</v>
      </c>
      <c r="OQJ32" s="28">
        <f t="shared" si="250"/>
        <v>0</v>
      </c>
      <c r="OQK32" s="28">
        <f t="shared" si="250"/>
        <v>0</v>
      </c>
      <c r="OQL32" s="28">
        <f t="shared" si="250"/>
        <v>0</v>
      </c>
      <c r="OQM32" s="28">
        <f t="shared" si="250"/>
        <v>0</v>
      </c>
      <c r="OQN32" s="28">
        <f t="shared" si="250"/>
        <v>0</v>
      </c>
      <c r="OQO32" s="28">
        <f t="shared" si="250"/>
        <v>0</v>
      </c>
      <c r="OQP32" s="28">
        <f t="shared" si="250"/>
        <v>0</v>
      </c>
      <c r="OQQ32" s="28">
        <f t="shared" si="250"/>
        <v>0</v>
      </c>
      <c r="OQR32" s="28">
        <f t="shared" si="250"/>
        <v>0</v>
      </c>
      <c r="OQS32" s="28">
        <f t="shared" si="250"/>
        <v>0</v>
      </c>
      <c r="OQT32" s="28">
        <f t="shared" si="250"/>
        <v>0</v>
      </c>
      <c r="OQU32" s="28">
        <f t="shared" si="250"/>
        <v>0</v>
      </c>
      <c r="OQV32" s="28">
        <f t="shared" si="250"/>
        <v>0</v>
      </c>
      <c r="OQW32" s="28">
        <f t="shared" si="250"/>
        <v>0</v>
      </c>
      <c r="OQX32" s="28">
        <f t="shared" si="250"/>
        <v>0</v>
      </c>
      <c r="OQY32" s="28">
        <f t="shared" si="250"/>
        <v>0</v>
      </c>
      <c r="OQZ32" s="28">
        <f t="shared" si="250"/>
        <v>0</v>
      </c>
      <c r="ORA32" s="28">
        <f t="shared" si="250"/>
        <v>0</v>
      </c>
      <c r="ORB32" s="28">
        <f t="shared" si="250"/>
        <v>0</v>
      </c>
      <c r="ORC32" s="28">
        <f t="shared" si="250"/>
        <v>0</v>
      </c>
      <c r="ORD32" s="28">
        <f t="shared" si="250"/>
        <v>0</v>
      </c>
      <c r="ORE32" s="28">
        <f t="shared" si="250"/>
        <v>0</v>
      </c>
      <c r="ORF32" s="28">
        <f t="shared" si="250"/>
        <v>0</v>
      </c>
      <c r="ORG32" s="28">
        <f t="shared" si="250"/>
        <v>0</v>
      </c>
      <c r="ORH32" s="28">
        <f t="shared" si="250"/>
        <v>0</v>
      </c>
      <c r="ORI32" s="28">
        <f t="shared" si="250"/>
        <v>0</v>
      </c>
      <c r="ORJ32" s="28">
        <f t="shared" si="250"/>
        <v>0</v>
      </c>
      <c r="ORK32" s="28">
        <f t="shared" si="250"/>
        <v>0</v>
      </c>
      <c r="ORL32" s="28">
        <f t="shared" si="250"/>
        <v>0</v>
      </c>
      <c r="ORM32" s="28">
        <f t="shared" si="250"/>
        <v>0</v>
      </c>
      <c r="ORN32" s="28">
        <f t="shared" si="250"/>
        <v>0</v>
      </c>
      <c r="ORO32" s="28">
        <f t="shared" si="250"/>
        <v>0</v>
      </c>
      <c r="ORP32" s="28">
        <f t="shared" si="250"/>
        <v>0</v>
      </c>
      <c r="ORQ32" s="28">
        <f t="shared" si="250"/>
        <v>0</v>
      </c>
      <c r="ORR32" s="28">
        <f t="shared" si="250"/>
        <v>0</v>
      </c>
      <c r="ORS32" s="28">
        <f t="shared" si="250"/>
        <v>0</v>
      </c>
      <c r="ORT32" s="28">
        <f t="shared" si="250"/>
        <v>0</v>
      </c>
      <c r="ORU32" s="28">
        <f t="shared" si="250"/>
        <v>0</v>
      </c>
      <c r="ORV32" s="28">
        <f t="shared" si="250"/>
        <v>0</v>
      </c>
      <c r="ORW32" s="28">
        <f t="shared" si="250"/>
        <v>0</v>
      </c>
      <c r="ORX32" s="28">
        <f t="shared" si="250"/>
        <v>0</v>
      </c>
      <c r="ORY32" s="28">
        <f t="shared" ref="ORY32:OUJ32" si="251">IFERROR(ORY31/ORY$4,0)</f>
        <v>0</v>
      </c>
      <c r="ORZ32" s="28">
        <f t="shared" si="251"/>
        <v>0</v>
      </c>
      <c r="OSA32" s="28">
        <f t="shared" si="251"/>
        <v>0</v>
      </c>
      <c r="OSB32" s="28">
        <f t="shared" si="251"/>
        <v>0</v>
      </c>
      <c r="OSC32" s="28">
        <f t="shared" si="251"/>
        <v>0</v>
      </c>
      <c r="OSD32" s="28">
        <f t="shared" si="251"/>
        <v>0</v>
      </c>
      <c r="OSE32" s="28">
        <f t="shared" si="251"/>
        <v>0</v>
      </c>
      <c r="OSF32" s="28">
        <f t="shared" si="251"/>
        <v>0</v>
      </c>
      <c r="OSG32" s="28">
        <f t="shared" si="251"/>
        <v>0</v>
      </c>
      <c r="OSH32" s="28">
        <f t="shared" si="251"/>
        <v>0</v>
      </c>
      <c r="OSI32" s="28">
        <f t="shared" si="251"/>
        <v>0</v>
      </c>
      <c r="OSJ32" s="28">
        <f t="shared" si="251"/>
        <v>0</v>
      </c>
      <c r="OSK32" s="28">
        <f t="shared" si="251"/>
        <v>0</v>
      </c>
      <c r="OSL32" s="28">
        <f t="shared" si="251"/>
        <v>0</v>
      </c>
      <c r="OSM32" s="28">
        <f t="shared" si="251"/>
        <v>0</v>
      </c>
      <c r="OSN32" s="28">
        <f t="shared" si="251"/>
        <v>0</v>
      </c>
      <c r="OSO32" s="28">
        <f t="shared" si="251"/>
        <v>0</v>
      </c>
      <c r="OSP32" s="28">
        <f t="shared" si="251"/>
        <v>0</v>
      </c>
      <c r="OSQ32" s="28">
        <f t="shared" si="251"/>
        <v>0</v>
      </c>
      <c r="OSR32" s="28">
        <f t="shared" si="251"/>
        <v>0</v>
      </c>
      <c r="OSS32" s="28">
        <f t="shared" si="251"/>
        <v>0</v>
      </c>
      <c r="OST32" s="28">
        <f t="shared" si="251"/>
        <v>0</v>
      </c>
      <c r="OSU32" s="28">
        <f t="shared" si="251"/>
        <v>0</v>
      </c>
      <c r="OSV32" s="28">
        <f t="shared" si="251"/>
        <v>0</v>
      </c>
      <c r="OSW32" s="28">
        <f t="shared" si="251"/>
        <v>0</v>
      </c>
      <c r="OSX32" s="28">
        <f t="shared" si="251"/>
        <v>0</v>
      </c>
      <c r="OSY32" s="28">
        <f t="shared" si="251"/>
        <v>0</v>
      </c>
      <c r="OSZ32" s="28">
        <f t="shared" si="251"/>
        <v>0</v>
      </c>
      <c r="OTA32" s="28">
        <f t="shared" si="251"/>
        <v>0</v>
      </c>
      <c r="OTB32" s="28">
        <f t="shared" si="251"/>
        <v>0</v>
      </c>
      <c r="OTC32" s="28">
        <f t="shared" si="251"/>
        <v>0</v>
      </c>
      <c r="OTD32" s="28">
        <f t="shared" si="251"/>
        <v>0</v>
      </c>
      <c r="OTE32" s="28">
        <f t="shared" si="251"/>
        <v>0</v>
      </c>
      <c r="OTF32" s="28">
        <f t="shared" si="251"/>
        <v>0</v>
      </c>
      <c r="OTG32" s="28">
        <f t="shared" si="251"/>
        <v>0</v>
      </c>
      <c r="OTH32" s="28">
        <f t="shared" si="251"/>
        <v>0</v>
      </c>
      <c r="OTI32" s="28">
        <f t="shared" si="251"/>
        <v>0</v>
      </c>
      <c r="OTJ32" s="28">
        <f t="shared" si="251"/>
        <v>0</v>
      </c>
      <c r="OTK32" s="28">
        <f t="shared" si="251"/>
        <v>0</v>
      </c>
      <c r="OTL32" s="28">
        <f t="shared" si="251"/>
        <v>0</v>
      </c>
      <c r="OTM32" s="28">
        <f t="shared" si="251"/>
        <v>0</v>
      </c>
      <c r="OTN32" s="28">
        <f t="shared" si="251"/>
        <v>0</v>
      </c>
      <c r="OTO32" s="28">
        <f t="shared" si="251"/>
        <v>0</v>
      </c>
      <c r="OTP32" s="28">
        <f t="shared" si="251"/>
        <v>0</v>
      </c>
      <c r="OTQ32" s="28">
        <f t="shared" si="251"/>
        <v>0</v>
      </c>
      <c r="OTR32" s="28">
        <f t="shared" si="251"/>
        <v>0</v>
      </c>
      <c r="OTS32" s="28">
        <f t="shared" si="251"/>
        <v>0</v>
      </c>
      <c r="OTT32" s="28">
        <f t="shared" si="251"/>
        <v>0</v>
      </c>
      <c r="OTU32" s="28">
        <f t="shared" si="251"/>
        <v>0</v>
      </c>
      <c r="OTV32" s="28">
        <f t="shared" si="251"/>
        <v>0</v>
      </c>
      <c r="OTW32" s="28">
        <f t="shared" si="251"/>
        <v>0</v>
      </c>
      <c r="OTX32" s="28">
        <f t="shared" si="251"/>
        <v>0</v>
      </c>
      <c r="OTY32" s="28">
        <f t="shared" si="251"/>
        <v>0</v>
      </c>
      <c r="OTZ32" s="28">
        <f t="shared" si="251"/>
        <v>0</v>
      </c>
      <c r="OUA32" s="28">
        <f t="shared" si="251"/>
        <v>0</v>
      </c>
      <c r="OUB32" s="28">
        <f t="shared" si="251"/>
        <v>0</v>
      </c>
      <c r="OUC32" s="28">
        <f t="shared" si="251"/>
        <v>0</v>
      </c>
      <c r="OUD32" s="28">
        <f t="shared" si="251"/>
        <v>0</v>
      </c>
      <c r="OUE32" s="28">
        <f t="shared" si="251"/>
        <v>0</v>
      </c>
      <c r="OUF32" s="28">
        <f t="shared" si="251"/>
        <v>0</v>
      </c>
      <c r="OUG32" s="28">
        <f t="shared" si="251"/>
        <v>0</v>
      </c>
      <c r="OUH32" s="28">
        <f t="shared" si="251"/>
        <v>0</v>
      </c>
      <c r="OUI32" s="28">
        <f t="shared" si="251"/>
        <v>0</v>
      </c>
      <c r="OUJ32" s="28">
        <f t="shared" si="251"/>
        <v>0</v>
      </c>
      <c r="OUK32" s="28">
        <f t="shared" ref="OUK32:OWV32" si="252">IFERROR(OUK31/OUK$4,0)</f>
        <v>0</v>
      </c>
      <c r="OUL32" s="28">
        <f t="shared" si="252"/>
        <v>0</v>
      </c>
      <c r="OUM32" s="28">
        <f t="shared" si="252"/>
        <v>0</v>
      </c>
      <c r="OUN32" s="28">
        <f t="shared" si="252"/>
        <v>0</v>
      </c>
      <c r="OUO32" s="28">
        <f t="shared" si="252"/>
        <v>0</v>
      </c>
      <c r="OUP32" s="28">
        <f t="shared" si="252"/>
        <v>0</v>
      </c>
      <c r="OUQ32" s="28">
        <f t="shared" si="252"/>
        <v>0</v>
      </c>
      <c r="OUR32" s="28">
        <f t="shared" si="252"/>
        <v>0</v>
      </c>
      <c r="OUS32" s="28">
        <f t="shared" si="252"/>
        <v>0</v>
      </c>
      <c r="OUT32" s="28">
        <f t="shared" si="252"/>
        <v>0</v>
      </c>
      <c r="OUU32" s="28">
        <f t="shared" si="252"/>
        <v>0</v>
      </c>
      <c r="OUV32" s="28">
        <f t="shared" si="252"/>
        <v>0</v>
      </c>
      <c r="OUW32" s="28">
        <f t="shared" si="252"/>
        <v>0</v>
      </c>
      <c r="OUX32" s="28">
        <f t="shared" si="252"/>
        <v>0</v>
      </c>
      <c r="OUY32" s="28">
        <f t="shared" si="252"/>
        <v>0</v>
      </c>
      <c r="OUZ32" s="28">
        <f t="shared" si="252"/>
        <v>0</v>
      </c>
      <c r="OVA32" s="28">
        <f t="shared" si="252"/>
        <v>0</v>
      </c>
      <c r="OVB32" s="28">
        <f t="shared" si="252"/>
        <v>0</v>
      </c>
      <c r="OVC32" s="28">
        <f t="shared" si="252"/>
        <v>0</v>
      </c>
      <c r="OVD32" s="28">
        <f t="shared" si="252"/>
        <v>0</v>
      </c>
      <c r="OVE32" s="28">
        <f t="shared" si="252"/>
        <v>0</v>
      </c>
      <c r="OVF32" s="28">
        <f t="shared" si="252"/>
        <v>0</v>
      </c>
      <c r="OVG32" s="28">
        <f t="shared" si="252"/>
        <v>0</v>
      </c>
      <c r="OVH32" s="28">
        <f t="shared" si="252"/>
        <v>0</v>
      </c>
      <c r="OVI32" s="28">
        <f t="shared" si="252"/>
        <v>0</v>
      </c>
      <c r="OVJ32" s="28">
        <f t="shared" si="252"/>
        <v>0</v>
      </c>
      <c r="OVK32" s="28">
        <f t="shared" si="252"/>
        <v>0</v>
      </c>
      <c r="OVL32" s="28">
        <f t="shared" si="252"/>
        <v>0</v>
      </c>
      <c r="OVM32" s="28">
        <f t="shared" si="252"/>
        <v>0</v>
      </c>
      <c r="OVN32" s="28">
        <f t="shared" si="252"/>
        <v>0</v>
      </c>
      <c r="OVO32" s="28">
        <f t="shared" si="252"/>
        <v>0</v>
      </c>
      <c r="OVP32" s="28">
        <f t="shared" si="252"/>
        <v>0</v>
      </c>
      <c r="OVQ32" s="28">
        <f t="shared" si="252"/>
        <v>0</v>
      </c>
      <c r="OVR32" s="28">
        <f t="shared" si="252"/>
        <v>0</v>
      </c>
      <c r="OVS32" s="28">
        <f t="shared" si="252"/>
        <v>0</v>
      </c>
      <c r="OVT32" s="28">
        <f t="shared" si="252"/>
        <v>0</v>
      </c>
      <c r="OVU32" s="28">
        <f t="shared" si="252"/>
        <v>0</v>
      </c>
      <c r="OVV32" s="28">
        <f t="shared" si="252"/>
        <v>0</v>
      </c>
      <c r="OVW32" s="28">
        <f t="shared" si="252"/>
        <v>0</v>
      </c>
      <c r="OVX32" s="28">
        <f t="shared" si="252"/>
        <v>0</v>
      </c>
      <c r="OVY32" s="28">
        <f t="shared" si="252"/>
        <v>0</v>
      </c>
      <c r="OVZ32" s="28">
        <f t="shared" si="252"/>
        <v>0</v>
      </c>
      <c r="OWA32" s="28">
        <f t="shared" si="252"/>
        <v>0</v>
      </c>
      <c r="OWB32" s="28">
        <f t="shared" si="252"/>
        <v>0</v>
      </c>
      <c r="OWC32" s="28">
        <f t="shared" si="252"/>
        <v>0</v>
      </c>
      <c r="OWD32" s="28">
        <f t="shared" si="252"/>
        <v>0</v>
      </c>
      <c r="OWE32" s="28">
        <f t="shared" si="252"/>
        <v>0</v>
      </c>
      <c r="OWF32" s="28">
        <f t="shared" si="252"/>
        <v>0</v>
      </c>
      <c r="OWG32" s="28">
        <f t="shared" si="252"/>
        <v>0</v>
      </c>
      <c r="OWH32" s="28">
        <f t="shared" si="252"/>
        <v>0</v>
      </c>
      <c r="OWI32" s="28">
        <f t="shared" si="252"/>
        <v>0</v>
      </c>
      <c r="OWJ32" s="28">
        <f t="shared" si="252"/>
        <v>0</v>
      </c>
      <c r="OWK32" s="28">
        <f t="shared" si="252"/>
        <v>0</v>
      </c>
      <c r="OWL32" s="28">
        <f t="shared" si="252"/>
        <v>0</v>
      </c>
      <c r="OWM32" s="28">
        <f t="shared" si="252"/>
        <v>0</v>
      </c>
      <c r="OWN32" s="28">
        <f t="shared" si="252"/>
        <v>0</v>
      </c>
      <c r="OWO32" s="28">
        <f t="shared" si="252"/>
        <v>0</v>
      </c>
      <c r="OWP32" s="28">
        <f t="shared" si="252"/>
        <v>0</v>
      </c>
      <c r="OWQ32" s="28">
        <f t="shared" si="252"/>
        <v>0</v>
      </c>
      <c r="OWR32" s="28">
        <f t="shared" si="252"/>
        <v>0</v>
      </c>
      <c r="OWS32" s="28">
        <f t="shared" si="252"/>
        <v>0</v>
      </c>
      <c r="OWT32" s="28">
        <f t="shared" si="252"/>
        <v>0</v>
      </c>
      <c r="OWU32" s="28">
        <f t="shared" si="252"/>
        <v>0</v>
      </c>
      <c r="OWV32" s="28">
        <f t="shared" si="252"/>
        <v>0</v>
      </c>
      <c r="OWW32" s="28">
        <f t="shared" ref="OWW32:OZH32" si="253">IFERROR(OWW31/OWW$4,0)</f>
        <v>0</v>
      </c>
      <c r="OWX32" s="28">
        <f t="shared" si="253"/>
        <v>0</v>
      </c>
      <c r="OWY32" s="28">
        <f t="shared" si="253"/>
        <v>0</v>
      </c>
      <c r="OWZ32" s="28">
        <f t="shared" si="253"/>
        <v>0</v>
      </c>
      <c r="OXA32" s="28">
        <f t="shared" si="253"/>
        <v>0</v>
      </c>
      <c r="OXB32" s="28">
        <f t="shared" si="253"/>
        <v>0</v>
      </c>
      <c r="OXC32" s="28">
        <f t="shared" si="253"/>
        <v>0</v>
      </c>
      <c r="OXD32" s="28">
        <f t="shared" si="253"/>
        <v>0</v>
      </c>
      <c r="OXE32" s="28">
        <f t="shared" si="253"/>
        <v>0</v>
      </c>
      <c r="OXF32" s="28">
        <f t="shared" si="253"/>
        <v>0</v>
      </c>
      <c r="OXG32" s="28">
        <f t="shared" si="253"/>
        <v>0</v>
      </c>
      <c r="OXH32" s="28">
        <f t="shared" si="253"/>
        <v>0</v>
      </c>
      <c r="OXI32" s="28">
        <f t="shared" si="253"/>
        <v>0</v>
      </c>
      <c r="OXJ32" s="28">
        <f t="shared" si="253"/>
        <v>0</v>
      </c>
      <c r="OXK32" s="28">
        <f t="shared" si="253"/>
        <v>0</v>
      </c>
      <c r="OXL32" s="28">
        <f t="shared" si="253"/>
        <v>0</v>
      </c>
      <c r="OXM32" s="28">
        <f t="shared" si="253"/>
        <v>0</v>
      </c>
      <c r="OXN32" s="28">
        <f t="shared" si="253"/>
        <v>0</v>
      </c>
      <c r="OXO32" s="28">
        <f t="shared" si="253"/>
        <v>0</v>
      </c>
      <c r="OXP32" s="28">
        <f t="shared" si="253"/>
        <v>0</v>
      </c>
      <c r="OXQ32" s="28">
        <f t="shared" si="253"/>
        <v>0</v>
      </c>
      <c r="OXR32" s="28">
        <f t="shared" si="253"/>
        <v>0</v>
      </c>
      <c r="OXS32" s="28">
        <f t="shared" si="253"/>
        <v>0</v>
      </c>
      <c r="OXT32" s="28">
        <f t="shared" si="253"/>
        <v>0</v>
      </c>
      <c r="OXU32" s="28">
        <f t="shared" si="253"/>
        <v>0</v>
      </c>
      <c r="OXV32" s="28">
        <f t="shared" si="253"/>
        <v>0</v>
      </c>
      <c r="OXW32" s="28">
        <f t="shared" si="253"/>
        <v>0</v>
      </c>
      <c r="OXX32" s="28">
        <f t="shared" si="253"/>
        <v>0</v>
      </c>
      <c r="OXY32" s="28">
        <f t="shared" si="253"/>
        <v>0</v>
      </c>
      <c r="OXZ32" s="28">
        <f t="shared" si="253"/>
        <v>0</v>
      </c>
      <c r="OYA32" s="28">
        <f t="shared" si="253"/>
        <v>0</v>
      </c>
      <c r="OYB32" s="28">
        <f t="shared" si="253"/>
        <v>0</v>
      </c>
      <c r="OYC32" s="28">
        <f t="shared" si="253"/>
        <v>0</v>
      </c>
      <c r="OYD32" s="28">
        <f t="shared" si="253"/>
        <v>0</v>
      </c>
      <c r="OYE32" s="28">
        <f t="shared" si="253"/>
        <v>0</v>
      </c>
      <c r="OYF32" s="28">
        <f t="shared" si="253"/>
        <v>0</v>
      </c>
      <c r="OYG32" s="28">
        <f t="shared" si="253"/>
        <v>0</v>
      </c>
      <c r="OYH32" s="28">
        <f t="shared" si="253"/>
        <v>0</v>
      </c>
      <c r="OYI32" s="28">
        <f t="shared" si="253"/>
        <v>0</v>
      </c>
      <c r="OYJ32" s="28">
        <f t="shared" si="253"/>
        <v>0</v>
      </c>
      <c r="OYK32" s="28">
        <f t="shared" si="253"/>
        <v>0</v>
      </c>
      <c r="OYL32" s="28">
        <f t="shared" si="253"/>
        <v>0</v>
      </c>
      <c r="OYM32" s="28">
        <f t="shared" si="253"/>
        <v>0</v>
      </c>
      <c r="OYN32" s="28">
        <f t="shared" si="253"/>
        <v>0</v>
      </c>
      <c r="OYO32" s="28">
        <f t="shared" si="253"/>
        <v>0</v>
      </c>
      <c r="OYP32" s="28">
        <f t="shared" si="253"/>
        <v>0</v>
      </c>
      <c r="OYQ32" s="28">
        <f t="shared" si="253"/>
        <v>0</v>
      </c>
      <c r="OYR32" s="28">
        <f t="shared" si="253"/>
        <v>0</v>
      </c>
      <c r="OYS32" s="28">
        <f t="shared" si="253"/>
        <v>0</v>
      </c>
      <c r="OYT32" s="28">
        <f t="shared" si="253"/>
        <v>0</v>
      </c>
      <c r="OYU32" s="28">
        <f t="shared" si="253"/>
        <v>0</v>
      </c>
      <c r="OYV32" s="28">
        <f t="shared" si="253"/>
        <v>0</v>
      </c>
      <c r="OYW32" s="28">
        <f t="shared" si="253"/>
        <v>0</v>
      </c>
      <c r="OYX32" s="28">
        <f t="shared" si="253"/>
        <v>0</v>
      </c>
      <c r="OYY32" s="28">
        <f t="shared" si="253"/>
        <v>0</v>
      </c>
      <c r="OYZ32" s="28">
        <f t="shared" si="253"/>
        <v>0</v>
      </c>
      <c r="OZA32" s="28">
        <f t="shared" si="253"/>
        <v>0</v>
      </c>
      <c r="OZB32" s="28">
        <f t="shared" si="253"/>
        <v>0</v>
      </c>
      <c r="OZC32" s="28">
        <f t="shared" si="253"/>
        <v>0</v>
      </c>
      <c r="OZD32" s="28">
        <f t="shared" si="253"/>
        <v>0</v>
      </c>
      <c r="OZE32" s="28">
        <f t="shared" si="253"/>
        <v>0</v>
      </c>
      <c r="OZF32" s="28">
        <f t="shared" si="253"/>
        <v>0</v>
      </c>
      <c r="OZG32" s="28">
        <f t="shared" si="253"/>
        <v>0</v>
      </c>
      <c r="OZH32" s="28">
        <f t="shared" si="253"/>
        <v>0</v>
      </c>
      <c r="OZI32" s="28">
        <f t="shared" ref="OZI32:PBT32" si="254">IFERROR(OZI31/OZI$4,0)</f>
        <v>0</v>
      </c>
      <c r="OZJ32" s="28">
        <f t="shared" si="254"/>
        <v>0</v>
      </c>
      <c r="OZK32" s="28">
        <f t="shared" si="254"/>
        <v>0</v>
      </c>
      <c r="OZL32" s="28">
        <f t="shared" si="254"/>
        <v>0</v>
      </c>
      <c r="OZM32" s="28">
        <f t="shared" si="254"/>
        <v>0</v>
      </c>
      <c r="OZN32" s="28">
        <f t="shared" si="254"/>
        <v>0</v>
      </c>
      <c r="OZO32" s="28">
        <f t="shared" si="254"/>
        <v>0</v>
      </c>
      <c r="OZP32" s="28">
        <f t="shared" si="254"/>
        <v>0</v>
      </c>
      <c r="OZQ32" s="28">
        <f t="shared" si="254"/>
        <v>0</v>
      </c>
      <c r="OZR32" s="28">
        <f t="shared" si="254"/>
        <v>0</v>
      </c>
      <c r="OZS32" s="28">
        <f t="shared" si="254"/>
        <v>0</v>
      </c>
      <c r="OZT32" s="28">
        <f t="shared" si="254"/>
        <v>0</v>
      </c>
      <c r="OZU32" s="28">
        <f t="shared" si="254"/>
        <v>0</v>
      </c>
      <c r="OZV32" s="28">
        <f t="shared" si="254"/>
        <v>0</v>
      </c>
      <c r="OZW32" s="28">
        <f t="shared" si="254"/>
        <v>0</v>
      </c>
      <c r="OZX32" s="28">
        <f t="shared" si="254"/>
        <v>0</v>
      </c>
      <c r="OZY32" s="28">
        <f t="shared" si="254"/>
        <v>0</v>
      </c>
      <c r="OZZ32" s="28">
        <f t="shared" si="254"/>
        <v>0</v>
      </c>
      <c r="PAA32" s="28">
        <f t="shared" si="254"/>
        <v>0</v>
      </c>
      <c r="PAB32" s="28">
        <f t="shared" si="254"/>
        <v>0</v>
      </c>
      <c r="PAC32" s="28">
        <f t="shared" si="254"/>
        <v>0</v>
      </c>
      <c r="PAD32" s="28">
        <f t="shared" si="254"/>
        <v>0</v>
      </c>
      <c r="PAE32" s="28">
        <f t="shared" si="254"/>
        <v>0</v>
      </c>
      <c r="PAF32" s="28">
        <f t="shared" si="254"/>
        <v>0</v>
      </c>
      <c r="PAG32" s="28">
        <f t="shared" si="254"/>
        <v>0</v>
      </c>
      <c r="PAH32" s="28">
        <f t="shared" si="254"/>
        <v>0</v>
      </c>
      <c r="PAI32" s="28">
        <f t="shared" si="254"/>
        <v>0</v>
      </c>
      <c r="PAJ32" s="28">
        <f t="shared" si="254"/>
        <v>0</v>
      </c>
      <c r="PAK32" s="28">
        <f t="shared" si="254"/>
        <v>0</v>
      </c>
      <c r="PAL32" s="28">
        <f t="shared" si="254"/>
        <v>0</v>
      </c>
      <c r="PAM32" s="28">
        <f t="shared" si="254"/>
        <v>0</v>
      </c>
      <c r="PAN32" s="28">
        <f t="shared" si="254"/>
        <v>0</v>
      </c>
      <c r="PAO32" s="28">
        <f t="shared" si="254"/>
        <v>0</v>
      </c>
      <c r="PAP32" s="28">
        <f t="shared" si="254"/>
        <v>0</v>
      </c>
      <c r="PAQ32" s="28">
        <f t="shared" si="254"/>
        <v>0</v>
      </c>
      <c r="PAR32" s="28">
        <f t="shared" si="254"/>
        <v>0</v>
      </c>
      <c r="PAS32" s="28">
        <f t="shared" si="254"/>
        <v>0</v>
      </c>
      <c r="PAT32" s="28">
        <f t="shared" si="254"/>
        <v>0</v>
      </c>
      <c r="PAU32" s="28">
        <f t="shared" si="254"/>
        <v>0</v>
      </c>
      <c r="PAV32" s="28">
        <f t="shared" si="254"/>
        <v>0</v>
      </c>
      <c r="PAW32" s="28">
        <f t="shared" si="254"/>
        <v>0</v>
      </c>
      <c r="PAX32" s="28">
        <f t="shared" si="254"/>
        <v>0</v>
      </c>
      <c r="PAY32" s="28">
        <f t="shared" si="254"/>
        <v>0</v>
      </c>
      <c r="PAZ32" s="28">
        <f t="shared" si="254"/>
        <v>0</v>
      </c>
      <c r="PBA32" s="28">
        <f t="shared" si="254"/>
        <v>0</v>
      </c>
      <c r="PBB32" s="28">
        <f t="shared" si="254"/>
        <v>0</v>
      </c>
      <c r="PBC32" s="28">
        <f t="shared" si="254"/>
        <v>0</v>
      </c>
      <c r="PBD32" s="28">
        <f t="shared" si="254"/>
        <v>0</v>
      </c>
      <c r="PBE32" s="28">
        <f t="shared" si="254"/>
        <v>0</v>
      </c>
      <c r="PBF32" s="28">
        <f t="shared" si="254"/>
        <v>0</v>
      </c>
      <c r="PBG32" s="28">
        <f t="shared" si="254"/>
        <v>0</v>
      </c>
      <c r="PBH32" s="28">
        <f t="shared" si="254"/>
        <v>0</v>
      </c>
      <c r="PBI32" s="28">
        <f t="shared" si="254"/>
        <v>0</v>
      </c>
      <c r="PBJ32" s="28">
        <f t="shared" si="254"/>
        <v>0</v>
      </c>
      <c r="PBK32" s="28">
        <f t="shared" si="254"/>
        <v>0</v>
      </c>
      <c r="PBL32" s="28">
        <f t="shared" si="254"/>
        <v>0</v>
      </c>
      <c r="PBM32" s="28">
        <f t="shared" si="254"/>
        <v>0</v>
      </c>
      <c r="PBN32" s="28">
        <f t="shared" si="254"/>
        <v>0</v>
      </c>
      <c r="PBO32" s="28">
        <f t="shared" si="254"/>
        <v>0</v>
      </c>
      <c r="PBP32" s="28">
        <f t="shared" si="254"/>
        <v>0</v>
      </c>
      <c r="PBQ32" s="28">
        <f t="shared" si="254"/>
        <v>0</v>
      </c>
      <c r="PBR32" s="28">
        <f t="shared" si="254"/>
        <v>0</v>
      </c>
      <c r="PBS32" s="28">
        <f t="shared" si="254"/>
        <v>0</v>
      </c>
      <c r="PBT32" s="28">
        <f t="shared" si="254"/>
        <v>0</v>
      </c>
      <c r="PBU32" s="28">
        <f t="shared" ref="PBU32:PEF32" si="255">IFERROR(PBU31/PBU$4,0)</f>
        <v>0</v>
      </c>
      <c r="PBV32" s="28">
        <f t="shared" si="255"/>
        <v>0</v>
      </c>
      <c r="PBW32" s="28">
        <f t="shared" si="255"/>
        <v>0</v>
      </c>
      <c r="PBX32" s="28">
        <f t="shared" si="255"/>
        <v>0</v>
      </c>
      <c r="PBY32" s="28">
        <f t="shared" si="255"/>
        <v>0</v>
      </c>
      <c r="PBZ32" s="28">
        <f t="shared" si="255"/>
        <v>0</v>
      </c>
      <c r="PCA32" s="28">
        <f t="shared" si="255"/>
        <v>0</v>
      </c>
      <c r="PCB32" s="28">
        <f t="shared" si="255"/>
        <v>0</v>
      </c>
      <c r="PCC32" s="28">
        <f t="shared" si="255"/>
        <v>0</v>
      </c>
      <c r="PCD32" s="28">
        <f t="shared" si="255"/>
        <v>0</v>
      </c>
      <c r="PCE32" s="28">
        <f t="shared" si="255"/>
        <v>0</v>
      </c>
      <c r="PCF32" s="28">
        <f t="shared" si="255"/>
        <v>0</v>
      </c>
      <c r="PCG32" s="28">
        <f t="shared" si="255"/>
        <v>0</v>
      </c>
      <c r="PCH32" s="28">
        <f t="shared" si="255"/>
        <v>0</v>
      </c>
      <c r="PCI32" s="28">
        <f t="shared" si="255"/>
        <v>0</v>
      </c>
      <c r="PCJ32" s="28">
        <f t="shared" si="255"/>
        <v>0</v>
      </c>
      <c r="PCK32" s="28">
        <f t="shared" si="255"/>
        <v>0</v>
      </c>
      <c r="PCL32" s="28">
        <f t="shared" si="255"/>
        <v>0</v>
      </c>
      <c r="PCM32" s="28">
        <f t="shared" si="255"/>
        <v>0</v>
      </c>
      <c r="PCN32" s="28">
        <f t="shared" si="255"/>
        <v>0</v>
      </c>
      <c r="PCO32" s="28">
        <f t="shared" si="255"/>
        <v>0</v>
      </c>
      <c r="PCP32" s="28">
        <f t="shared" si="255"/>
        <v>0</v>
      </c>
      <c r="PCQ32" s="28">
        <f t="shared" si="255"/>
        <v>0</v>
      </c>
      <c r="PCR32" s="28">
        <f t="shared" si="255"/>
        <v>0</v>
      </c>
      <c r="PCS32" s="28">
        <f t="shared" si="255"/>
        <v>0</v>
      </c>
      <c r="PCT32" s="28">
        <f t="shared" si="255"/>
        <v>0</v>
      </c>
      <c r="PCU32" s="28">
        <f t="shared" si="255"/>
        <v>0</v>
      </c>
      <c r="PCV32" s="28">
        <f t="shared" si="255"/>
        <v>0</v>
      </c>
      <c r="PCW32" s="28">
        <f t="shared" si="255"/>
        <v>0</v>
      </c>
      <c r="PCX32" s="28">
        <f t="shared" si="255"/>
        <v>0</v>
      </c>
      <c r="PCY32" s="28">
        <f t="shared" si="255"/>
        <v>0</v>
      </c>
      <c r="PCZ32" s="28">
        <f t="shared" si="255"/>
        <v>0</v>
      </c>
      <c r="PDA32" s="28">
        <f t="shared" si="255"/>
        <v>0</v>
      </c>
      <c r="PDB32" s="28">
        <f t="shared" si="255"/>
        <v>0</v>
      </c>
      <c r="PDC32" s="28">
        <f t="shared" si="255"/>
        <v>0</v>
      </c>
      <c r="PDD32" s="28">
        <f t="shared" si="255"/>
        <v>0</v>
      </c>
      <c r="PDE32" s="28">
        <f t="shared" si="255"/>
        <v>0</v>
      </c>
      <c r="PDF32" s="28">
        <f t="shared" si="255"/>
        <v>0</v>
      </c>
      <c r="PDG32" s="28">
        <f t="shared" si="255"/>
        <v>0</v>
      </c>
      <c r="PDH32" s="28">
        <f t="shared" si="255"/>
        <v>0</v>
      </c>
      <c r="PDI32" s="28">
        <f t="shared" si="255"/>
        <v>0</v>
      </c>
      <c r="PDJ32" s="28">
        <f t="shared" si="255"/>
        <v>0</v>
      </c>
      <c r="PDK32" s="28">
        <f t="shared" si="255"/>
        <v>0</v>
      </c>
      <c r="PDL32" s="28">
        <f t="shared" si="255"/>
        <v>0</v>
      </c>
      <c r="PDM32" s="28">
        <f t="shared" si="255"/>
        <v>0</v>
      </c>
      <c r="PDN32" s="28">
        <f t="shared" si="255"/>
        <v>0</v>
      </c>
      <c r="PDO32" s="28">
        <f t="shared" si="255"/>
        <v>0</v>
      </c>
      <c r="PDP32" s="28">
        <f t="shared" si="255"/>
        <v>0</v>
      </c>
      <c r="PDQ32" s="28">
        <f t="shared" si="255"/>
        <v>0</v>
      </c>
      <c r="PDR32" s="28">
        <f t="shared" si="255"/>
        <v>0</v>
      </c>
      <c r="PDS32" s="28">
        <f t="shared" si="255"/>
        <v>0</v>
      </c>
      <c r="PDT32" s="28">
        <f t="shared" si="255"/>
        <v>0</v>
      </c>
      <c r="PDU32" s="28">
        <f t="shared" si="255"/>
        <v>0</v>
      </c>
      <c r="PDV32" s="28">
        <f t="shared" si="255"/>
        <v>0</v>
      </c>
      <c r="PDW32" s="28">
        <f t="shared" si="255"/>
        <v>0</v>
      </c>
      <c r="PDX32" s="28">
        <f t="shared" si="255"/>
        <v>0</v>
      </c>
      <c r="PDY32" s="28">
        <f t="shared" si="255"/>
        <v>0</v>
      </c>
      <c r="PDZ32" s="28">
        <f t="shared" si="255"/>
        <v>0</v>
      </c>
      <c r="PEA32" s="28">
        <f t="shared" si="255"/>
        <v>0</v>
      </c>
      <c r="PEB32" s="28">
        <f t="shared" si="255"/>
        <v>0</v>
      </c>
      <c r="PEC32" s="28">
        <f t="shared" si="255"/>
        <v>0</v>
      </c>
      <c r="PED32" s="28">
        <f t="shared" si="255"/>
        <v>0</v>
      </c>
      <c r="PEE32" s="28">
        <f t="shared" si="255"/>
        <v>0</v>
      </c>
      <c r="PEF32" s="28">
        <f t="shared" si="255"/>
        <v>0</v>
      </c>
      <c r="PEG32" s="28">
        <f t="shared" ref="PEG32:PGR32" si="256">IFERROR(PEG31/PEG$4,0)</f>
        <v>0</v>
      </c>
      <c r="PEH32" s="28">
        <f t="shared" si="256"/>
        <v>0</v>
      </c>
      <c r="PEI32" s="28">
        <f t="shared" si="256"/>
        <v>0</v>
      </c>
      <c r="PEJ32" s="28">
        <f t="shared" si="256"/>
        <v>0</v>
      </c>
      <c r="PEK32" s="28">
        <f t="shared" si="256"/>
        <v>0</v>
      </c>
      <c r="PEL32" s="28">
        <f t="shared" si="256"/>
        <v>0</v>
      </c>
      <c r="PEM32" s="28">
        <f t="shared" si="256"/>
        <v>0</v>
      </c>
      <c r="PEN32" s="28">
        <f t="shared" si="256"/>
        <v>0</v>
      </c>
      <c r="PEO32" s="28">
        <f t="shared" si="256"/>
        <v>0</v>
      </c>
      <c r="PEP32" s="28">
        <f t="shared" si="256"/>
        <v>0</v>
      </c>
      <c r="PEQ32" s="28">
        <f t="shared" si="256"/>
        <v>0</v>
      </c>
      <c r="PER32" s="28">
        <f t="shared" si="256"/>
        <v>0</v>
      </c>
      <c r="PES32" s="28">
        <f t="shared" si="256"/>
        <v>0</v>
      </c>
      <c r="PET32" s="28">
        <f t="shared" si="256"/>
        <v>0</v>
      </c>
      <c r="PEU32" s="28">
        <f t="shared" si="256"/>
        <v>0</v>
      </c>
      <c r="PEV32" s="28">
        <f t="shared" si="256"/>
        <v>0</v>
      </c>
      <c r="PEW32" s="28">
        <f t="shared" si="256"/>
        <v>0</v>
      </c>
      <c r="PEX32" s="28">
        <f t="shared" si="256"/>
        <v>0</v>
      </c>
      <c r="PEY32" s="28">
        <f t="shared" si="256"/>
        <v>0</v>
      </c>
      <c r="PEZ32" s="28">
        <f t="shared" si="256"/>
        <v>0</v>
      </c>
      <c r="PFA32" s="28">
        <f t="shared" si="256"/>
        <v>0</v>
      </c>
      <c r="PFB32" s="28">
        <f t="shared" si="256"/>
        <v>0</v>
      </c>
      <c r="PFC32" s="28">
        <f t="shared" si="256"/>
        <v>0</v>
      </c>
      <c r="PFD32" s="28">
        <f t="shared" si="256"/>
        <v>0</v>
      </c>
      <c r="PFE32" s="28">
        <f t="shared" si="256"/>
        <v>0</v>
      </c>
      <c r="PFF32" s="28">
        <f t="shared" si="256"/>
        <v>0</v>
      </c>
      <c r="PFG32" s="28">
        <f t="shared" si="256"/>
        <v>0</v>
      </c>
      <c r="PFH32" s="28">
        <f t="shared" si="256"/>
        <v>0</v>
      </c>
      <c r="PFI32" s="28">
        <f t="shared" si="256"/>
        <v>0</v>
      </c>
      <c r="PFJ32" s="28">
        <f t="shared" si="256"/>
        <v>0</v>
      </c>
      <c r="PFK32" s="28">
        <f t="shared" si="256"/>
        <v>0</v>
      </c>
      <c r="PFL32" s="28">
        <f t="shared" si="256"/>
        <v>0</v>
      </c>
      <c r="PFM32" s="28">
        <f t="shared" si="256"/>
        <v>0</v>
      </c>
      <c r="PFN32" s="28">
        <f t="shared" si="256"/>
        <v>0</v>
      </c>
      <c r="PFO32" s="28">
        <f t="shared" si="256"/>
        <v>0</v>
      </c>
      <c r="PFP32" s="28">
        <f t="shared" si="256"/>
        <v>0</v>
      </c>
      <c r="PFQ32" s="28">
        <f t="shared" si="256"/>
        <v>0</v>
      </c>
      <c r="PFR32" s="28">
        <f t="shared" si="256"/>
        <v>0</v>
      </c>
      <c r="PFS32" s="28">
        <f t="shared" si="256"/>
        <v>0</v>
      </c>
      <c r="PFT32" s="28">
        <f t="shared" si="256"/>
        <v>0</v>
      </c>
      <c r="PFU32" s="28">
        <f t="shared" si="256"/>
        <v>0</v>
      </c>
      <c r="PFV32" s="28">
        <f t="shared" si="256"/>
        <v>0</v>
      </c>
      <c r="PFW32" s="28">
        <f t="shared" si="256"/>
        <v>0</v>
      </c>
      <c r="PFX32" s="28">
        <f t="shared" si="256"/>
        <v>0</v>
      </c>
      <c r="PFY32" s="28">
        <f t="shared" si="256"/>
        <v>0</v>
      </c>
      <c r="PFZ32" s="28">
        <f t="shared" si="256"/>
        <v>0</v>
      </c>
      <c r="PGA32" s="28">
        <f t="shared" si="256"/>
        <v>0</v>
      </c>
      <c r="PGB32" s="28">
        <f t="shared" si="256"/>
        <v>0</v>
      </c>
      <c r="PGC32" s="28">
        <f t="shared" si="256"/>
        <v>0</v>
      </c>
      <c r="PGD32" s="28">
        <f t="shared" si="256"/>
        <v>0</v>
      </c>
      <c r="PGE32" s="28">
        <f t="shared" si="256"/>
        <v>0</v>
      </c>
      <c r="PGF32" s="28">
        <f t="shared" si="256"/>
        <v>0</v>
      </c>
      <c r="PGG32" s="28">
        <f t="shared" si="256"/>
        <v>0</v>
      </c>
      <c r="PGH32" s="28">
        <f t="shared" si="256"/>
        <v>0</v>
      </c>
      <c r="PGI32" s="28">
        <f t="shared" si="256"/>
        <v>0</v>
      </c>
      <c r="PGJ32" s="28">
        <f t="shared" si="256"/>
        <v>0</v>
      </c>
      <c r="PGK32" s="28">
        <f t="shared" si="256"/>
        <v>0</v>
      </c>
      <c r="PGL32" s="28">
        <f t="shared" si="256"/>
        <v>0</v>
      </c>
      <c r="PGM32" s="28">
        <f t="shared" si="256"/>
        <v>0</v>
      </c>
      <c r="PGN32" s="28">
        <f t="shared" si="256"/>
        <v>0</v>
      </c>
      <c r="PGO32" s="28">
        <f t="shared" si="256"/>
        <v>0</v>
      </c>
      <c r="PGP32" s="28">
        <f t="shared" si="256"/>
        <v>0</v>
      </c>
      <c r="PGQ32" s="28">
        <f t="shared" si="256"/>
        <v>0</v>
      </c>
      <c r="PGR32" s="28">
        <f t="shared" si="256"/>
        <v>0</v>
      </c>
      <c r="PGS32" s="28">
        <f t="shared" ref="PGS32:PJD32" si="257">IFERROR(PGS31/PGS$4,0)</f>
        <v>0</v>
      </c>
      <c r="PGT32" s="28">
        <f t="shared" si="257"/>
        <v>0</v>
      </c>
      <c r="PGU32" s="28">
        <f t="shared" si="257"/>
        <v>0</v>
      </c>
      <c r="PGV32" s="28">
        <f t="shared" si="257"/>
        <v>0</v>
      </c>
      <c r="PGW32" s="28">
        <f t="shared" si="257"/>
        <v>0</v>
      </c>
      <c r="PGX32" s="28">
        <f t="shared" si="257"/>
        <v>0</v>
      </c>
      <c r="PGY32" s="28">
        <f t="shared" si="257"/>
        <v>0</v>
      </c>
      <c r="PGZ32" s="28">
        <f t="shared" si="257"/>
        <v>0</v>
      </c>
      <c r="PHA32" s="28">
        <f t="shared" si="257"/>
        <v>0</v>
      </c>
      <c r="PHB32" s="28">
        <f t="shared" si="257"/>
        <v>0</v>
      </c>
      <c r="PHC32" s="28">
        <f t="shared" si="257"/>
        <v>0</v>
      </c>
      <c r="PHD32" s="28">
        <f t="shared" si="257"/>
        <v>0</v>
      </c>
      <c r="PHE32" s="28">
        <f t="shared" si="257"/>
        <v>0</v>
      </c>
      <c r="PHF32" s="28">
        <f t="shared" si="257"/>
        <v>0</v>
      </c>
      <c r="PHG32" s="28">
        <f t="shared" si="257"/>
        <v>0</v>
      </c>
      <c r="PHH32" s="28">
        <f t="shared" si="257"/>
        <v>0</v>
      </c>
      <c r="PHI32" s="28">
        <f t="shared" si="257"/>
        <v>0</v>
      </c>
      <c r="PHJ32" s="28">
        <f t="shared" si="257"/>
        <v>0</v>
      </c>
      <c r="PHK32" s="28">
        <f t="shared" si="257"/>
        <v>0</v>
      </c>
      <c r="PHL32" s="28">
        <f t="shared" si="257"/>
        <v>0</v>
      </c>
      <c r="PHM32" s="28">
        <f t="shared" si="257"/>
        <v>0</v>
      </c>
      <c r="PHN32" s="28">
        <f t="shared" si="257"/>
        <v>0</v>
      </c>
      <c r="PHO32" s="28">
        <f t="shared" si="257"/>
        <v>0</v>
      </c>
      <c r="PHP32" s="28">
        <f t="shared" si="257"/>
        <v>0</v>
      </c>
      <c r="PHQ32" s="28">
        <f t="shared" si="257"/>
        <v>0</v>
      </c>
      <c r="PHR32" s="28">
        <f t="shared" si="257"/>
        <v>0</v>
      </c>
      <c r="PHS32" s="28">
        <f t="shared" si="257"/>
        <v>0</v>
      </c>
      <c r="PHT32" s="28">
        <f t="shared" si="257"/>
        <v>0</v>
      </c>
      <c r="PHU32" s="28">
        <f t="shared" si="257"/>
        <v>0</v>
      </c>
      <c r="PHV32" s="28">
        <f t="shared" si="257"/>
        <v>0</v>
      </c>
      <c r="PHW32" s="28">
        <f t="shared" si="257"/>
        <v>0</v>
      </c>
      <c r="PHX32" s="28">
        <f t="shared" si="257"/>
        <v>0</v>
      </c>
      <c r="PHY32" s="28">
        <f t="shared" si="257"/>
        <v>0</v>
      </c>
      <c r="PHZ32" s="28">
        <f t="shared" si="257"/>
        <v>0</v>
      </c>
      <c r="PIA32" s="28">
        <f t="shared" si="257"/>
        <v>0</v>
      </c>
      <c r="PIB32" s="28">
        <f t="shared" si="257"/>
        <v>0</v>
      </c>
      <c r="PIC32" s="28">
        <f t="shared" si="257"/>
        <v>0</v>
      </c>
      <c r="PID32" s="28">
        <f t="shared" si="257"/>
        <v>0</v>
      </c>
      <c r="PIE32" s="28">
        <f t="shared" si="257"/>
        <v>0</v>
      </c>
      <c r="PIF32" s="28">
        <f t="shared" si="257"/>
        <v>0</v>
      </c>
      <c r="PIG32" s="28">
        <f t="shared" si="257"/>
        <v>0</v>
      </c>
      <c r="PIH32" s="28">
        <f t="shared" si="257"/>
        <v>0</v>
      </c>
      <c r="PII32" s="28">
        <f t="shared" si="257"/>
        <v>0</v>
      </c>
      <c r="PIJ32" s="28">
        <f t="shared" si="257"/>
        <v>0</v>
      </c>
      <c r="PIK32" s="28">
        <f t="shared" si="257"/>
        <v>0</v>
      </c>
      <c r="PIL32" s="28">
        <f t="shared" si="257"/>
        <v>0</v>
      </c>
      <c r="PIM32" s="28">
        <f t="shared" si="257"/>
        <v>0</v>
      </c>
      <c r="PIN32" s="28">
        <f t="shared" si="257"/>
        <v>0</v>
      </c>
      <c r="PIO32" s="28">
        <f t="shared" si="257"/>
        <v>0</v>
      </c>
      <c r="PIP32" s="28">
        <f t="shared" si="257"/>
        <v>0</v>
      </c>
      <c r="PIQ32" s="28">
        <f t="shared" si="257"/>
        <v>0</v>
      </c>
      <c r="PIR32" s="28">
        <f t="shared" si="257"/>
        <v>0</v>
      </c>
      <c r="PIS32" s="28">
        <f t="shared" si="257"/>
        <v>0</v>
      </c>
      <c r="PIT32" s="28">
        <f t="shared" si="257"/>
        <v>0</v>
      </c>
      <c r="PIU32" s="28">
        <f t="shared" si="257"/>
        <v>0</v>
      </c>
      <c r="PIV32" s="28">
        <f t="shared" si="257"/>
        <v>0</v>
      </c>
      <c r="PIW32" s="28">
        <f t="shared" si="257"/>
        <v>0</v>
      </c>
      <c r="PIX32" s="28">
        <f t="shared" si="257"/>
        <v>0</v>
      </c>
      <c r="PIY32" s="28">
        <f t="shared" si="257"/>
        <v>0</v>
      </c>
      <c r="PIZ32" s="28">
        <f t="shared" si="257"/>
        <v>0</v>
      </c>
      <c r="PJA32" s="28">
        <f t="shared" si="257"/>
        <v>0</v>
      </c>
      <c r="PJB32" s="28">
        <f t="shared" si="257"/>
        <v>0</v>
      </c>
      <c r="PJC32" s="28">
        <f t="shared" si="257"/>
        <v>0</v>
      </c>
      <c r="PJD32" s="28">
        <f t="shared" si="257"/>
        <v>0</v>
      </c>
      <c r="PJE32" s="28">
        <f t="shared" ref="PJE32:PLP32" si="258">IFERROR(PJE31/PJE$4,0)</f>
        <v>0</v>
      </c>
      <c r="PJF32" s="28">
        <f t="shared" si="258"/>
        <v>0</v>
      </c>
      <c r="PJG32" s="28">
        <f t="shared" si="258"/>
        <v>0</v>
      </c>
      <c r="PJH32" s="28">
        <f t="shared" si="258"/>
        <v>0</v>
      </c>
      <c r="PJI32" s="28">
        <f t="shared" si="258"/>
        <v>0</v>
      </c>
      <c r="PJJ32" s="28">
        <f t="shared" si="258"/>
        <v>0</v>
      </c>
      <c r="PJK32" s="28">
        <f t="shared" si="258"/>
        <v>0</v>
      </c>
      <c r="PJL32" s="28">
        <f t="shared" si="258"/>
        <v>0</v>
      </c>
      <c r="PJM32" s="28">
        <f t="shared" si="258"/>
        <v>0</v>
      </c>
      <c r="PJN32" s="28">
        <f t="shared" si="258"/>
        <v>0</v>
      </c>
      <c r="PJO32" s="28">
        <f t="shared" si="258"/>
        <v>0</v>
      </c>
      <c r="PJP32" s="28">
        <f t="shared" si="258"/>
        <v>0</v>
      </c>
      <c r="PJQ32" s="28">
        <f t="shared" si="258"/>
        <v>0</v>
      </c>
      <c r="PJR32" s="28">
        <f t="shared" si="258"/>
        <v>0</v>
      </c>
      <c r="PJS32" s="28">
        <f t="shared" si="258"/>
        <v>0</v>
      </c>
      <c r="PJT32" s="28">
        <f t="shared" si="258"/>
        <v>0</v>
      </c>
      <c r="PJU32" s="28">
        <f t="shared" si="258"/>
        <v>0</v>
      </c>
      <c r="PJV32" s="28">
        <f t="shared" si="258"/>
        <v>0</v>
      </c>
      <c r="PJW32" s="28">
        <f t="shared" si="258"/>
        <v>0</v>
      </c>
      <c r="PJX32" s="28">
        <f t="shared" si="258"/>
        <v>0</v>
      </c>
      <c r="PJY32" s="28">
        <f t="shared" si="258"/>
        <v>0</v>
      </c>
      <c r="PJZ32" s="28">
        <f t="shared" si="258"/>
        <v>0</v>
      </c>
      <c r="PKA32" s="28">
        <f t="shared" si="258"/>
        <v>0</v>
      </c>
      <c r="PKB32" s="28">
        <f t="shared" si="258"/>
        <v>0</v>
      </c>
      <c r="PKC32" s="28">
        <f t="shared" si="258"/>
        <v>0</v>
      </c>
      <c r="PKD32" s="28">
        <f t="shared" si="258"/>
        <v>0</v>
      </c>
      <c r="PKE32" s="28">
        <f t="shared" si="258"/>
        <v>0</v>
      </c>
      <c r="PKF32" s="28">
        <f t="shared" si="258"/>
        <v>0</v>
      </c>
      <c r="PKG32" s="28">
        <f t="shared" si="258"/>
        <v>0</v>
      </c>
      <c r="PKH32" s="28">
        <f t="shared" si="258"/>
        <v>0</v>
      </c>
      <c r="PKI32" s="28">
        <f t="shared" si="258"/>
        <v>0</v>
      </c>
      <c r="PKJ32" s="28">
        <f t="shared" si="258"/>
        <v>0</v>
      </c>
      <c r="PKK32" s="28">
        <f t="shared" si="258"/>
        <v>0</v>
      </c>
      <c r="PKL32" s="28">
        <f t="shared" si="258"/>
        <v>0</v>
      </c>
      <c r="PKM32" s="28">
        <f t="shared" si="258"/>
        <v>0</v>
      </c>
      <c r="PKN32" s="28">
        <f t="shared" si="258"/>
        <v>0</v>
      </c>
      <c r="PKO32" s="28">
        <f t="shared" si="258"/>
        <v>0</v>
      </c>
      <c r="PKP32" s="28">
        <f t="shared" si="258"/>
        <v>0</v>
      </c>
      <c r="PKQ32" s="28">
        <f t="shared" si="258"/>
        <v>0</v>
      </c>
      <c r="PKR32" s="28">
        <f t="shared" si="258"/>
        <v>0</v>
      </c>
      <c r="PKS32" s="28">
        <f t="shared" si="258"/>
        <v>0</v>
      </c>
      <c r="PKT32" s="28">
        <f t="shared" si="258"/>
        <v>0</v>
      </c>
      <c r="PKU32" s="28">
        <f t="shared" si="258"/>
        <v>0</v>
      </c>
      <c r="PKV32" s="28">
        <f t="shared" si="258"/>
        <v>0</v>
      </c>
      <c r="PKW32" s="28">
        <f t="shared" si="258"/>
        <v>0</v>
      </c>
      <c r="PKX32" s="28">
        <f t="shared" si="258"/>
        <v>0</v>
      </c>
      <c r="PKY32" s="28">
        <f t="shared" si="258"/>
        <v>0</v>
      </c>
      <c r="PKZ32" s="28">
        <f t="shared" si="258"/>
        <v>0</v>
      </c>
      <c r="PLA32" s="28">
        <f t="shared" si="258"/>
        <v>0</v>
      </c>
      <c r="PLB32" s="28">
        <f t="shared" si="258"/>
        <v>0</v>
      </c>
      <c r="PLC32" s="28">
        <f t="shared" si="258"/>
        <v>0</v>
      </c>
      <c r="PLD32" s="28">
        <f t="shared" si="258"/>
        <v>0</v>
      </c>
      <c r="PLE32" s="28">
        <f t="shared" si="258"/>
        <v>0</v>
      </c>
      <c r="PLF32" s="28">
        <f t="shared" si="258"/>
        <v>0</v>
      </c>
      <c r="PLG32" s="28">
        <f t="shared" si="258"/>
        <v>0</v>
      </c>
      <c r="PLH32" s="28">
        <f t="shared" si="258"/>
        <v>0</v>
      </c>
      <c r="PLI32" s="28">
        <f t="shared" si="258"/>
        <v>0</v>
      </c>
      <c r="PLJ32" s="28">
        <f t="shared" si="258"/>
        <v>0</v>
      </c>
      <c r="PLK32" s="28">
        <f t="shared" si="258"/>
        <v>0</v>
      </c>
      <c r="PLL32" s="28">
        <f t="shared" si="258"/>
        <v>0</v>
      </c>
      <c r="PLM32" s="28">
        <f t="shared" si="258"/>
        <v>0</v>
      </c>
      <c r="PLN32" s="28">
        <f t="shared" si="258"/>
        <v>0</v>
      </c>
      <c r="PLO32" s="28">
        <f t="shared" si="258"/>
        <v>0</v>
      </c>
      <c r="PLP32" s="28">
        <f t="shared" si="258"/>
        <v>0</v>
      </c>
      <c r="PLQ32" s="28">
        <f t="shared" ref="PLQ32:POB32" si="259">IFERROR(PLQ31/PLQ$4,0)</f>
        <v>0</v>
      </c>
      <c r="PLR32" s="28">
        <f t="shared" si="259"/>
        <v>0</v>
      </c>
      <c r="PLS32" s="28">
        <f t="shared" si="259"/>
        <v>0</v>
      </c>
      <c r="PLT32" s="28">
        <f t="shared" si="259"/>
        <v>0</v>
      </c>
      <c r="PLU32" s="28">
        <f t="shared" si="259"/>
        <v>0</v>
      </c>
      <c r="PLV32" s="28">
        <f t="shared" si="259"/>
        <v>0</v>
      </c>
      <c r="PLW32" s="28">
        <f t="shared" si="259"/>
        <v>0</v>
      </c>
      <c r="PLX32" s="28">
        <f t="shared" si="259"/>
        <v>0</v>
      </c>
      <c r="PLY32" s="28">
        <f t="shared" si="259"/>
        <v>0</v>
      </c>
      <c r="PLZ32" s="28">
        <f t="shared" si="259"/>
        <v>0</v>
      </c>
      <c r="PMA32" s="28">
        <f t="shared" si="259"/>
        <v>0</v>
      </c>
      <c r="PMB32" s="28">
        <f t="shared" si="259"/>
        <v>0</v>
      </c>
      <c r="PMC32" s="28">
        <f t="shared" si="259"/>
        <v>0</v>
      </c>
      <c r="PMD32" s="28">
        <f t="shared" si="259"/>
        <v>0</v>
      </c>
      <c r="PME32" s="28">
        <f t="shared" si="259"/>
        <v>0</v>
      </c>
      <c r="PMF32" s="28">
        <f t="shared" si="259"/>
        <v>0</v>
      </c>
      <c r="PMG32" s="28">
        <f t="shared" si="259"/>
        <v>0</v>
      </c>
      <c r="PMH32" s="28">
        <f t="shared" si="259"/>
        <v>0</v>
      </c>
      <c r="PMI32" s="28">
        <f t="shared" si="259"/>
        <v>0</v>
      </c>
      <c r="PMJ32" s="28">
        <f t="shared" si="259"/>
        <v>0</v>
      </c>
      <c r="PMK32" s="28">
        <f t="shared" si="259"/>
        <v>0</v>
      </c>
      <c r="PML32" s="28">
        <f t="shared" si="259"/>
        <v>0</v>
      </c>
      <c r="PMM32" s="28">
        <f t="shared" si="259"/>
        <v>0</v>
      </c>
      <c r="PMN32" s="28">
        <f t="shared" si="259"/>
        <v>0</v>
      </c>
      <c r="PMO32" s="28">
        <f t="shared" si="259"/>
        <v>0</v>
      </c>
      <c r="PMP32" s="28">
        <f t="shared" si="259"/>
        <v>0</v>
      </c>
      <c r="PMQ32" s="28">
        <f t="shared" si="259"/>
        <v>0</v>
      </c>
      <c r="PMR32" s="28">
        <f t="shared" si="259"/>
        <v>0</v>
      </c>
      <c r="PMS32" s="28">
        <f t="shared" si="259"/>
        <v>0</v>
      </c>
      <c r="PMT32" s="28">
        <f t="shared" si="259"/>
        <v>0</v>
      </c>
      <c r="PMU32" s="28">
        <f t="shared" si="259"/>
        <v>0</v>
      </c>
      <c r="PMV32" s="28">
        <f t="shared" si="259"/>
        <v>0</v>
      </c>
      <c r="PMW32" s="28">
        <f t="shared" si="259"/>
        <v>0</v>
      </c>
      <c r="PMX32" s="28">
        <f t="shared" si="259"/>
        <v>0</v>
      </c>
      <c r="PMY32" s="28">
        <f t="shared" si="259"/>
        <v>0</v>
      </c>
      <c r="PMZ32" s="28">
        <f t="shared" si="259"/>
        <v>0</v>
      </c>
      <c r="PNA32" s="28">
        <f t="shared" si="259"/>
        <v>0</v>
      </c>
      <c r="PNB32" s="28">
        <f t="shared" si="259"/>
        <v>0</v>
      </c>
      <c r="PNC32" s="28">
        <f t="shared" si="259"/>
        <v>0</v>
      </c>
      <c r="PND32" s="28">
        <f t="shared" si="259"/>
        <v>0</v>
      </c>
      <c r="PNE32" s="28">
        <f t="shared" si="259"/>
        <v>0</v>
      </c>
      <c r="PNF32" s="28">
        <f t="shared" si="259"/>
        <v>0</v>
      </c>
      <c r="PNG32" s="28">
        <f t="shared" si="259"/>
        <v>0</v>
      </c>
      <c r="PNH32" s="28">
        <f t="shared" si="259"/>
        <v>0</v>
      </c>
      <c r="PNI32" s="28">
        <f t="shared" si="259"/>
        <v>0</v>
      </c>
      <c r="PNJ32" s="28">
        <f t="shared" si="259"/>
        <v>0</v>
      </c>
      <c r="PNK32" s="28">
        <f t="shared" si="259"/>
        <v>0</v>
      </c>
      <c r="PNL32" s="28">
        <f t="shared" si="259"/>
        <v>0</v>
      </c>
      <c r="PNM32" s="28">
        <f t="shared" si="259"/>
        <v>0</v>
      </c>
      <c r="PNN32" s="28">
        <f t="shared" si="259"/>
        <v>0</v>
      </c>
      <c r="PNO32" s="28">
        <f t="shared" si="259"/>
        <v>0</v>
      </c>
      <c r="PNP32" s="28">
        <f t="shared" si="259"/>
        <v>0</v>
      </c>
      <c r="PNQ32" s="28">
        <f t="shared" si="259"/>
        <v>0</v>
      </c>
      <c r="PNR32" s="28">
        <f t="shared" si="259"/>
        <v>0</v>
      </c>
      <c r="PNS32" s="28">
        <f t="shared" si="259"/>
        <v>0</v>
      </c>
      <c r="PNT32" s="28">
        <f t="shared" si="259"/>
        <v>0</v>
      </c>
      <c r="PNU32" s="28">
        <f t="shared" si="259"/>
        <v>0</v>
      </c>
      <c r="PNV32" s="28">
        <f t="shared" si="259"/>
        <v>0</v>
      </c>
      <c r="PNW32" s="28">
        <f t="shared" si="259"/>
        <v>0</v>
      </c>
      <c r="PNX32" s="28">
        <f t="shared" si="259"/>
        <v>0</v>
      </c>
      <c r="PNY32" s="28">
        <f t="shared" si="259"/>
        <v>0</v>
      </c>
      <c r="PNZ32" s="28">
        <f t="shared" si="259"/>
        <v>0</v>
      </c>
      <c r="POA32" s="28">
        <f t="shared" si="259"/>
        <v>0</v>
      </c>
      <c r="POB32" s="28">
        <f t="shared" si="259"/>
        <v>0</v>
      </c>
      <c r="POC32" s="28">
        <f t="shared" ref="POC32:PQN32" si="260">IFERROR(POC31/POC$4,0)</f>
        <v>0</v>
      </c>
      <c r="POD32" s="28">
        <f t="shared" si="260"/>
        <v>0</v>
      </c>
      <c r="POE32" s="28">
        <f t="shared" si="260"/>
        <v>0</v>
      </c>
      <c r="POF32" s="28">
        <f t="shared" si="260"/>
        <v>0</v>
      </c>
      <c r="POG32" s="28">
        <f t="shared" si="260"/>
        <v>0</v>
      </c>
      <c r="POH32" s="28">
        <f t="shared" si="260"/>
        <v>0</v>
      </c>
      <c r="POI32" s="28">
        <f t="shared" si="260"/>
        <v>0</v>
      </c>
      <c r="POJ32" s="28">
        <f t="shared" si="260"/>
        <v>0</v>
      </c>
      <c r="POK32" s="28">
        <f t="shared" si="260"/>
        <v>0</v>
      </c>
      <c r="POL32" s="28">
        <f t="shared" si="260"/>
        <v>0</v>
      </c>
      <c r="POM32" s="28">
        <f t="shared" si="260"/>
        <v>0</v>
      </c>
      <c r="PON32" s="28">
        <f t="shared" si="260"/>
        <v>0</v>
      </c>
      <c r="POO32" s="28">
        <f t="shared" si="260"/>
        <v>0</v>
      </c>
      <c r="POP32" s="28">
        <f t="shared" si="260"/>
        <v>0</v>
      </c>
      <c r="POQ32" s="28">
        <f t="shared" si="260"/>
        <v>0</v>
      </c>
      <c r="POR32" s="28">
        <f t="shared" si="260"/>
        <v>0</v>
      </c>
      <c r="POS32" s="28">
        <f t="shared" si="260"/>
        <v>0</v>
      </c>
      <c r="POT32" s="28">
        <f t="shared" si="260"/>
        <v>0</v>
      </c>
      <c r="POU32" s="28">
        <f t="shared" si="260"/>
        <v>0</v>
      </c>
      <c r="POV32" s="28">
        <f t="shared" si="260"/>
        <v>0</v>
      </c>
      <c r="POW32" s="28">
        <f t="shared" si="260"/>
        <v>0</v>
      </c>
      <c r="POX32" s="28">
        <f t="shared" si="260"/>
        <v>0</v>
      </c>
      <c r="POY32" s="28">
        <f t="shared" si="260"/>
        <v>0</v>
      </c>
      <c r="POZ32" s="28">
        <f t="shared" si="260"/>
        <v>0</v>
      </c>
      <c r="PPA32" s="28">
        <f t="shared" si="260"/>
        <v>0</v>
      </c>
      <c r="PPB32" s="28">
        <f t="shared" si="260"/>
        <v>0</v>
      </c>
      <c r="PPC32" s="28">
        <f t="shared" si="260"/>
        <v>0</v>
      </c>
      <c r="PPD32" s="28">
        <f t="shared" si="260"/>
        <v>0</v>
      </c>
      <c r="PPE32" s="28">
        <f t="shared" si="260"/>
        <v>0</v>
      </c>
      <c r="PPF32" s="28">
        <f t="shared" si="260"/>
        <v>0</v>
      </c>
      <c r="PPG32" s="28">
        <f t="shared" si="260"/>
        <v>0</v>
      </c>
      <c r="PPH32" s="28">
        <f t="shared" si="260"/>
        <v>0</v>
      </c>
      <c r="PPI32" s="28">
        <f t="shared" si="260"/>
        <v>0</v>
      </c>
      <c r="PPJ32" s="28">
        <f t="shared" si="260"/>
        <v>0</v>
      </c>
      <c r="PPK32" s="28">
        <f t="shared" si="260"/>
        <v>0</v>
      </c>
      <c r="PPL32" s="28">
        <f t="shared" si="260"/>
        <v>0</v>
      </c>
      <c r="PPM32" s="28">
        <f t="shared" si="260"/>
        <v>0</v>
      </c>
      <c r="PPN32" s="28">
        <f t="shared" si="260"/>
        <v>0</v>
      </c>
      <c r="PPO32" s="28">
        <f t="shared" si="260"/>
        <v>0</v>
      </c>
      <c r="PPP32" s="28">
        <f t="shared" si="260"/>
        <v>0</v>
      </c>
      <c r="PPQ32" s="28">
        <f t="shared" si="260"/>
        <v>0</v>
      </c>
      <c r="PPR32" s="28">
        <f t="shared" si="260"/>
        <v>0</v>
      </c>
      <c r="PPS32" s="28">
        <f t="shared" si="260"/>
        <v>0</v>
      </c>
      <c r="PPT32" s="28">
        <f t="shared" si="260"/>
        <v>0</v>
      </c>
      <c r="PPU32" s="28">
        <f t="shared" si="260"/>
        <v>0</v>
      </c>
      <c r="PPV32" s="28">
        <f t="shared" si="260"/>
        <v>0</v>
      </c>
      <c r="PPW32" s="28">
        <f t="shared" si="260"/>
        <v>0</v>
      </c>
      <c r="PPX32" s="28">
        <f t="shared" si="260"/>
        <v>0</v>
      </c>
      <c r="PPY32" s="28">
        <f t="shared" si="260"/>
        <v>0</v>
      </c>
      <c r="PPZ32" s="28">
        <f t="shared" si="260"/>
        <v>0</v>
      </c>
      <c r="PQA32" s="28">
        <f t="shared" si="260"/>
        <v>0</v>
      </c>
      <c r="PQB32" s="28">
        <f t="shared" si="260"/>
        <v>0</v>
      </c>
      <c r="PQC32" s="28">
        <f t="shared" si="260"/>
        <v>0</v>
      </c>
      <c r="PQD32" s="28">
        <f t="shared" si="260"/>
        <v>0</v>
      </c>
      <c r="PQE32" s="28">
        <f t="shared" si="260"/>
        <v>0</v>
      </c>
      <c r="PQF32" s="28">
        <f t="shared" si="260"/>
        <v>0</v>
      </c>
      <c r="PQG32" s="28">
        <f t="shared" si="260"/>
        <v>0</v>
      </c>
      <c r="PQH32" s="28">
        <f t="shared" si="260"/>
        <v>0</v>
      </c>
      <c r="PQI32" s="28">
        <f t="shared" si="260"/>
        <v>0</v>
      </c>
      <c r="PQJ32" s="28">
        <f t="shared" si="260"/>
        <v>0</v>
      </c>
      <c r="PQK32" s="28">
        <f t="shared" si="260"/>
        <v>0</v>
      </c>
      <c r="PQL32" s="28">
        <f t="shared" si="260"/>
        <v>0</v>
      </c>
      <c r="PQM32" s="28">
        <f t="shared" si="260"/>
        <v>0</v>
      </c>
      <c r="PQN32" s="28">
        <f t="shared" si="260"/>
        <v>0</v>
      </c>
      <c r="PQO32" s="28">
        <f t="shared" ref="PQO32:PSZ32" si="261">IFERROR(PQO31/PQO$4,0)</f>
        <v>0</v>
      </c>
      <c r="PQP32" s="28">
        <f t="shared" si="261"/>
        <v>0</v>
      </c>
      <c r="PQQ32" s="28">
        <f t="shared" si="261"/>
        <v>0</v>
      </c>
      <c r="PQR32" s="28">
        <f t="shared" si="261"/>
        <v>0</v>
      </c>
      <c r="PQS32" s="28">
        <f t="shared" si="261"/>
        <v>0</v>
      </c>
      <c r="PQT32" s="28">
        <f t="shared" si="261"/>
        <v>0</v>
      </c>
      <c r="PQU32" s="28">
        <f t="shared" si="261"/>
        <v>0</v>
      </c>
      <c r="PQV32" s="28">
        <f t="shared" si="261"/>
        <v>0</v>
      </c>
      <c r="PQW32" s="28">
        <f t="shared" si="261"/>
        <v>0</v>
      </c>
      <c r="PQX32" s="28">
        <f t="shared" si="261"/>
        <v>0</v>
      </c>
      <c r="PQY32" s="28">
        <f t="shared" si="261"/>
        <v>0</v>
      </c>
      <c r="PQZ32" s="28">
        <f t="shared" si="261"/>
        <v>0</v>
      </c>
      <c r="PRA32" s="28">
        <f t="shared" si="261"/>
        <v>0</v>
      </c>
      <c r="PRB32" s="28">
        <f t="shared" si="261"/>
        <v>0</v>
      </c>
      <c r="PRC32" s="28">
        <f t="shared" si="261"/>
        <v>0</v>
      </c>
      <c r="PRD32" s="28">
        <f t="shared" si="261"/>
        <v>0</v>
      </c>
      <c r="PRE32" s="28">
        <f t="shared" si="261"/>
        <v>0</v>
      </c>
      <c r="PRF32" s="28">
        <f t="shared" si="261"/>
        <v>0</v>
      </c>
      <c r="PRG32" s="28">
        <f t="shared" si="261"/>
        <v>0</v>
      </c>
      <c r="PRH32" s="28">
        <f t="shared" si="261"/>
        <v>0</v>
      </c>
      <c r="PRI32" s="28">
        <f t="shared" si="261"/>
        <v>0</v>
      </c>
      <c r="PRJ32" s="28">
        <f t="shared" si="261"/>
        <v>0</v>
      </c>
      <c r="PRK32" s="28">
        <f t="shared" si="261"/>
        <v>0</v>
      </c>
      <c r="PRL32" s="28">
        <f t="shared" si="261"/>
        <v>0</v>
      </c>
      <c r="PRM32" s="28">
        <f t="shared" si="261"/>
        <v>0</v>
      </c>
      <c r="PRN32" s="28">
        <f t="shared" si="261"/>
        <v>0</v>
      </c>
      <c r="PRO32" s="28">
        <f t="shared" si="261"/>
        <v>0</v>
      </c>
      <c r="PRP32" s="28">
        <f t="shared" si="261"/>
        <v>0</v>
      </c>
      <c r="PRQ32" s="28">
        <f t="shared" si="261"/>
        <v>0</v>
      </c>
      <c r="PRR32" s="28">
        <f t="shared" si="261"/>
        <v>0</v>
      </c>
      <c r="PRS32" s="28">
        <f t="shared" si="261"/>
        <v>0</v>
      </c>
      <c r="PRT32" s="28">
        <f t="shared" si="261"/>
        <v>0</v>
      </c>
      <c r="PRU32" s="28">
        <f t="shared" si="261"/>
        <v>0</v>
      </c>
      <c r="PRV32" s="28">
        <f t="shared" si="261"/>
        <v>0</v>
      </c>
      <c r="PRW32" s="28">
        <f t="shared" si="261"/>
        <v>0</v>
      </c>
      <c r="PRX32" s="28">
        <f t="shared" si="261"/>
        <v>0</v>
      </c>
      <c r="PRY32" s="28">
        <f t="shared" si="261"/>
        <v>0</v>
      </c>
      <c r="PRZ32" s="28">
        <f t="shared" si="261"/>
        <v>0</v>
      </c>
      <c r="PSA32" s="28">
        <f t="shared" si="261"/>
        <v>0</v>
      </c>
      <c r="PSB32" s="28">
        <f t="shared" si="261"/>
        <v>0</v>
      </c>
      <c r="PSC32" s="28">
        <f t="shared" si="261"/>
        <v>0</v>
      </c>
      <c r="PSD32" s="28">
        <f t="shared" si="261"/>
        <v>0</v>
      </c>
      <c r="PSE32" s="28">
        <f t="shared" si="261"/>
        <v>0</v>
      </c>
      <c r="PSF32" s="28">
        <f t="shared" si="261"/>
        <v>0</v>
      </c>
      <c r="PSG32" s="28">
        <f t="shared" si="261"/>
        <v>0</v>
      </c>
      <c r="PSH32" s="28">
        <f t="shared" si="261"/>
        <v>0</v>
      </c>
      <c r="PSI32" s="28">
        <f t="shared" si="261"/>
        <v>0</v>
      </c>
      <c r="PSJ32" s="28">
        <f t="shared" si="261"/>
        <v>0</v>
      </c>
      <c r="PSK32" s="28">
        <f t="shared" si="261"/>
        <v>0</v>
      </c>
      <c r="PSL32" s="28">
        <f t="shared" si="261"/>
        <v>0</v>
      </c>
      <c r="PSM32" s="28">
        <f t="shared" si="261"/>
        <v>0</v>
      </c>
      <c r="PSN32" s="28">
        <f t="shared" si="261"/>
        <v>0</v>
      </c>
      <c r="PSO32" s="28">
        <f t="shared" si="261"/>
        <v>0</v>
      </c>
      <c r="PSP32" s="28">
        <f t="shared" si="261"/>
        <v>0</v>
      </c>
      <c r="PSQ32" s="28">
        <f t="shared" si="261"/>
        <v>0</v>
      </c>
      <c r="PSR32" s="28">
        <f t="shared" si="261"/>
        <v>0</v>
      </c>
      <c r="PSS32" s="28">
        <f t="shared" si="261"/>
        <v>0</v>
      </c>
      <c r="PST32" s="28">
        <f t="shared" si="261"/>
        <v>0</v>
      </c>
      <c r="PSU32" s="28">
        <f t="shared" si="261"/>
        <v>0</v>
      </c>
      <c r="PSV32" s="28">
        <f t="shared" si="261"/>
        <v>0</v>
      </c>
      <c r="PSW32" s="28">
        <f t="shared" si="261"/>
        <v>0</v>
      </c>
      <c r="PSX32" s="28">
        <f t="shared" si="261"/>
        <v>0</v>
      </c>
      <c r="PSY32" s="28">
        <f t="shared" si="261"/>
        <v>0</v>
      </c>
      <c r="PSZ32" s="28">
        <f t="shared" si="261"/>
        <v>0</v>
      </c>
      <c r="PTA32" s="28">
        <f t="shared" ref="PTA32:PVL32" si="262">IFERROR(PTA31/PTA$4,0)</f>
        <v>0</v>
      </c>
      <c r="PTB32" s="28">
        <f t="shared" si="262"/>
        <v>0</v>
      </c>
      <c r="PTC32" s="28">
        <f t="shared" si="262"/>
        <v>0</v>
      </c>
      <c r="PTD32" s="28">
        <f t="shared" si="262"/>
        <v>0</v>
      </c>
      <c r="PTE32" s="28">
        <f t="shared" si="262"/>
        <v>0</v>
      </c>
      <c r="PTF32" s="28">
        <f t="shared" si="262"/>
        <v>0</v>
      </c>
      <c r="PTG32" s="28">
        <f t="shared" si="262"/>
        <v>0</v>
      </c>
      <c r="PTH32" s="28">
        <f t="shared" si="262"/>
        <v>0</v>
      </c>
      <c r="PTI32" s="28">
        <f t="shared" si="262"/>
        <v>0</v>
      </c>
      <c r="PTJ32" s="28">
        <f t="shared" si="262"/>
        <v>0</v>
      </c>
      <c r="PTK32" s="28">
        <f t="shared" si="262"/>
        <v>0</v>
      </c>
      <c r="PTL32" s="28">
        <f t="shared" si="262"/>
        <v>0</v>
      </c>
      <c r="PTM32" s="28">
        <f t="shared" si="262"/>
        <v>0</v>
      </c>
      <c r="PTN32" s="28">
        <f t="shared" si="262"/>
        <v>0</v>
      </c>
      <c r="PTO32" s="28">
        <f t="shared" si="262"/>
        <v>0</v>
      </c>
      <c r="PTP32" s="28">
        <f t="shared" si="262"/>
        <v>0</v>
      </c>
      <c r="PTQ32" s="28">
        <f t="shared" si="262"/>
        <v>0</v>
      </c>
      <c r="PTR32" s="28">
        <f t="shared" si="262"/>
        <v>0</v>
      </c>
      <c r="PTS32" s="28">
        <f t="shared" si="262"/>
        <v>0</v>
      </c>
      <c r="PTT32" s="28">
        <f t="shared" si="262"/>
        <v>0</v>
      </c>
      <c r="PTU32" s="28">
        <f t="shared" si="262"/>
        <v>0</v>
      </c>
      <c r="PTV32" s="28">
        <f t="shared" si="262"/>
        <v>0</v>
      </c>
      <c r="PTW32" s="28">
        <f t="shared" si="262"/>
        <v>0</v>
      </c>
      <c r="PTX32" s="28">
        <f t="shared" si="262"/>
        <v>0</v>
      </c>
      <c r="PTY32" s="28">
        <f t="shared" si="262"/>
        <v>0</v>
      </c>
      <c r="PTZ32" s="28">
        <f t="shared" si="262"/>
        <v>0</v>
      </c>
      <c r="PUA32" s="28">
        <f t="shared" si="262"/>
        <v>0</v>
      </c>
      <c r="PUB32" s="28">
        <f t="shared" si="262"/>
        <v>0</v>
      </c>
      <c r="PUC32" s="28">
        <f t="shared" si="262"/>
        <v>0</v>
      </c>
      <c r="PUD32" s="28">
        <f t="shared" si="262"/>
        <v>0</v>
      </c>
      <c r="PUE32" s="28">
        <f t="shared" si="262"/>
        <v>0</v>
      </c>
      <c r="PUF32" s="28">
        <f t="shared" si="262"/>
        <v>0</v>
      </c>
      <c r="PUG32" s="28">
        <f t="shared" si="262"/>
        <v>0</v>
      </c>
      <c r="PUH32" s="28">
        <f t="shared" si="262"/>
        <v>0</v>
      </c>
      <c r="PUI32" s="28">
        <f t="shared" si="262"/>
        <v>0</v>
      </c>
      <c r="PUJ32" s="28">
        <f t="shared" si="262"/>
        <v>0</v>
      </c>
      <c r="PUK32" s="28">
        <f t="shared" si="262"/>
        <v>0</v>
      </c>
      <c r="PUL32" s="28">
        <f t="shared" si="262"/>
        <v>0</v>
      </c>
      <c r="PUM32" s="28">
        <f t="shared" si="262"/>
        <v>0</v>
      </c>
      <c r="PUN32" s="28">
        <f t="shared" si="262"/>
        <v>0</v>
      </c>
      <c r="PUO32" s="28">
        <f t="shared" si="262"/>
        <v>0</v>
      </c>
      <c r="PUP32" s="28">
        <f t="shared" si="262"/>
        <v>0</v>
      </c>
      <c r="PUQ32" s="28">
        <f t="shared" si="262"/>
        <v>0</v>
      </c>
      <c r="PUR32" s="28">
        <f t="shared" si="262"/>
        <v>0</v>
      </c>
      <c r="PUS32" s="28">
        <f t="shared" si="262"/>
        <v>0</v>
      </c>
      <c r="PUT32" s="28">
        <f t="shared" si="262"/>
        <v>0</v>
      </c>
      <c r="PUU32" s="28">
        <f t="shared" si="262"/>
        <v>0</v>
      </c>
      <c r="PUV32" s="28">
        <f t="shared" si="262"/>
        <v>0</v>
      </c>
      <c r="PUW32" s="28">
        <f t="shared" si="262"/>
        <v>0</v>
      </c>
      <c r="PUX32" s="28">
        <f t="shared" si="262"/>
        <v>0</v>
      </c>
      <c r="PUY32" s="28">
        <f t="shared" si="262"/>
        <v>0</v>
      </c>
      <c r="PUZ32" s="28">
        <f t="shared" si="262"/>
        <v>0</v>
      </c>
      <c r="PVA32" s="28">
        <f t="shared" si="262"/>
        <v>0</v>
      </c>
      <c r="PVB32" s="28">
        <f t="shared" si="262"/>
        <v>0</v>
      </c>
      <c r="PVC32" s="28">
        <f t="shared" si="262"/>
        <v>0</v>
      </c>
      <c r="PVD32" s="28">
        <f t="shared" si="262"/>
        <v>0</v>
      </c>
      <c r="PVE32" s="28">
        <f t="shared" si="262"/>
        <v>0</v>
      </c>
      <c r="PVF32" s="28">
        <f t="shared" si="262"/>
        <v>0</v>
      </c>
      <c r="PVG32" s="28">
        <f t="shared" si="262"/>
        <v>0</v>
      </c>
      <c r="PVH32" s="28">
        <f t="shared" si="262"/>
        <v>0</v>
      </c>
      <c r="PVI32" s="28">
        <f t="shared" si="262"/>
        <v>0</v>
      </c>
      <c r="PVJ32" s="28">
        <f t="shared" si="262"/>
        <v>0</v>
      </c>
      <c r="PVK32" s="28">
        <f t="shared" si="262"/>
        <v>0</v>
      </c>
      <c r="PVL32" s="28">
        <f t="shared" si="262"/>
        <v>0</v>
      </c>
      <c r="PVM32" s="28">
        <f t="shared" ref="PVM32:PXX32" si="263">IFERROR(PVM31/PVM$4,0)</f>
        <v>0</v>
      </c>
      <c r="PVN32" s="28">
        <f t="shared" si="263"/>
        <v>0</v>
      </c>
      <c r="PVO32" s="28">
        <f t="shared" si="263"/>
        <v>0</v>
      </c>
      <c r="PVP32" s="28">
        <f t="shared" si="263"/>
        <v>0</v>
      </c>
      <c r="PVQ32" s="28">
        <f t="shared" si="263"/>
        <v>0</v>
      </c>
      <c r="PVR32" s="28">
        <f t="shared" si="263"/>
        <v>0</v>
      </c>
      <c r="PVS32" s="28">
        <f t="shared" si="263"/>
        <v>0</v>
      </c>
      <c r="PVT32" s="28">
        <f t="shared" si="263"/>
        <v>0</v>
      </c>
      <c r="PVU32" s="28">
        <f t="shared" si="263"/>
        <v>0</v>
      </c>
      <c r="PVV32" s="28">
        <f t="shared" si="263"/>
        <v>0</v>
      </c>
      <c r="PVW32" s="28">
        <f t="shared" si="263"/>
        <v>0</v>
      </c>
      <c r="PVX32" s="28">
        <f t="shared" si="263"/>
        <v>0</v>
      </c>
      <c r="PVY32" s="28">
        <f t="shared" si="263"/>
        <v>0</v>
      </c>
      <c r="PVZ32" s="28">
        <f t="shared" si="263"/>
        <v>0</v>
      </c>
      <c r="PWA32" s="28">
        <f t="shared" si="263"/>
        <v>0</v>
      </c>
      <c r="PWB32" s="28">
        <f t="shared" si="263"/>
        <v>0</v>
      </c>
      <c r="PWC32" s="28">
        <f t="shared" si="263"/>
        <v>0</v>
      </c>
      <c r="PWD32" s="28">
        <f t="shared" si="263"/>
        <v>0</v>
      </c>
      <c r="PWE32" s="28">
        <f t="shared" si="263"/>
        <v>0</v>
      </c>
      <c r="PWF32" s="28">
        <f t="shared" si="263"/>
        <v>0</v>
      </c>
      <c r="PWG32" s="28">
        <f t="shared" si="263"/>
        <v>0</v>
      </c>
      <c r="PWH32" s="28">
        <f t="shared" si="263"/>
        <v>0</v>
      </c>
      <c r="PWI32" s="28">
        <f t="shared" si="263"/>
        <v>0</v>
      </c>
      <c r="PWJ32" s="28">
        <f t="shared" si="263"/>
        <v>0</v>
      </c>
      <c r="PWK32" s="28">
        <f t="shared" si="263"/>
        <v>0</v>
      </c>
      <c r="PWL32" s="28">
        <f t="shared" si="263"/>
        <v>0</v>
      </c>
      <c r="PWM32" s="28">
        <f t="shared" si="263"/>
        <v>0</v>
      </c>
      <c r="PWN32" s="28">
        <f t="shared" si="263"/>
        <v>0</v>
      </c>
      <c r="PWO32" s="28">
        <f t="shared" si="263"/>
        <v>0</v>
      </c>
      <c r="PWP32" s="28">
        <f t="shared" si="263"/>
        <v>0</v>
      </c>
      <c r="PWQ32" s="28">
        <f t="shared" si="263"/>
        <v>0</v>
      </c>
      <c r="PWR32" s="28">
        <f t="shared" si="263"/>
        <v>0</v>
      </c>
      <c r="PWS32" s="28">
        <f t="shared" si="263"/>
        <v>0</v>
      </c>
      <c r="PWT32" s="28">
        <f t="shared" si="263"/>
        <v>0</v>
      </c>
      <c r="PWU32" s="28">
        <f t="shared" si="263"/>
        <v>0</v>
      </c>
      <c r="PWV32" s="28">
        <f t="shared" si="263"/>
        <v>0</v>
      </c>
      <c r="PWW32" s="28">
        <f t="shared" si="263"/>
        <v>0</v>
      </c>
      <c r="PWX32" s="28">
        <f t="shared" si="263"/>
        <v>0</v>
      </c>
      <c r="PWY32" s="28">
        <f t="shared" si="263"/>
        <v>0</v>
      </c>
      <c r="PWZ32" s="28">
        <f t="shared" si="263"/>
        <v>0</v>
      </c>
      <c r="PXA32" s="28">
        <f t="shared" si="263"/>
        <v>0</v>
      </c>
      <c r="PXB32" s="28">
        <f t="shared" si="263"/>
        <v>0</v>
      </c>
      <c r="PXC32" s="28">
        <f t="shared" si="263"/>
        <v>0</v>
      </c>
      <c r="PXD32" s="28">
        <f t="shared" si="263"/>
        <v>0</v>
      </c>
      <c r="PXE32" s="28">
        <f t="shared" si="263"/>
        <v>0</v>
      </c>
      <c r="PXF32" s="28">
        <f t="shared" si="263"/>
        <v>0</v>
      </c>
      <c r="PXG32" s="28">
        <f t="shared" si="263"/>
        <v>0</v>
      </c>
      <c r="PXH32" s="28">
        <f t="shared" si="263"/>
        <v>0</v>
      </c>
      <c r="PXI32" s="28">
        <f t="shared" si="263"/>
        <v>0</v>
      </c>
      <c r="PXJ32" s="28">
        <f t="shared" si="263"/>
        <v>0</v>
      </c>
      <c r="PXK32" s="28">
        <f t="shared" si="263"/>
        <v>0</v>
      </c>
      <c r="PXL32" s="28">
        <f t="shared" si="263"/>
        <v>0</v>
      </c>
      <c r="PXM32" s="28">
        <f t="shared" si="263"/>
        <v>0</v>
      </c>
      <c r="PXN32" s="28">
        <f t="shared" si="263"/>
        <v>0</v>
      </c>
      <c r="PXO32" s="28">
        <f t="shared" si="263"/>
        <v>0</v>
      </c>
      <c r="PXP32" s="28">
        <f t="shared" si="263"/>
        <v>0</v>
      </c>
      <c r="PXQ32" s="28">
        <f t="shared" si="263"/>
        <v>0</v>
      </c>
      <c r="PXR32" s="28">
        <f t="shared" si="263"/>
        <v>0</v>
      </c>
      <c r="PXS32" s="28">
        <f t="shared" si="263"/>
        <v>0</v>
      </c>
      <c r="PXT32" s="28">
        <f t="shared" si="263"/>
        <v>0</v>
      </c>
      <c r="PXU32" s="28">
        <f t="shared" si="263"/>
        <v>0</v>
      </c>
      <c r="PXV32" s="28">
        <f t="shared" si="263"/>
        <v>0</v>
      </c>
      <c r="PXW32" s="28">
        <f t="shared" si="263"/>
        <v>0</v>
      </c>
      <c r="PXX32" s="28">
        <f t="shared" si="263"/>
        <v>0</v>
      </c>
      <c r="PXY32" s="28">
        <f t="shared" ref="PXY32:QAJ32" si="264">IFERROR(PXY31/PXY$4,0)</f>
        <v>0</v>
      </c>
      <c r="PXZ32" s="28">
        <f t="shared" si="264"/>
        <v>0</v>
      </c>
      <c r="PYA32" s="28">
        <f t="shared" si="264"/>
        <v>0</v>
      </c>
      <c r="PYB32" s="28">
        <f t="shared" si="264"/>
        <v>0</v>
      </c>
      <c r="PYC32" s="28">
        <f t="shared" si="264"/>
        <v>0</v>
      </c>
      <c r="PYD32" s="28">
        <f t="shared" si="264"/>
        <v>0</v>
      </c>
      <c r="PYE32" s="28">
        <f t="shared" si="264"/>
        <v>0</v>
      </c>
      <c r="PYF32" s="28">
        <f t="shared" si="264"/>
        <v>0</v>
      </c>
      <c r="PYG32" s="28">
        <f t="shared" si="264"/>
        <v>0</v>
      </c>
      <c r="PYH32" s="28">
        <f t="shared" si="264"/>
        <v>0</v>
      </c>
      <c r="PYI32" s="28">
        <f t="shared" si="264"/>
        <v>0</v>
      </c>
      <c r="PYJ32" s="28">
        <f t="shared" si="264"/>
        <v>0</v>
      </c>
      <c r="PYK32" s="28">
        <f t="shared" si="264"/>
        <v>0</v>
      </c>
      <c r="PYL32" s="28">
        <f t="shared" si="264"/>
        <v>0</v>
      </c>
      <c r="PYM32" s="28">
        <f t="shared" si="264"/>
        <v>0</v>
      </c>
      <c r="PYN32" s="28">
        <f t="shared" si="264"/>
        <v>0</v>
      </c>
      <c r="PYO32" s="28">
        <f t="shared" si="264"/>
        <v>0</v>
      </c>
      <c r="PYP32" s="28">
        <f t="shared" si="264"/>
        <v>0</v>
      </c>
      <c r="PYQ32" s="28">
        <f t="shared" si="264"/>
        <v>0</v>
      </c>
      <c r="PYR32" s="28">
        <f t="shared" si="264"/>
        <v>0</v>
      </c>
      <c r="PYS32" s="28">
        <f t="shared" si="264"/>
        <v>0</v>
      </c>
      <c r="PYT32" s="28">
        <f t="shared" si="264"/>
        <v>0</v>
      </c>
      <c r="PYU32" s="28">
        <f t="shared" si="264"/>
        <v>0</v>
      </c>
      <c r="PYV32" s="28">
        <f t="shared" si="264"/>
        <v>0</v>
      </c>
      <c r="PYW32" s="28">
        <f t="shared" si="264"/>
        <v>0</v>
      </c>
      <c r="PYX32" s="28">
        <f t="shared" si="264"/>
        <v>0</v>
      </c>
      <c r="PYY32" s="28">
        <f t="shared" si="264"/>
        <v>0</v>
      </c>
      <c r="PYZ32" s="28">
        <f t="shared" si="264"/>
        <v>0</v>
      </c>
      <c r="PZA32" s="28">
        <f t="shared" si="264"/>
        <v>0</v>
      </c>
      <c r="PZB32" s="28">
        <f t="shared" si="264"/>
        <v>0</v>
      </c>
      <c r="PZC32" s="28">
        <f t="shared" si="264"/>
        <v>0</v>
      </c>
      <c r="PZD32" s="28">
        <f t="shared" si="264"/>
        <v>0</v>
      </c>
      <c r="PZE32" s="28">
        <f t="shared" si="264"/>
        <v>0</v>
      </c>
      <c r="PZF32" s="28">
        <f t="shared" si="264"/>
        <v>0</v>
      </c>
      <c r="PZG32" s="28">
        <f t="shared" si="264"/>
        <v>0</v>
      </c>
      <c r="PZH32" s="28">
        <f t="shared" si="264"/>
        <v>0</v>
      </c>
      <c r="PZI32" s="28">
        <f t="shared" si="264"/>
        <v>0</v>
      </c>
      <c r="PZJ32" s="28">
        <f t="shared" si="264"/>
        <v>0</v>
      </c>
      <c r="PZK32" s="28">
        <f t="shared" si="264"/>
        <v>0</v>
      </c>
      <c r="PZL32" s="28">
        <f t="shared" si="264"/>
        <v>0</v>
      </c>
      <c r="PZM32" s="28">
        <f t="shared" si="264"/>
        <v>0</v>
      </c>
      <c r="PZN32" s="28">
        <f t="shared" si="264"/>
        <v>0</v>
      </c>
      <c r="PZO32" s="28">
        <f t="shared" si="264"/>
        <v>0</v>
      </c>
      <c r="PZP32" s="28">
        <f t="shared" si="264"/>
        <v>0</v>
      </c>
      <c r="PZQ32" s="28">
        <f t="shared" si="264"/>
        <v>0</v>
      </c>
      <c r="PZR32" s="28">
        <f t="shared" si="264"/>
        <v>0</v>
      </c>
      <c r="PZS32" s="28">
        <f t="shared" si="264"/>
        <v>0</v>
      </c>
      <c r="PZT32" s="28">
        <f t="shared" si="264"/>
        <v>0</v>
      </c>
      <c r="PZU32" s="28">
        <f t="shared" si="264"/>
        <v>0</v>
      </c>
      <c r="PZV32" s="28">
        <f t="shared" si="264"/>
        <v>0</v>
      </c>
      <c r="PZW32" s="28">
        <f t="shared" si="264"/>
        <v>0</v>
      </c>
      <c r="PZX32" s="28">
        <f t="shared" si="264"/>
        <v>0</v>
      </c>
      <c r="PZY32" s="28">
        <f t="shared" si="264"/>
        <v>0</v>
      </c>
      <c r="PZZ32" s="28">
        <f t="shared" si="264"/>
        <v>0</v>
      </c>
      <c r="QAA32" s="28">
        <f t="shared" si="264"/>
        <v>0</v>
      </c>
      <c r="QAB32" s="28">
        <f t="shared" si="264"/>
        <v>0</v>
      </c>
      <c r="QAC32" s="28">
        <f t="shared" si="264"/>
        <v>0</v>
      </c>
      <c r="QAD32" s="28">
        <f t="shared" si="264"/>
        <v>0</v>
      </c>
      <c r="QAE32" s="28">
        <f t="shared" si="264"/>
        <v>0</v>
      </c>
      <c r="QAF32" s="28">
        <f t="shared" si="264"/>
        <v>0</v>
      </c>
      <c r="QAG32" s="28">
        <f t="shared" si="264"/>
        <v>0</v>
      </c>
      <c r="QAH32" s="28">
        <f t="shared" si="264"/>
        <v>0</v>
      </c>
      <c r="QAI32" s="28">
        <f t="shared" si="264"/>
        <v>0</v>
      </c>
      <c r="QAJ32" s="28">
        <f t="shared" si="264"/>
        <v>0</v>
      </c>
      <c r="QAK32" s="28">
        <f t="shared" ref="QAK32:QCV32" si="265">IFERROR(QAK31/QAK$4,0)</f>
        <v>0</v>
      </c>
      <c r="QAL32" s="28">
        <f t="shared" si="265"/>
        <v>0</v>
      </c>
      <c r="QAM32" s="28">
        <f t="shared" si="265"/>
        <v>0</v>
      </c>
      <c r="QAN32" s="28">
        <f t="shared" si="265"/>
        <v>0</v>
      </c>
      <c r="QAO32" s="28">
        <f t="shared" si="265"/>
        <v>0</v>
      </c>
      <c r="QAP32" s="28">
        <f t="shared" si="265"/>
        <v>0</v>
      </c>
      <c r="QAQ32" s="28">
        <f t="shared" si="265"/>
        <v>0</v>
      </c>
      <c r="QAR32" s="28">
        <f t="shared" si="265"/>
        <v>0</v>
      </c>
      <c r="QAS32" s="28">
        <f t="shared" si="265"/>
        <v>0</v>
      </c>
      <c r="QAT32" s="28">
        <f t="shared" si="265"/>
        <v>0</v>
      </c>
      <c r="QAU32" s="28">
        <f t="shared" si="265"/>
        <v>0</v>
      </c>
      <c r="QAV32" s="28">
        <f t="shared" si="265"/>
        <v>0</v>
      </c>
      <c r="QAW32" s="28">
        <f t="shared" si="265"/>
        <v>0</v>
      </c>
      <c r="QAX32" s="28">
        <f t="shared" si="265"/>
        <v>0</v>
      </c>
      <c r="QAY32" s="28">
        <f t="shared" si="265"/>
        <v>0</v>
      </c>
      <c r="QAZ32" s="28">
        <f t="shared" si="265"/>
        <v>0</v>
      </c>
      <c r="QBA32" s="28">
        <f t="shared" si="265"/>
        <v>0</v>
      </c>
      <c r="QBB32" s="28">
        <f t="shared" si="265"/>
        <v>0</v>
      </c>
      <c r="QBC32" s="28">
        <f t="shared" si="265"/>
        <v>0</v>
      </c>
      <c r="QBD32" s="28">
        <f t="shared" si="265"/>
        <v>0</v>
      </c>
      <c r="QBE32" s="28">
        <f t="shared" si="265"/>
        <v>0</v>
      </c>
      <c r="QBF32" s="28">
        <f t="shared" si="265"/>
        <v>0</v>
      </c>
      <c r="QBG32" s="28">
        <f t="shared" si="265"/>
        <v>0</v>
      </c>
      <c r="QBH32" s="28">
        <f t="shared" si="265"/>
        <v>0</v>
      </c>
      <c r="QBI32" s="28">
        <f t="shared" si="265"/>
        <v>0</v>
      </c>
      <c r="QBJ32" s="28">
        <f t="shared" si="265"/>
        <v>0</v>
      </c>
      <c r="QBK32" s="28">
        <f t="shared" si="265"/>
        <v>0</v>
      </c>
      <c r="QBL32" s="28">
        <f t="shared" si="265"/>
        <v>0</v>
      </c>
      <c r="QBM32" s="28">
        <f t="shared" si="265"/>
        <v>0</v>
      </c>
      <c r="QBN32" s="28">
        <f t="shared" si="265"/>
        <v>0</v>
      </c>
      <c r="QBO32" s="28">
        <f t="shared" si="265"/>
        <v>0</v>
      </c>
      <c r="QBP32" s="28">
        <f t="shared" si="265"/>
        <v>0</v>
      </c>
      <c r="QBQ32" s="28">
        <f t="shared" si="265"/>
        <v>0</v>
      </c>
      <c r="QBR32" s="28">
        <f t="shared" si="265"/>
        <v>0</v>
      </c>
      <c r="QBS32" s="28">
        <f t="shared" si="265"/>
        <v>0</v>
      </c>
      <c r="QBT32" s="28">
        <f t="shared" si="265"/>
        <v>0</v>
      </c>
      <c r="QBU32" s="28">
        <f t="shared" si="265"/>
        <v>0</v>
      </c>
      <c r="QBV32" s="28">
        <f t="shared" si="265"/>
        <v>0</v>
      </c>
      <c r="QBW32" s="28">
        <f t="shared" si="265"/>
        <v>0</v>
      </c>
      <c r="QBX32" s="28">
        <f t="shared" si="265"/>
        <v>0</v>
      </c>
      <c r="QBY32" s="28">
        <f t="shared" si="265"/>
        <v>0</v>
      </c>
      <c r="QBZ32" s="28">
        <f t="shared" si="265"/>
        <v>0</v>
      </c>
      <c r="QCA32" s="28">
        <f t="shared" si="265"/>
        <v>0</v>
      </c>
      <c r="QCB32" s="28">
        <f t="shared" si="265"/>
        <v>0</v>
      </c>
      <c r="QCC32" s="28">
        <f t="shared" si="265"/>
        <v>0</v>
      </c>
      <c r="QCD32" s="28">
        <f t="shared" si="265"/>
        <v>0</v>
      </c>
      <c r="QCE32" s="28">
        <f t="shared" si="265"/>
        <v>0</v>
      </c>
      <c r="QCF32" s="28">
        <f t="shared" si="265"/>
        <v>0</v>
      </c>
      <c r="QCG32" s="28">
        <f t="shared" si="265"/>
        <v>0</v>
      </c>
      <c r="QCH32" s="28">
        <f t="shared" si="265"/>
        <v>0</v>
      </c>
      <c r="QCI32" s="28">
        <f t="shared" si="265"/>
        <v>0</v>
      </c>
      <c r="QCJ32" s="28">
        <f t="shared" si="265"/>
        <v>0</v>
      </c>
      <c r="QCK32" s="28">
        <f t="shared" si="265"/>
        <v>0</v>
      </c>
      <c r="QCL32" s="28">
        <f t="shared" si="265"/>
        <v>0</v>
      </c>
      <c r="QCM32" s="28">
        <f t="shared" si="265"/>
        <v>0</v>
      </c>
      <c r="QCN32" s="28">
        <f t="shared" si="265"/>
        <v>0</v>
      </c>
      <c r="QCO32" s="28">
        <f t="shared" si="265"/>
        <v>0</v>
      </c>
      <c r="QCP32" s="28">
        <f t="shared" si="265"/>
        <v>0</v>
      </c>
      <c r="QCQ32" s="28">
        <f t="shared" si="265"/>
        <v>0</v>
      </c>
      <c r="QCR32" s="28">
        <f t="shared" si="265"/>
        <v>0</v>
      </c>
      <c r="QCS32" s="28">
        <f t="shared" si="265"/>
        <v>0</v>
      </c>
      <c r="QCT32" s="28">
        <f t="shared" si="265"/>
        <v>0</v>
      </c>
      <c r="QCU32" s="28">
        <f t="shared" si="265"/>
        <v>0</v>
      </c>
      <c r="QCV32" s="28">
        <f t="shared" si="265"/>
        <v>0</v>
      </c>
      <c r="QCW32" s="28">
        <f t="shared" ref="QCW32:QFH32" si="266">IFERROR(QCW31/QCW$4,0)</f>
        <v>0</v>
      </c>
      <c r="QCX32" s="28">
        <f t="shared" si="266"/>
        <v>0</v>
      </c>
      <c r="QCY32" s="28">
        <f t="shared" si="266"/>
        <v>0</v>
      </c>
      <c r="QCZ32" s="28">
        <f t="shared" si="266"/>
        <v>0</v>
      </c>
      <c r="QDA32" s="28">
        <f t="shared" si="266"/>
        <v>0</v>
      </c>
      <c r="QDB32" s="28">
        <f t="shared" si="266"/>
        <v>0</v>
      </c>
      <c r="QDC32" s="28">
        <f t="shared" si="266"/>
        <v>0</v>
      </c>
      <c r="QDD32" s="28">
        <f t="shared" si="266"/>
        <v>0</v>
      </c>
      <c r="QDE32" s="28">
        <f t="shared" si="266"/>
        <v>0</v>
      </c>
      <c r="QDF32" s="28">
        <f t="shared" si="266"/>
        <v>0</v>
      </c>
      <c r="QDG32" s="28">
        <f t="shared" si="266"/>
        <v>0</v>
      </c>
      <c r="QDH32" s="28">
        <f t="shared" si="266"/>
        <v>0</v>
      </c>
      <c r="QDI32" s="28">
        <f t="shared" si="266"/>
        <v>0</v>
      </c>
      <c r="QDJ32" s="28">
        <f t="shared" si="266"/>
        <v>0</v>
      </c>
      <c r="QDK32" s="28">
        <f t="shared" si="266"/>
        <v>0</v>
      </c>
      <c r="QDL32" s="28">
        <f t="shared" si="266"/>
        <v>0</v>
      </c>
      <c r="QDM32" s="28">
        <f t="shared" si="266"/>
        <v>0</v>
      </c>
      <c r="QDN32" s="28">
        <f t="shared" si="266"/>
        <v>0</v>
      </c>
      <c r="QDO32" s="28">
        <f t="shared" si="266"/>
        <v>0</v>
      </c>
      <c r="QDP32" s="28">
        <f t="shared" si="266"/>
        <v>0</v>
      </c>
      <c r="QDQ32" s="28">
        <f t="shared" si="266"/>
        <v>0</v>
      </c>
      <c r="QDR32" s="28">
        <f t="shared" si="266"/>
        <v>0</v>
      </c>
      <c r="QDS32" s="28">
        <f t="shared" si="266"/>
        <v>0</v>
      </c>
      <c r="QDT32" s="28">
        <f t="shared" si="266"/>
        <v>0</v>
      </c>
      <c r="QDU32" s="28">
        <f t="shared" si="266"/>
        <v>0</v>
      </c>
      <c r="QDV32" s="28">
        <f t="shared" si="266"/>
        <v>0</v>
      </c>
      <c r="QDW32" s="28">
        <f t="shared" si="266"/>
        <v>0</v>
      </c>
      <c r="QDX32" s="28">
        <f t="shared" si="266"/>
        <v>0</v>
      </c>
      <c r="QDY32" s="28">
        <f t="shared" si="266"/>
        <v>0</v>
      </c>
      <c r="QDZ32" s="28">
        <f t="shared" si="266"/>
        <v>0</v>
      </c>
      <c r="QEA32" s="28">
        <f t="shared" si="266"/>
        <v>0</v>
      </c>
      <c r="QEB32" s="28">
        <f t="shared" si="266"/>
        <v>0</v>
      </c>
      <c r="QEC32" s="28">
        <f t="shared" si="266"/>
        <v>0</v>
      </c>
      <c r="QED32" s="28">
        <f t="shared" si="266"/>
        <v>0</v>
      </c>
      <c r="QEE32" s="28">
        <f t="shared" si="266"/>
        <v>0</v>
      </c>
      <c r="QEF32" s="28">
        <f t="shared" si="266"/>
        <v>0</v>
      </c>
      <c r="QEG32" s="28">
        <f t="shared" si="266"/>
        <v>0</v>
      </c>
      <c r="QEH32" s="28">
        <f t="shared" si="266"/>
        <v>0</v>
      </c>
      <c r="QEI32" s="28">
        <f t="shared" si="266"/>
        <v>0</v>
      </c>
      <c r="QEJ32" s="28">
        <f t="shared" si="266"/>
        <v>0</v>
      </c>
      <c r="QEK32" s="28">
        <f t="shared" si="266"/>
        <v>0</v>
      </c>
      <c r="QEL32" s="28">
        <f t="shared" si="266"/>
        <v>0</v>
      </c>
      <c r="QEM32" s="28">
        <f t="shared" si="266"/>
        <v>0</v>
      </c>
      <c r="QEN32" s="28">
        <f t="shared" si="266"/>
        <v>0</v>
      </c>
      <c r="QEO32" s="28">
        <f t="shared" si="266"/>
        <v>0</v>
      </c>
      <c r="QEP32" s="28">
        <f t="shared" si="266"/>
        <v>0</v>
      </c>
      <c r="QEQ32" s="28">
        <f t="shared" si="266"/>
        <v>0</v>
      </c>
      <c r="QER32" s="28">
        <f t="shared" si="266"/>
        <v>0</v>
      </c>
      <c r="QES32" s="28">
        <f t="shared" si="266"/>
        <v>0</v>
      </c>
      <c r="QET32" s="28">
        <f t="shared" si="266"/>
        <v>0</v>
      </c>
      <c r="QEU32" s="28">
        <f t="shared" si="266"/>
        <v>0</v>
      </c>
      <c r="QEV32" s="28">
        <f t="shared" si="266"/>
        <v>0</v>
      </c>
      <c r="QEW32" s="28">
        <f t="shared" si="266"/>
        <v>0</v>
      </c>
      <c r="QEX32" s="28">
        <f t="shared" si="266"/>
        <v>0</v>
      </c>
      <c r="QEY32" s="28">
        <f t="shared" si="266"/>
        <v>0</v>
      </c>
      <c r="QEZ32" s="28">
        <f t="shared" si="266"/>
        <v>0</v>
      </c>
      <c r="QFA32" s="28">
        <f t="shared" si="266"/>
        <v>0</v>
      </c>
      <c r="QFB32" s="28">
        <f t="shared" si="266"/>
        <v>0</v>
      </c>
      <c r="QFC32" s="28">
        <f t="shared" si="266"/>
        <v>0</v>
      </c>
      <c r="QFD32" s="28">
        <f t="shared" si="266"/>
        <v>0</v>
      </c>
      <c r="QFE32" s="28">
        <f t="shared" si="266"/>
        <v>0</v>
      </c>
      <c r="QFF32" s="28">
        <f t="shared" si="266"/>
        <v>0</v>
      </c>
      <c r="QFG32" s="28">
        <f t="shared" si="266"/>
        <v>0</v>
      </c>
      <c r="QFH32" s="28">
        <f t="shared" si="266"/>
        <v>0</v>
      </c>
      <c r="QFI32" s="28">
        <f t="shared" ref="QFI32:QHT32" si="267">IFERROR(QFI31/QFI$4,0)</f>
        <v>0</v>
      </c>
      <c r="QFJ32" s="28">
        <f t="shared" si="267"/>
        <v>0</v>
      </c>
      <c r="QFK32" s="28">
        <f t="shared" si="267"/>
        <v>0</v>
      </c>
      <c r="QFL32" s="28">
        <f t="shared" si="267"/>
        <v>0</v>
      </c>
      <c r="QFM32" s="28">
        <f t="shared" si="267"/>
        <v>0</v>
      </c>
      <c r="QFN32" s="28">
        <f t="shared" si="267"/>
        <v>0</v>
      </c>
      <c r="QFO32" s="28">
        <f t="shared" si="267"/>
        <v>0</v>
      </c>
      <c r="QFP32" s="28">
        <f t="shared" si="267"/>
        <v>0</v>
      </c>
      <c r="QFQ32" s="28">
        <f t="shared" si="267"/>
        <v>0</v>
      </c>
      <c r="QFR32" s="28">
        <f t="shared" si="267"/>
        <v>0</v>
      </c>
      <c r="QFS32" s="28">
        <f t="shared" si="267"/>
        <v>0</v>
      </c>
      <c r="QFT32" s="28">
        <f t="shared" si="267"/>
        <v>0</v>
      </c>
      <c r="QFU32" s="28">
        <f t="shared" si="267"/>
        <v>0</v>
      </c>
      <c r="QFV32" s="28">
        <f t="shared" si="267"/>
        <v>0</v>
      </c>
      <c r="QFW32" s="28">
        <f t="shared" si="267"/>
        <v>0</v>
      </c>
      <c r="QFX32" s="28">
        <f t="shared" si="267"/>
        <v>0</v>
      </c>
      <c r="QFY32" s="28">
        <f t="shared" si="267"/>
        <v>0</v>
      </c>
      <c r="QFZ32" s="28">
        <f t="shared" si="267"/>
        <v>0</v>
      </c>
      <c r="QGA32" s="28">
        <f t="shared" si="267"/>
        <v>0</v>
      </c>
      <c r="QGB32" s="28">
        <f t="shared" si="267"/>
        <v>0</v>
      </c>
      <c r="QGC32" s="28">
        <f t="shared" si="267"/>
        <v>0</v>
      </c>
      <c r="QGD32" s="28">
        <f t="shared" si="267"/>
        <v>0</v>
      </c>
      <c r="QGE32" s="28">
        <f t="shared" si="267"/>
        <v>0</v>
      </c>
      <c r="QGF32" s="28">
        <f t="shared" si="267"/>
        <v>0</v>
      </c>
      <c r="QGG32" s="28">
        <f t="shared" si="267"/>
        <v>0</v>
      </c>
      <c r="QGH32" s="28">
        <f t="shared" si="267"/>
        <v>0</v>
      </c>
      <c r="QGI32" s="28">
        <f t="shared" si="267"/>
        <v>0</v>
      </c>
      <c r="QGJ32" s="28">
        <f t="shared" si="267"/>
        <v>0</v>
      </c>
      <c r="QGK32" s="28">
        <f t="shared" si="267"/>
        <v>0</v>
      </c>
      <c r="QGL32" s="28">
        <f t="shared" si="267"/>
        <v>0</v>
      </c>
      <c r="QGM32" s="28">
        <f t="shared" si="267"/>
        <v>0</v>
      </c>
      <c r="QGN32" s="28">
        <f t="shared" si="267"/>
        <v>0</v>
      </c>
      <c r="QGO32" s="28">
        <f t="shared" si="267"/>
        <v>0</v>
      </c>
      <c r="QGP32" s="28">
        <f t="shared" si="267"/>
        <v>0</v>
      </c>
      <c r="QGQ32" s="28">
        <f t="shared" si="267"/>
        <v>0</v>
      </c>
      <c r="QGR32" s="28">
        <f t="shared" si="267"/>
        <v>0</v>
      </c>
      <c r="QGS32" s="28">
        <f t="shared" si="267"/>
        <v>0</v>
      </c>
      <c r="QGT32" s="28">
        <f t="shared" si="267"/>
        <v>0</v>
      </c>
      <c r="QGU32" s="28">
        <f t="shared" si="267"/>
        <v>0</v>
      </c>
      <c r="QGV32" s="28">
        <f t="shared" si="267"/>
        <v>0</v>
      </c>
      <c r="QGW32" s="28">
        <f t="shared" si="267"/>
        <v>0</v>
      </c>
      <c r="QGX32" s="28">
        <f t="shared" si="267"/>
        <v>0</v>
      </c>
      <c r="QGY32" s="28">
        <f t="shared" si="267"/>
        <v>0</v>
      </c>
      <c r="QGZ32" s="28">
        <f t="shared" si="267"/>
        <v>0</v>
      </c>
      <c r="QHA32" s="28">
        <f t="shared" si="267"/>
        <v>0</v>
      </c>
      <c r="QHB32" s="28">
        <f t="shared" si="267"/>
        <v>0</v>
      </c>
      <c r="QHC32" s="28">
        <f t="shared" si="267"/>
        <v>0</v>
      </c>
      <c r="QHD32" s="28">
        <f t="shared" si="267"/>
        <v>0</v>
      </c>
      <c r="QHE32" s="28">
        <f t="shared" si="267"/>
        <v>0</v>
      </c>
      <c r="QHF32" s="28">
        <f t="shared" si="267"/>
        <v>0</v>
      </c>
      <c r="QHG32" s="28">
        <f t="shared" si="267"/>
        <v>0</v>
      </c>
      <c r="QHH32" s="28">
        <f t="shared" si="267"/>
        <v>0</v>
      </c>
      <c r="QHI32" s="28">
        <f t="shared" si="267"/>
        <v>0</v>
      </c>
      <c r="QHJ32" s="28">
        <f t="shared" si="267"/>
        <v>0</v>
      </c>
      <c r="QHK32" s="28">
        <f t="shared" si="267"/>
        <v>0</v>
      </c>
      <c r="QHL32" s="28">
        <f t="shared" si="267"/>
        <v>0</v>
      </c>
      <c r="QHM32" s="28">
        <f t="shared" si="267"/>
        <v>0</v>
      </c>
      <c r="QHN32" s="28">
        <f t="shared" si="267"/>
        <v>0</v>
      </c>
      <c r="QHO32" s="28">
        <f t="shared" si="267"/>
        <v>0</v>
      </c>
      <c r="QHP32" s="28">
        <f t="shared" si="267"/>
        <v>0</v>
      </c>
      <c r="QHQ32" s="28">
        <f t="shared" si="267"/>
        <v>0</v>
      </c>
      <c r="QHR32" s="28">
        <f t="shared" si="267"/>
        <v>0</v>
      </c>
      <c r="QHS32" s="28">
        <f t="shared" si="267"/>
        <v>0</v>
      </c>
      <c r="QHT32" s="28">
        <f t="shared" si="267"/>
        <v>0</v>
      </c>
      <c r="QHU32" s="28">
        <f t="shared" ref="QHU32:QKF32" si="268">IFERROR(QHU31/QHU$4,0)</f>
        <v>0</v>
      </c>
      <c r="QHV32" s="28">
        <f t="shared" si="268"/>
        <v>0</v>
      </c>
      <c r="QHW32" s="28">
        <f t="shared" si="268"/>
        <v>0</v>
      </c>
      <c r="QHX32" s="28">
        <f t="shared" si="268"/>
        <v>0</v>
      </c>
      <c r="QHY32" s="28">
        <f t="shared" si="268"/>
        <v>0</v>
      </c>
      <c r="QHZ32" s="28">
        <f t="shared" si="268"/>
        <v>0</v>
      </c>
      <c r="QIA32" s="28">
        <f t="shared" si="268"/>
        <v>0</v>
      </c>
      <c r="QIB32" s="28">
        <f t="shared" si="268"/>
        <v>0</v>
      </c>
      <c r="QIC32" s="28">
        <f t="shared" si="268"/>
        <v>0</v>
      </c>
      <c r="QID32" s="28">
        <f t="shared" si="268"/>
        <v>0</v>
      </c>
      <c r="QIE32" s="28">
        <f t="shared" si="268"/>
        <v>0</v>
      </c>
      <c r="QIF32" s="28">
        <f t="shared" si="268"/>
        <v>0</v>
      </c>
      <c r="QIG32" s="28">
        <f t="shared" si="268"/>
        <v>0</v>
      </c>
      <c r="QIH32" s="28">
        <f t="shared" si="268"/>
        <v>0</v>
      </c>
      <c r="QII32" s="28">
        <f t="shared" si="268"/>
        <v>0</v>
      </c>
      <c r="QIJ32" s="28">
        <f t="shared" si="268"/>
        <v>0</v>
      </c>
      <c r="QIK32" s="28">
        <f t="shared" si="268"/>
        <v>0</v>
      </c>
      <c r="QIL32" s="28">
        <f t="shared" si="268"/>
        <v>0</v>
      </c>
      <c r="QIM32" s="28">
        <f t="shared" si="268"/>
        <v>0</v>
      </c>
      <c r="QIN32" s="28">
        <f t="shared" si="268"/>
        <v>0</v>
      </c>
      <c r="QIO32" s="28">
        <f t="shared" si="268"/>
        <v>0</v>
      </c>
      <c r="QIP32" s="28">
        <f t="shared" si="268"/>
        <v>0</v>
      </c>
      <c r="QIQ32" s="28">
        <f t="shared" si="268"/>
        <v>0</v>
      </c>
      <c r="QIR32" s="28">
        <f t="shared" si="268"/>
        <v>0</v>
      </c>
      <c r="QIS32" s="28">
        <f t="shared" si="268"/>
        <v>0</v>
      </c>
      <c r="QIT32" s="28">
        <f t="shared" si="268"/>
        <v>0</v>
      </c>
      <c r="QIU32" s="28">
        <f t="shared" si="268"/>
        <v>0</v>
      </c>
      <c r="QIV32" s="28">
        <f t="shared" si="268"/>
        <v>0</v>
      </c>
      <c r="QIW32" s="28">
        <f t="shared" si="268"/>
        <v>0</v>
      </c>
      <c r="QIX32" s="28">
        <f t="shared" si="268"/>
        <v>0</v>
      </c>
      <c r="QIY32" s="28">
        <f t="shared" si="268"/>
        <v>0</v>
      </c>
      <c r="QIZ32" s="28">
        <f t="shared" si="268"/>
        <v>0</v>
      </c>
      <c r="QJA32" s="28">
        <f t="shared" si="268"/>
        <v>0</v>
      </c>
      <c r="QJB32" s="28">
        <f t="shared" si="268"/>
        <v>0</v>
      </c>
      <c r="QJC32" s="28">
        <f t="shared" si="268"/>
        <v>0</v>
      </c>
      <c r="QJD32" s="28">
        <f t="shared" si="268"/>
        <v>0</v>
      </c>
      <c r="QJE32" s="28">
        <f t="shared" si="268"/>
        <v>0</v>
      </c>
      <c r="QJF32" s="28">
        <f t="shared" si="268"/>
        <v>0</v>
      </c>
      <c r="QJG32" s="28">
        <f t="shared" si="268"/>
        <v>0</v>
      </c>
      <c r="QJH32" s="28">
        <f t="shared" si="268"/>
        <v>0</v>
      </c>
      <c r="QJI32" s="28">
        <f t="shared" si="268"/>
        <v>0</v>
      </c>
      <c r="QJJ32" s="28">
        <f t="shared" si="268"/>
        <v>0</v>
      </c>
      <c r="QJK32" s="28">
        <f t="shared" si="268"/>
        <v>0</v>
      </c>
      <c r="QJL32" s="28">
        <f t="shared" si="268"/>
        <v>0</v>
      </c>
      <c r="QJM32" s="28">
        <f t="shared" si="268"/>
        <v>0</v>
      </c>
      <c r="QJN32" s="28">
        <f t="shared" si="268"/>
        <v>0</v>
      </c>
      <c r="QJO32" s="28">
        <f t="shared" si="268"/>
        <v>0</v>
      </c>
      <c r="QJP32" s="28">
        <f t="shared" si="268"/>
        <v>0</v>
      </c>
      <c r="QJQ32" s="28">
        <f t="shared" si="268"/>
        <v>0</v>
      </c>
      <c r="QJR32" s="28">
        <f t="shared" si="268"/>
        <v>0</v>
      </c>
      <c r="QJS32" s="28">
        <f t="shared" si="268"/>
        <v>0</v>
      </c>
      <c r="QJT32" s="28">
        <f t="shared" si="268"/>
        <v>0</v>
      </c>
      <c r="QJU32" s="28">
        <f t="shared" si="268"/>
        <v>0</v>
      </c>
      <c r="QJV32" s="28">
        <f t="shared" si="268"/>
        <v>0</v>
      </c>
      <c r="QJW32" s="28">
        <f t="shared" si="268"/>
        <v>0</v>
      </c>
      <c r="QJX32" s="28">
        <f t="shared" si="268"/>
        <v>0</v>
      </c>
      <c r="QJY32" s="28">
        <f t="shared" si="268"/>
        <v>0</v>
      </c>
      <c r="QJZ32" s="28">
        <f t="shared" si="268"/>
        <v>0</v>
      </c>
      <c r="QKA32" s="28">
        <f t="shared" si="268"/>
        <v>0</v>
      </c>
      <c r="QKB32" s="28">
        <f t="shared" si="268"/>
        <v>0</v>
      </c>
      <c r="QKC32" s="28">
        <f t="shared" si="268"/>
        <v>0</v>
      </c>
      <c r="QKD32" s="28">
        <f t="shared" si="268"/>
        <v>0</v>
      </c>
      <c r="QKE32" s="28">
        <f t="shared" si="268"/>
        <v>0</v>
      </c>
      <c r="QKF32" s="28">
        <f t="shared" si="268"/>
        <v>0</v>
      </c>
      <c r="QKG32" s="28">
        <f t="shared" ref="QKG32:QMR32" si="269">IFERROR(QKG31/QKG$4,0)</f>
        <v>0</v>
      </c>
      <c r="QKH32" s="28">
        <f t="shared" si="269"/>
        <v>0</v>
      </c>
      <c r="QKI32" s="28">
        <f t="shared" si="269"/>
        <v>0</v>
      </c>
      <c r="QKJ32" s="28">
        <f t="shared" si="269"/>
        <v>0</v>
      </c>
      <c r="QKK32" s="28">
        <f t="shared" si="269"/>
        <v>0</v>
      </c>
      <c r="QKL32" s="28">
        <f t="shared" si="269"/>
        <v>0</v>
      </c>
      <c r="QKM32" s="28">
        <f t="shared" si="269"/>
        <v>0</v>
      </c>
      <c r="QKN32" s="28">
        <f t="shared" si="269"/>
        <v>0</v>
      </c>
      <c r="QKO32" s="28">
        <f t="shared" si="269"/>
        <v>0</v>
      </c>
      <c r="QKP32" s="28">
        <f t="shared" si="269"/>
        <v>0</v>
      </c>
      <c r="QKQ32" s="28">
        <f t="shared" si="269"/>
        <v>0</v>
      </c>
      <c r="QKR32" s="28">
        <f t="shared" si="269"/>
        <v>0</v>
      </c>
      <c r="QKS32" s="28">
        <f t="shared" si="269"/>
        <v>0</v>
      </c>
      <c r="QKT32" s="28">
        <f t="shared" si="269"/>
        <v>0</v>
      </c>
      <c r="QKU32" s="28">
        <f t="shared" si="269"/>
        <v>0</v>
      </c>
      <c r="QKV32" s="28">
        <f t="shared" si="269"/>
        <v>0</v>
      </c>
      <c r="QKW32" s="28">
        <f t="shared" si="269"/>
        <v>0</v>
      </c>
      <c r="QKX32" s="28">
        <f t="shared" si="269"/>
        <v>0</v>
      </c>
      <c r="QKY32" s="28">
        <f t="shared" si="269"/>
        <v>0</v>
      </c>
      <c r="QKZ32" s="28">
        <f t="shared" si="269"/>
        <v>0</v>
      </c>
      <c r="QLA32" s="28">
        <f t="shared" si="269"/>
        <v>0</v>
      </c>
      <c r="QLB32" s="28">
        <f t="shared" si="269"/>
        <v>0</v>
      </c>
      <c r="QLC32" s="28">
        <f t="shared" si="269"/>
        <v>0</v>
      </c>
      <c r="QLD32" s="28">
        <f t="shared" si="269"/>
        <v>0</v>
      </c>
      <c r="QLE32" s="28">
        <f t="shared" si="269"/>
        <v>0</v>
      </c>
      <c r="QLF32" s="28">
        <f t="shared" si="269"/>
        <v>0</v>
      </c>
      <c r="QLG32" s="28">
        <f t="shared" si="269"/>
        <v>0</v>
      </c>
      <c r="QLH32" s="28">
        <f t="shared" si="269"/>
        <v>0</v>
      </c>
      <c r="QLI32" s="28">
        <f t="shared" si="269"/>
        <v>0</v>
      </c>
      <c r="QLJ32" s="28">
        <f t="shared" si="269"/>
        <v>0</v>
      </c>
      <c r="QLK32" s="28">
        <f t="shared" si="269"/>
        <v>0</v>
      </c>
      <c r="QLL32" s="28">
        <f t="shared" si="269"/>
        <v>0</v>
      </c>
      <c r="QLM32" s="28">
        <f t="shared" si="269"/>
        <v>0</v>
      </c>
      <c r="QLN32" s="28">
        <f t="shared" si="269"/>
        <v>0</v>
      </c>
      <c r="QLO32" s="28">
        <f t="shared" si="269"/>
        <v>0</v>
      </c>
      <c r="QLP32" s="28">
        <f t="shared" si="269"/>
        <v>0</v>
      </c>
      <c r="QLQ32" s="28">
        <f t="shared" si="269"/>
        <v>0</v>
      </c>
      <c r="QLR32" s="28">
        <f t="shared" si="269"/>
        <v>0</v>
      </c>
      <c r="QLS32" s="28">
        <f t="shared" si="269"/>
        <v>0</v>
      </c>
      <c r="QLT32" s="28">
        <f t="shared" si="269"/>
        <v>0</v>
      </c>
      <c r="QLU32" s="28">
        <f t="shared" si="269"/>
        <v>0</v>
      </c>
      <c r="QLV32" s="28">
        <f t="shared" si="269"/>
        <v>0</v>
      </c>
      <c r="QLW32" s="28">
        <f t="shared" si="269"/>
        <v>0</v>
      </c>
      <c r="QLX32" s="28">
        <f t="shared" si="269"/>
        <v>0</v>
      </c>
      <c r="QLY32" s="28">
        <f t="shared" si="269"/>
        <v>0</v>
      </c>
      <c r="QLZ32" s="28">
        <f t="shared" si="269"/>
        <v>0</v>
      </c>
      <c r="QMA32" s="28">
        <f t="shared" si="269"/>
        <v>0</v>
      </c>
      <c r="QMB32" s="28">
        <f t="shared" si="269"/>
        <v>0</v>
      </c>
      <c r="QMC32" s="28">
        <f t="shared" si="269"/>
        <v>0</v>
      </c>
      <c r="QMD32" s="28">
        <f t="shared" si="269"/>
        <v>0</v>
      </c>
      <c r="QME32" s="28">
        <f t="shared" si="269"/>
        <v>0</v>
      </c>
      <c r="QMF32" s="28">
        <f t="shared" si="269"/>
        <v>0</v>
      </c>
      <c r="QMG32" s="28">
        <f t="shared" si="269"/>
        <v>0</v>
      </c>
      <c r="QMH32" s="28">
        <f t="shared" si="269"/>
        <v>0</v>
      </c>
      <c r="QMI32" s="28">
        <f t="shared" si="269"/>
        <v>0</v>
      </c>
      <c r="QMJ32" s="28">
        <f t="shared" si="269"/>
        <v>0</v>
      </c>
      <c r="QMK32" s="28">
        <f t="shared" si="269"/>
        <v>0</v>
      </c>
      <c r="QML32" s="28">
        <f t="shared" si="269"/>
        <v>0</v>
      </c>
      <c r="QMM32" s="28">
        <f t="shared" si="269"/>
        <v>0</v>
      </c>
      <c r="QMN32" s="28">
        <f t="shared" si="269"/>
        <v>0</v>
      </c>
      <c r="QMO32" s="28">
        <f t="shared" si="269"/>
        <v>0</v>
      </c>
      <c r="QMP32" s="28">
        <f t="shared" si="269"/>
        <v>0</v>
      </c>
      <c r="QMQ32" s="28">
        <f t="shared" si="269"/>
        <v>0</v>
      </c>
      <c r="QMR32" s="28">
        <f t="shared" si="269"/>
        <v>0</v>
      </c>
      <c r="QMS32" s="28">
        <f t="shared" ref="QMS32:QPD32" si="270">IFERROR(QMS31/QMS$4,0)</f>
        <v>0</v>
      </c>
      <c r="QMT32" s="28">
        <f t="shared" si="270"/>
        <v>0</v>
      </c>
      <c r="QMU32" s="28">
        <f t="shared" si="270"/>
        <v>0</v>
      </c>
      <c r="QMV32" s="28">
        <f t="shared" si="270"/>
        <v>0</v>
      </c>
      <c r="QMW32" s="28">
        <f t="shared" si="270"/>
        <v>0</v>
      </c>
      <c r="QMX32" s="28">
        <f t="shared" si="270"/>
        <v>0</v>
      </c>
      <c r="QMY32" s="28">
        <f t="shared" si="270"/>
        <v>0</v>
      </c>
      <c r="QMZ32" s="28">
        <f t="shared" si="270"/>
        <v>0</v>
      </c>
      <c r="QNA32" s="28">
        <f t="shared" si="270"/>
        <v>0</v>
      </c>
      <c r="QNB32" s="28">
        <f t="shared" si="270"/>
        <v>0</v>
      </c>
      <c r="QNC32" s="28">
        <f t="shared" si="270"/>
        <v>0</v>
      </c>
      <c r="QND32" s="28">
        <f t="shared" si="270"/>
        <v>0</v>
      </c>
      <c r="QNE32" s="28">
        <f t="shared" si="270"/>
        <v>0</v>
      </c>
      <c r="QNF32" s="28">
        <f t="shared" si="270"/>
        <v>0</v>
      </c>
      <c r="QNG32" s="28">
        <f t="shared" si="270"/>
        <v>0</v>
      </c>
      <c r="QNH32" s="28">
        <f t="shared" si="270"/>
        <v>0</v>
      </c>
      <c r="QNI32" s="28">
        <f t="shared" si="270"/>
        <v>0</v>
      </c>
      <c r="QNJ32" s="28">
        <f t="shared" si="270"/>
        <v>0</v>
      </c>
      <c r="QNK32" s="28">
        <f t="shared" si="270"/>
        <v>0</v>
      </c>
      <c r="QNL32" s="28">
        <f t="shared" si="270"/>
        <v>0</v>
      </c>
      <c r="QNM32" s="28">
        <f t="shared" si="270"/>
        <v>0</v>
      </c>
      <c r="QNN32" s="28">
        <f t="shared" si="270"/>
        <v>0</v>
      </c>
      <c r="QNO32" s="28">
        <f t="shared" si="270"/>
        <v>0</v>
      </c>
      <c r="QNP32" s="28">
        <f t="shared" si="270"/>
        <v>0</v>
      </c>
      <c r="QNQ32" s="28">
        <f t="shared" si="270"/>
        <v>0</v>
      </c>
      <c r="QNR32" s="28">
        <f t="shared" si="270"/>
        <v>0</v>
      </c>
      <c r="QNS32" s="28">
        <f t="shared" si="270"/>
        <v>0</v>
      </c>
      <c r="QNT32" s="28">
        <f t="shared" si="270"/>
        <v>0</v>
      </c>
      <c r="QNU32" s="28">
        <f t="shared" si="270"/>
        <v>0</v>
      </c>
      <c r="QNV32" s="28">
        <f t="shared" si="270"/>
        <v>0</v>
      </c>
      <c r="QNW32" s="28">
        <f t="shared" si="270"/>
        <v>0</v>
      </c>
      <c r="QNX32" s="28">
        <f t="shared" si="270"/>
        <v>0</v>
      </c>
      <c r="QNY32" s="28">
        <f t="shared" si="270"/>
        <v>0</v>
      </c>
      <c r="QNZ32" s="28">
        <f t="shared" si="270"/>
        <v>0</v>
      </c>
      <c r="QOA32" s="28">
        <f t="shared" si="270"/>
        <v>0</v>
      </c>
      <c r="QOB32" s="28">
        <f t="shared" si="270"/>
        <v>0</v>
      </c>
      <c r="QOC32" s="28">
        <f t="shared" si="270"/>
        <v>0</v>
      </c>
      <c r="QOD32" s="28">
        <f t="shared" si="270"/>
        <v>0</v>
      </c>
      <c r="QOE32" s="28">
        <f t="shared" si="270"/>
        <v>0</v>
      </c>
      <c r="QOF32" s="28">
        <f t="shared" si="270"/>
        <v>0</v>
      </c>
      <c r="QOG32" s="28">
        <f t="shared" si="270"/>
        <v>0</v>
      </c>
      <c r="QOH32" s="28">
        <f t="shared" si="270"/>
        <v>0</v>
      </c>
      <c r="QOI32" s="28">
        <f t="shared" si="270"/>
        <v>0</v>
      </c>
      <c r="QOJ32" s="28">
        <f t="shared" si="270"/>
        <v>0</v>
      </c>
      <c r="QOK32" s="28">
        <f t="shared" si="270"/>
        <v>0</v>
      </c>
      <c r="QOL32" s="28">
        <f t="shared" si="270"/>
        <v>0</v>
      </c>
      <c r="QOM32" s="28">
        <f t="shared" si="270"/>
        <v>0</v>
      </c>
      <c r="QON32" s="28">
        <f t="shared" si="270"/>
        <v>0</v>
      </c>
      <c r="QOO32" s="28">
        <f t="shared" si="270"/>
        <v>0</v>
      </c>
      <c r="QOP32" s="28">
        <f t="shared" si="270"/>
        <v>0</v>
      </c>
      <c r="QOQ32" s="28">
        <f t="shared" si="270"/>
        <v>0</v>
      </c>
      <c r="QOR32" s="28">
        <f t="shared" si="270"/>
        <v>0</v>
      </c>
      <c r="QOS32" s="28">
        <f t="shared" si="270"/>
        <v>0</v>
      </c>
      <c r="QOT32" s="28">
        <f t="shared" si="270"/>
        <v>0</v>
      </c>
      <c r="QOU32" s="28">
        <f t="shared" si="270"/>
        <v>0</v>
      </c>
      <c r="QOV32" s="28">
        <f t="shared" si="270"/>
        <v>0</v>
      </c>
      <c r="QOW32" s="28">
        <f t="shared" si="270"/>
        <v>0</v>
      </c>
      <c r="QOX32" s="28">
        <f t="shared" si="270"/>
        <v>0</v>
      </c>
      <c r="QOY32" s="28">
        <f t="shared" si="270"/>
        <v>0</v>
      </c>
      <c r="QOZ32" s="28">
        <f t="shared" si="270"/>
        <v>0</v>
      </c>
      <c r="QPA32" s="28">
        <f t="shared" si="270"/>
        <v>0</v>
      </c>
      <c r="QPB32" s="28">
        <f t="shared" si="270"/>
        <v>0</v>
      </c>
      <c r="QPC32" s="28">
        <f t="shared" si="270"/>
        <v>0</v>
      </c>
      <c r="QPD32" s="28">
        <f t="shared" si="270"/>
        <v>0</v>
      </c>
      <c r="QPE32" s="28">
        <f t="shared" ref="QPE32:QRP32" si="271">IFERROR(QPE31/QPE$4,0)</f>
        <v>0</v>
      </c>
      <c r="QPF32" s="28">
        <f t="shared" si="271"/>
        <v>0</v>
      </c>
      <c r="QPG32" s="28">
        <f t="shared" si="271"/>
        <v>0</v>
      </c>
      <c r="QPH32" s="28">
        <f t="shared" si="271"/>
        <v>0</v>
      </c>
      <c r="QPI32" s="28">
        <f t="shared" si="271"/>
        <v>0</v>
      </c>
      <c r="QPJ32" s="28">
        <f t="shared" si="271"/>
        <v>0</v>
      </c>
      <c r="QPK32" s="28">
        <f t="shared" si="271"/>
        <v>0</v>
      </c>
      <c r="QPL32" s="28">
        <f t="shared" si="271"/>
        <v>0</v>
      </c>
      <c r="QPM32" s="28">
        <f t="shared" si="271"/>
        <v>0</v>
      </c>
      <c r="QPN32" s="28">
        <f t="shared" si="271"/>
        <v>0</v>
      </c>
      <c r="QPO32" s="28">
        <f t="shared" si="271"/>
        <v>0</v>
      </c>
      <c r="QPP32" s="28">
        <f t="shared" si="271"/>
        <v>0</v>
      </c>
      <c r="QPQ32" s="28">
        <f t="shared" si="271"/>
        <v>0</v>
      </c>
      <c r="QPR32" s="28">
        <f t="shared" si="271"/>
        <v>0</v>
      </c>
      <c r="QPS32" s="28">
        <f t="shared" si="271"/>
        <v>0</v>
      </c>
      <c r="QPT32" s="28">
        <f t="shared" si="271"/>
        <v>0</v>
      </c>
      <c r="QPU32" s="28">
        <f t="shared" si="271"/>
        <v>0</v>
      </c>
      <c r="QPV32" s="28">
        <f t="shared" si="271"/>
        <v>0</v>
      </c>
      <c r="QPW32" s="28">
        <f t="shared" si="271"/>
        <v>0</v>
      </c>
      <c r="QPX32" s="28">
        <f t="shared" si="271"/>
        <v>0</v>
      </c>
      <c r="QPY32" s="28">
        <f t="shared" si="271"/>
        <v>0</v>
      </c>
      <c r="QPZ32" s="28">
        <f t="shared" si="271"/>
        <v>0</v>
      </c>
      <c r="QQA32" s="28">
        <f t="shared" si="271"/>
        <v>0</v>
      </c>
      <c r="QQB32" s="28">
        <f t="shared" si="271"/>
        <v>0</v>
      </c>
      <c r="QQC32" s="28">
        <f t="shared" si="271"/>
        <v>0</v>
      </c>
      <c r="QQD32" s="28">
        <f t="shared" si="271"/>
        <v>0</v>
      </c>
      <c r="QQE32" s="28">
        <f t="shared" si="271"/>
        <v>0</v>
      </c>
      <c r="QQF32" s="28">
        <f t="shared" si="271"/>
        <v>0</v>
      </c>
      <c r="QQG32" s="28">
        <f t="shared" si="271"/>
        <v>0</v>
      </c>
      <c r="QQH32" s="28">
        <f t="shared" si="271"/>
        <v>0</v>
      </c>
      <c r="QQI32" s="28">
        <f t="shared" si="271"/>
        <v>0</v>
      </c>
      <c r="QQJ32" s="28">
        <f t="shared" si="271"/>
        <v>0</v>
      </c>
      <c r="QQK32" s="28">
        <f t="shared" si="271"/>
        <v>0</v>
      </c>
      <c r="QQL32" s="28">
        <f t="shared" si="271"/>
        <v>0</v>
      </c>
      <c r="QQM32" s="28">
        <f t="shared" si="271"/>
        <v>0</v>
      </c>
      <c r="QQN32" s="28">
        <f t="shared" si="271"/>
        <v>0</v>
      </c>
      <c r="QQO32" s="28">
        <f t="shared" si="271"/>
        <v>0</v>
      </c>
      <c r="QQP32" s="28">
        <f t="shared" si="271"/>
        <v>0</v>
      </c>
      <c r="QQQ32" s="28">
        <f t="shared" si="271"/>
        <v>0</v>
      </c>
      <c r="QQR32" s="28">
        <f t="shared" si="271"/>
        <v>0</v>
      </c>
      <c r="QQS32" s="28">
        <f t="shared" si="271"/>
        <v>0</v>
      </c>
      <c r="QQT32" s="28">
        <f t="shared" si="271"/>
        <v>0</v>
      </c>
      <c r="QQU32" s="28">
        <f t="shared" si="271"/>
        <v>0</v>
      </c>
      <c r="QQV32" s="28">
        <f t="shared" si="271"/>
        <v>0</v>
      </c>
      <c r="QQW32" s="28">
        <f t="shared" si="271"/>
        <v>0</v>
      </c>
      <c r="QQX32" s="28">
        <f t="shared" si="271"/>
        <v>0</v>
      </c>
      <c r="QQY32" s="28">
        <f t="shared" si="271"/>
        <v>0</v>
      </c>
      <c r="QQZ32" s="28">
        <f t="shared" si="271"/>
        <v>0</v>
      </c>
      <c r="QRA32" s="28">
        <f t="shared" si="271"/>
        <v>0</v>
      </c>
      <c r="QRB32" s="28">
        <f t="shared" si="271"/>
        <v>0</v>
      </c>
      <c r="QRC32" s="28">
        <f t="shared" si="271"/>
        <v>0</v>
      </c>
      <c r="QRD32" s="28">
        <f t="shared" si="271"/>
        <v>0</v>
      </c>
      <c r="QRE32" s="28">
        <f t="shared" si="271"/>
        <v>0</v>
      </c>
      <c r="QRF32" s="28">
        <f t="shared" si="271"/>
        <v>0</v>
      </c>
      <c r="QRG32" s="28">
        <f t="shared" si="271"/>
        <v>0</v>
      </c>
      <c r="QRH32" s="28">
        <f t="shared" si="271"/>
        <v>0</v>
      </c>
      <c r="QRI32" s="28">
        <f t="shared" si="271"/>
        <v>0</v>
      </c>
      <c r="QRJ32" s="28">
        <f t="shared" si="271"/>
        <v>0</v>
      </c>
      <c r="QRK32" s="28">
        <f t="shared" si="271"/>
        <v>0</v>
      </c>
      <c r="QRL32" s="28">
        <f t="shared" si="271"/>
        <v>0</v>
      </c>
      <c r="QRM32" s="28">
        <f t="shared" si="271"/>
        <v>0</v>
      </c>
      <c r="QRN32" s="28">
        <f t="shared" si="271"/>
        <v>0</v>
      </c>
      <c r="QRO32" s="28">
        <f t="shared" si="271"/>
        <v>0</v>
      </c>
      <c r="QRP32" s="28">
        <f t="shared" si="271"/>
        <v>0</v>
      </c>
      <c r="QRQ32" s="28">
        <f t="shared" ref="QRQ32:QUB32" si="272">IFERROR(QRQ31/QRQ$4,0)</f>
        <v>0</v>
      </c>
      <c r="QRR32" s="28">
        <f t="shared" si="272"/>
        <v>0</v>
      </c>
      <c r="QRS32" s="28">
        <f t="shared" si="272"/>
        <v>0</v>
      </c>
      <c r="QRT32" s="28">
        <f t="shared" si="272"/>
        <v>0</v>
      </c>
      <c r="QRU32" s="28">
        <f t="shared" si="272"/>
        <v>0</v>
      </c>
      <c r="QRV32" s="28">
        <f t="shared" si="272"/>
        <v>0</v>
      </c>
      <c r="QRW32" s="28">
        <f t="shared" si="272"/>
        <v>0</v>
      </c>
      <c r="QRX32" s="28">
        <f t="shared" si="272"/>
        <v>0</v>
      </c>
      <c r="QRY32" s="28">
        <f t="shared" si="272"/>
        <v>0</v>
      </c>
      <c r="QRZ32" s="28">
        <f t="shared" si="272"/>
        <v>0</v>
      </c>
      <c r="QSA32" s="28">
        <f t="shared" si="272"/>
        <v>0</v>
      </c>
      <c r="QSB32" s="28">
        <f t="shared" si="272"/>
        <v>0</v>
      </c>
      <c r="QSC32" s="28">
        <f t="shared" si="272"/>
        <v>0</v>
      </c>
      <c r="QSD32" s="28">
        <f t="shared" si="272"/>
        <v>0</v>
      </c>
      <c r="QSE32" s="28">
        <f t="shared" si="272"/>
        <v>0</v>
      </c>
      <c r="QSF32" s="28">
        <f t="shared" si="272"/>
        <v>0</v>
      </c>
      <c r="QSG32" s="28">
        <f t="shared" si="272"/>
        <v>0</v>
      </c>
      <c r="QSH32" s="28">
        <f t="shared" si="272"/>
        <v>0</v>
      </c>
      <c r="QSI32" s="28">
        <f t="shared" si="272"/>
        <v>0</v>
      </c>
      <c r="QSJ32" s="28">
        <f t="shared" si="272"/>
        <v>0</v>
      </c>
      <c r="QSK32" s="28">
        <f t="shared" si="272"/>
        <v>0</v>
      </c>
      <c r="QSL32" s="28">
        <f t="shared" si="272"/>
        <v>0</v>
      </c>
      <c r="QSM32" s="28">
        <f t="shared" si="272"/>
        <v>0</v>
      </c>
      <c r="QSN32" s="28">
        <f t="shared" si="272"/>
        <v>0</v>
      </c>
      <c r="QSO32" s="28">
        <f t="shared" si="272"/>
        <v>0</v>
      </c>
      <c r="QSP32" s="28">
        <f t="shared" si="272"/>
        <v>0</v>
      </c>
      <c r="QSQ32" s="28">
        <f t="shared" si="272"/>
        <v>0</v>
      </c>
      <c r="QSR32" s="28">
        <f t="shared" si="272"/>
        <v>0</v>
      </c>
      <c r="QSS32" s="28">
        <f t="shared" si="272"/>
        <v>0</v>
      </c>
      <c r="QST32" s="28">
        <f t="shared" si="272"/>
        <v>0</v>
      </c>
      <c r="QSU32" s="28">
        <f t="shared" si="272"/>
        <v>0</v>
      </c>
      <c r="QSV32" s="28">
        <f t="shared" si="272"/>
        <v>0</v>
      </c>
      <c r="QSW32" s="28">
        <f t="shared" si="272"/>
        <v>0</v>
      </c>
      <c r="QSX32" s="28">
        <f t="shared" si="272"/>
        <v>0</v>
      </c>
      <c r="QSY32" s="28">
        <f t="shared" si="272"/>
        <v>0</v>
      </c>
      <c r="QSZ32" s="28">
        <f t="shared" si="272"/>
        <v>0</v>
      </c>
      <c r="QTA32" s="28">
        <f t="shared" si="272"/>
        <v>0</v>
      </c>
      <c r="QTB32" s="28">
        <f t="shared" si="272"/>
        <v>0</v>
      </c>
      <c r="QTC32" s="28">
        <f t="shared" si="272"/>
        <v>0</v>
      </c>
      <c r="QTD32" s="28">
        <f t="shared" si="272"/>
        <v>0</v>
      </c>
      <c r="QTE32" s="28">
        <f t="shared" si="272"/>
        <v>0</v>
      </c>
      <c r="QTF32" s="28">
        <f t="shared" si="272"/>
        <v>0</v>
      </c>
      <c r="QTG32" s="28">
        <f t="shared" si="272"/>
        <v>0</v>
      </c>
      <c r="QTH32" s="28">
        <f t="shared" si="272"/>
        <v>0</v>
      </c>
      <c r="QTI32" s="28">
        <f t="shared" si="272"/>
        <v>0</v>
      </c>
      <c r="QTJ32" s="28">
        <f t="shared" si="272"/>
        <v>0</v>
      </c>
      <c r="QTK32" s="28">
        <f t="shared" si="272"/>
        <v>0</v>
      </c>
      <c r="QTL32" s="28">
        <f t="shared" si="272"/>
        <v>0</v>
      </c>
      <c r="QTM32" s="28">
        <f t="shared" si="272"/>
        <v>0</v>
      </c>
      <c r="QTN32" s="28">
        <f t="shared" si="272"/>
        <v>0</v>
      </c>
      <c r="QTO32" s="28">
        <f t="shared" si="272"/>
        <v>0</v>
      </c>
      <c r="QTP32" s="28">
        <f t="shared" si="272"/>
        <v>0</v>
      </c>
      <c r="QTQ32" s="28">
        <f t="shared" si="272"/>
        <v>0</v>
      </c>
      <c r="QTR32" s="28">
        <f t="shared" si="272"/>
        <v>0</v>
      </c>
      <c r="QTS32" s="28">
        <f t="shared" si="272"/>
        <v>0</v>
      </c>
      <c r="QTT32" s="28">
        <f t="shared" si="272"/>
        <v>0</v>
      </c>
      <c r="QTU32" s="28">
        <f t="shared" si="272"/>
        <v>0</v>
      </c>
      <c r="QTV32" s="28">
        <f t="shared" si="272"/>
        <v>0</v>
      </c>
      <c r="QTW32" s="28">
        <f t="shared" si="272"/>
        <v>0</v>
      </c>
      <c r="QTX32" s="28">
        <f t="shared" si="272"/>
        <v>0</v>
      </c>
      <c r="QTY32" s="28">
        <f t="shared" si="272"/>
        <v>0</v>
      </c>
      <c r="QTZ32" s="28">
        <f t="shared" si="272"/>
        <v>0</v>
      </c>
      <c r="QUA32" s="28">
        <f t="shared" si="272"/>
        <v>0</v>
      </c>
      <c r="QUB32" s="28">
        <f t="shared" si="272"/>
        <v>0</v>
      </c>
      <c r="QUC32" s="28">
        <f t="shared" ref="QUC32:QWN32" si="273">IFERROR(QUC31/QUC$4,0)</f>
        <v>0</v>
      </c>
      <c r="QUD32" s="28">
        <f t="shared" si="273"/>
        <v>0</v>
      </c>
      <c r="QUE32" s="28">
        <f t="shared" si="273"/>
        <v>0</v>
      </c>
      <c r="QUF32" s="28">
        <f t="shared" si="273"/>
        <v>0</v>
      </c>
      <c r="QUG32" s="28">
        <f t="shared" si="273"/>
        <v>0</v>
      </c>
      <c r="QUH32" s="28">
        <f t="shared" si="273"/>
        <v>0</v>
      </c>
      <c r="QUI32" s="28">
        <f t="shared" si="273"/>
        <v>0</v>
      </c>
      <c r="QUJ32" s="28">
        <f t="shared" si="273"/>
        <v>0</v>
      </c>
      <c r="QUK32" s="28">
        <f t="shared" si="273"/>
        <v>0</v>
      </c>
      <c r="QUL32" s="28">
        <f t="shared" si="273"/>
        <v>0</v>
      </c>
      <c r="QUM32" s="28">
        <f t="shared" si="273"/>
        <v>0</v>
      </c>
      <c r="QUN32" s="28">
        <f t="shared" si="273"/>
        <v>0</v>
      </c>
      <c r="QUO32" s="28">
        <f t="shared" si="273"/>
        <v>0</v>
      </c>
      <c r="QUP32" s="28">
        <f t="shared" si="273"/>
        <v>0</v>
      </c>
      <c r="QUQ32" s="28">
        <f t="shared" si="273"/>
        <v>0</v>
      </c>
      <c r="QUR32" s="28">
        <f t="shared" si="273"/>
        <v>0</v>
      </c>
      <c r="QUS32" s="28">
        <f t="shared" si="273"/>
        <v>0</v>
      </c>
      <c r="QUT32" s="28">
        <f t="shared" si="273"/>
        <v>0</v>
      </c>
      <c r="QUU32" s="28">
        <f t="shared" si="273"/>
        <v>0</v>
      </c>
      <c r="QUV32" s="28">
        <f t="shared" si="273"/>
        <v>0</v>
      </c>
      <c r="QUW32" s="28">
        <f t="shared" si="273"/>
        <v>0</v>
      </c>
      <c r="QUX32" s="28">
        <f t="shared" si="273"/>
        <v>0</v>
      </c>
      <c r="QUY32" s="28">
        <f t="shared" si="273"/>
        <v>0</v>
      </c>
      <c r="QUZ32" s="28">
        <f t="shared" si="273"/>
        <v>0</v>
      </c>
      <c r="QVA32" s="28">
        <f t="shared" si="273"/>
        <v>0</v>
      </c>
      <c r="QVB32" s="28">
        <f t="shared" si="273"/>
        <v>0</v>
      </c>
      <c r="QVC32" s="28">
        <f t="shared" si="273"/>
        <v>0</v>
      </c>
      <c r="QVD32" s="28">
        <f t="shared" si="273"/>
        <v>0</v>
      </c>
      <c r="QVE32" s="28">
        <f t="shared" si="273"/>
        <v>0</v>
      </c>
      <c r="QVF32" s="28">
        <f t="shared" si="273"/>
        <v>0</v>
      </c>
      <c r="QVG32" s="28">
        <f t="shared" si="273"/>
        <v>0</v>
      </c>
      <c r="QVH32" s="28">
        <f t="shared" si="273"/>
        <v>0</v>
      </c>
      <c r="QVI32" s="28">
        <f t="shared" si="273"/>
        <v>0</v>
      </c>
      <c r="QVJ32" s="28">
        <f t="shared" si="273"/>
        <v>0</v>
      </c>
      <c r="QVK32" s="28">
        <f t="shared" si="273"/>
        <v>0</v>
      </c>
      <c r="QVL32" s="28">
        <f t="shared" si="273"/>
        <v>0</v>
      </c>
      <c r="QVM32" s="28">
        <f t="shared" si="273"/>
        <v>0</v>
      </c>
      <c r="QVN32" s="28">
        <f t="shared" si="273"/>
        <v>0</v>
      </c>
      <c r="QVO32" s="28">
        <f t="shared" si="273"/>
        <v>0</v>
      </c>
      <c r="QVP32" s="28">
        <f t="shared" si="273"/>
        <v>0</v>
      </c>
      <c r="QVQ32" s="28">
        <f t="shared" si="273"/>
        <v>0</v>
      </c>
      <c r="QVR32" s="28">
        <f t="shared" si="273"/>
        <v>0</v>
      </c>
      <c r="QVS32" s="28">
        <f t="shared" si="273"/>
        <v>0</v>
      </c>
      <c r="QVT32" s="28">
        <f t="shared" si="273"/>
        <v>0</v>
      </c>
      <c r="QVU32" s="28">
        <f t="shared" si="273"/>
        <v>0</v>
      </c>
      <c r="QVV32" s="28">
        <f t="shared" si="273"/>
        <v>0</v>
      </c>
      <c r="QVW32" s="28">
        <f t="shared" si="273"/>
        <v>0</v>
      </c>
      <c r="QVX32" s="28">
        <f t="shared" si="273"/>
        <v>0</v>
      </c>
      <c r="QVY32" s="28">
        <f t="shared" si="273"/>
        <v>0</v>
      </c>
      <c r="QVZ32" s="28">
        <f t="shared" si="273"/>
        <v>0</v>
      </c>
      <c r="QWA32" s="28">
        <f t="shared" si="273"/>
        <v>0</v>
      </c>
      <c r="QWB32" s="28">
        <f t="shared" si="273"/>
        <v>0</v>
      </c>
      <c r="QWC32" s="28">
        <f t="shared" si="273"/>
        <v>0</v>
      </c>
      <c r="QWD32" s="28">
        <f t="shared" si="273"/>
        <v>0</v>
      </c>
      <c r="QWE32" s="28">
        <f t="shared" si="273"/>
        <v>0</v>
      </c>
      <c r="QWF32" s="28">
        <f t="shared" si="273"/>
        <v>0</v>
      </c>
      <c r="QWG32" s="28">
        <f t="shared" si="273"/>
        <v>0</v>
      </c>
      <c r="QWH32" s="28">
        <f t="shared" si="273"/>
        <v>0</v>
      </c>
      <c r="QWI32" s="28">
        <f t="shared" si="273"/>
        <v>0</v>
      </c>
      <c r="QWJ32" s="28">
        <f t="shared" si="273"/>
        <v>0</v>
      </c>
      <c r="QWK32" s="28">
        <f t="shared" si="273"/>
        <v>0</v>
      </c>
      <c r="QWL32" s="28">
        <f t="shared" si="273"/>
        <v>0</v>
      </c>
      <c r="QWM32" s="28">
        <f t="shared" si="273"/>
        <v>0</v>
      </c>
      <c r="QWN32" s="28">
        <f t="shared" si="273"/>
        <v>0</v>
      </c>
      <c r="QWO32" s="28">
        <f t="shared" ref="QWO32:QYZ32" si="274">IFERROR(QWO31/QWO$4,0)</f>
        <v>0</v>
      </c>
      <c r="QWP32" s="28">
        <f t="shared" si="274"/>
        <v>0</v>
      </c>
      <c r="QWQ32" s="28">
        <f t="shared" si="274"/>
        <v>0</v>
      </c>
      <c r="QWR32" s="28">
        <f t="shared" si="274"/>
        <v>0</v>
      </c>
      <c r="QWS32" s="28">
        <f t="shared" si="274"/>
        <v>0</v>
      </c>
      <c r="QWT32" s="28">
        <f t="shared" si="274"/>
        <v>0</v>
      </c>
      <c r="QWU32" s="28">
        <f t="shared" si="274"/>
        <v>0</v>
      </c>
      <c r="QWV32" s="28">
        <f t="shared" si="274"/>
        <v>0</v>
      </c>
      <c r="QWW32" s="28">
        <f t="shared" si="274"/>
        <v>0</v>
      </c>
      <c r="QWX32" s="28">
        <f t="shared" si="274"/>
        <v>0</v>
      </c>
      <c r="QWY32" s="28">
        <f t="shared" si="274"/>
        <v>0</v>
      </c>
      <c r="QWZ32" s="28">
        <f t="shared" si="274"/>
        <v>0</v>
      </c>
      <c r="QXA32" s="28">
        <f t="shared" si="274"/>
        <v>0</v>
      </c>
      <c r="QXB32" s="28">
        <f t="shared" si="274"/>
        <v>0</v>
      </c>
      <c r="QXC32" s="28">
        <f t="shared" si="274"/>
        <v>0</v>
      </c>
      <c r="QXD32" s="28">
        <f t="shared" si="274"/>
        <v>0</v>
      </c>
      <c r="QXE32" s="28">
        <f t="shared" si="274"/>
        <v>0</v>
      </c>
      <c r="QXF32" s="28">
        <f t="shared" si="274"/>
        <v>0</v>
      </c>
      <c r="QXG32" s="28">
        <f t="shared" si="274"/>
        <v>0</v>
      </c>
      <c r="QXH32" s="28">
        <f t="shared" si="274"/>
        <v>0</v>
      </c>
      <c r="QXI32" s="28">
        <f t="shared" si="274"/>
        <v>0</v>
      </c>
      <c r="QXJ32" s="28">
        <f t="shared" si="274"/>
        <v>0</v>
      </c>
      <c r="QXK32" s="28">
        <f t="shared" si="274"/>
        <v>0</v>
      </c>
      <c r="QXL32" s="28">
        <f t="shared" si="274"/>
        <v>0</v>
      </c>
      <c r="QXM32" s="28">
        <f t="shared" si="274"/>
        <v>0</v>
      </c>
      <c r="QXN32" s="28">
        <f t="shared" si="274"/>
        <v>0</v>
      </c>
      <c r="QXO32" s="28">
        <f t="shared" si="274"/>
        <v>0</v>
      </c>
      <c r="QXP32" s="28">
        <f t="shared" si="274"/>
        <v>0</v>
      </c>
      <c r="QXQ32" s="28">
        <f t="shared" si="274"/>
        <v>0</v>
      </c>
      <c r="QXR32" s="28">
        <f t="shared" si="274"/>
        <v>0</v>
      </c>
      <c r="QXS32" s="28">
        <f t="shared" si="274"/>
        <v>0</v>
      </c>
      <c r="QXT32" s="28">
        <f t="shared" si="274"/>
        <v>0</v>
      </c>
      <c r="QXU32" s="28">
        <f t="shared" si="274"/>
        <v>0</v>
      </c>
      <c r="QXV32" s="28">
        <f t="shared" si="274"/>
        <v>0</v>
      </c>
      <c r="QXW32" s="28">
        <f t="shared" si="274"/>
        <v>0</v>
      </c>
      <c r="QXX32" s="28">
        <f t="shared" si="274"/>
        <v>0</v>
      </c>
      <c r="QXY32" s="28">
        <f t="shared" si="274"/>
        <v>0</v>
      </c>
      <c r="QXZ32" s="28">
        <f t="shared" si="274"/>
        <v>0</v>
      </c>
      <c r="QYA32" s="28">
        <f t="shared" si="274"/>
        <v>0</v>
      </c>
      <c r="QYB32" s="28">
        <f t="shared" si="274"/>
        <v>0</v>
      </c>
      <c r="QYC32" s="28">
        <f t="shared" si="274"/>
        <v>0</v>
      </c>
      <c r="QYD32" s="28">
        <f t="shared" si="274"/>
        <v>0</v>
      </c>
      <c r="QYE32" s="28">
        <f t="shared" si="274"/>
        <v>0</v>
      </c>
      <c r="QYF32" s="28">
        <f t="shared" si="274"/>
        <v>0</v>
      </c>
      <c r="QYG32" s="28">
        <f t="shared" si="274"/>
        <v>0</v>
      </c>
      <c r="QYH32" s="28">
        <f t="shared" si="274"/>
        <v>0</v>
      </c>
      <c r="QYI32" s="28">
        <f t="shared" si="274"/>
        <v>0</v>
      </c>
      <c r="QYJ32" s="28">
        <f t="shared" si="274"/>
        <v>0</v>
      </c>
      <c r="QYK32" s="28">
        <f t="shared" si="274"/>
        <v>0</v>
      </c>
      <c r="QYL32" s="28">
        <f t="shared" si="274"/>
        <v>0</v>
      </c>
      <c r="QYM32" s="28">
        <f t="shared" si="274"/>
        <v>0</v>
      </c>
      <c r="QYN32" s="28">
        <f t="shared" si="274"/>
        <v>0</v>
      </c>
      <c r="QYO32" s="28">
        <f t="shared" si="274"/>
        <v>0</v>
      </c>
      <c r="QYP32" s="28">
        <f t="shared" si="274"/>
        <v>0</v>
      </c>
      <c r="QYQ32" s="28">
        <f t="shared" si="274"/>
        <v>0</v>
      </c>
      <c r="QYR32" s="28">
        <f t="shared" si="274"/>
        <v>0</v>
      </c>
      <c r="QYS32" s="28">
        <f t="shared" si="274"/>
        <v>0</v>
      </c>
      <c r="QYT32" s="28">
        <f t="shared" si="274"/>
        <v>0</v>
      </c>
      <c r="QYU32" s="28">
        <f t="shared" si="274"/>
        <v>0</v>
      </c>
      <c r="QYV32" s="28">
        <f t="shared" si="274"/>
        <v>0</v>
      </c>
      <c r="QYW32" s="28">
        <f t="shared" si="274"/>
        <v>0</v>
      </c>
      <c r="QYX32" s="28">
        <f t="shared" si="274"/>
        <v>0</v>
      </c>
      <c r="QYY32" s="28">
        <f t="shared" si="274"/>
        <v>0</v>
      </c>
      <c r="QYZ32" s="28">
        <f t="shared" si="274"/>
        <v>0</v>
      </c>
      <c r="QZA32" s="28">
        <f t="shared" ref="QZA32:RBL32" si="275">IFERROR(QZA31/QZA$4,0)</f>
        <v>0</v>
      </c>
      <c r="QZB32" s="28">
        <f t="shared" si="275"/>
        <v>0</v>
      </c>
      <c r="QZC32" s="28">
        <f t="shared" si="275"/>
        <v>0</v>
      </c>
      <c r="QZD32" s="28">
        <f t="shared" si="275"/>
        <v>0</v>
      </c>
      <c r="QZE32" s="28">
        <f t="shared" si="275"/>
        <v>0</v>
      </c>
      <c r="QZF32" s="28">
        <f t="shared" si="275"/>
        <v>0</v>
      </c>
      <c r="QZG32" s="28">
        <f t="shared" si="275"/>
        <v>0</v>
      </c>
      <c r="QZH32" s="28">
        <f t="shared" si="275"/>
        <v>0</v>
      </c>
      <c r="QZI32" s="28">
        <f t="shared" si="275"/>
        <v>0</v>
      </c>
      <c r="QZJ32" s="28">
        <f t="shared" si="275"/>
        <v>0</v>
      </c>
      <c r="QZK32" s="28">
        <f t="shared" si="275"/>
        <v>0</v>
      </c>
      <c r="QZL32" s="28">
        <f t="shared" si="275"/>
        <v>0</v>
      </c>
      <c r="QZM32" s="28">
        <f t="shared" si="275"/>
        <v>0</v>
      </c>
      <c r="QZN32" s="28">
        <f t="shared" si="275"/>
        <v>0</v>
      </c>
      <c r="QZO32" s="28">
        <f t="shared" si="275"/>
        <v>0</v>
      </c>
      <c r="QZP32" s="28">
        <f t="shared" si="275"/>
        <v>0</v>
      </c>
      <c r="QZQ32" s="28">
        <f t="shared" si="275"/>
        <v>0</v>
      </c>
      <c r="QZR32" s="28">
        <f t="shared" si="275"/>
        <v>0</v>
      </c>
      <c r="QZS32" s="28">
        <f t="shared" si="275"/>
        <v>0</v>
      </c>
      <c r="QZT32" s="28">
        <f t="shared" si="275"/>
        <v>0</v>
      </c>
      <c r="QZU32" s="28">
        <f t="shared" si="275"/>
        <v>0</v>
      </c>
      <c r="QZV32" s="28">
        <f t="shared" si="275"/>
        <v>0</v>
      </c>
      <c r="QZW32" s="28">
        <f t="shared" si="275"/>
        <v>0</v>
      </c>
      <c r="QZX32" s="28">
        <f t="shared" si="275"/>
        <v>0</v>
      </c>
      <c r="QZY32" s="28">
        <f t="shared" si="275"/>
        <v>0</v>
      </c>
      <c r="QZZ32" s="28">
        <f t="shared" si="275"/>
        <v>0</v>
      </c>
      <c r="RAA32" s="28">
        <f t="shared" si="275"/>
        <v>0</v>
      </c>
      <c r="RAB32" s="28">
        <f t="shared" si="275"/>
        <v>0</v>
      </c>
      <c r="RAC32" s="28">
        <f t="shared" si="275"/>
        <v>0</v>
      </c>
      <c r="RAD32" s="28">
        <f t="shared" si="275"/>
        <v>0</v>
      </c>
      <c r="RAE32" s="28">
        <f t="shared" si="275"/>
        <v>0</v>
      </c>
      <c r="RAF32" s="28">
        <f t="shared" si="275"/>
        <v>0</v>
      </c>
      <c r="RAG32" s="28">
        <f t="shared" si="275"/>
        <v>0</v>
      </c>
      <c r="RAH32" s="28">
        <f t="shared" si="275"/>
        <v>0</v>
      </c>
      <c r="RAI32" s="28">
        <f t="shared" si="275"/>
        <v>0</v>
      </c>
      <c r="RAJ32" s="28">
        <f t="shared" si="275"/>
        <v>0</v>
      </c>
      <c r="RAK32" s="28">
        <f t="shared" si="275"/>
        <v>0</v>
      </c>
      <c r="RAL32" s="28">
        <f t="shared" si="275"/>
        <v>0</v>
      </c>
      <c r="RAM32" s="28">
        <f t="shared" si="275"/>
        <v>0</v>
      </c>
      <c r="RAN32" s="28">
        <f t="shared" si="275"/>
        <v>0</v>
      </c>
      <c r="RAO32" s="28">
        <f t="shared" si="275"/>
        <v>0</v>
      </c>
      <c r="RAP32" s="28">
        <f t="shared" si="275"/>
        <v>0</v>
      </c>
      <c r="RAQ32" s="28">
        <f t="shared" si="275"/>
        <v>0</v>
      </c>
      <c r="RAR32" s="28">
        <f t="shared" si="275"/>
        <v>0</v>
      </c>
      <c r="RAS32" s="28">
        <f t="shared" si="275"/>
        <v>0</v>
      </c>
      <c r="RAT32" s="28">
        <f t="shared" si="275"/>
        <v>0</v>
      </c>
      <c r="RAU32" s="28">
        <f t="shared" si="275"/>
        <v>0</v>
      </c>
      <c r="RAV32" s="28">
        <f t="shared" si="275"/>
        <v>0</v>
      </c>
      <c r="RAW32" s="28">
        <f t="shared" si="275"/>
        <v>0</v>
      </c>
      <c r="RAX32" s="28">
        <f t="shared" si="275"/>
        <v>0</v>
      </c>
      <c r="RAY32" s="28">
        <f t="shared" si="275"/>
        <v>0</v>
      </c>
      <c r="RAZ32" s="28">
        <f t="shared" si="275"/>
        <v>0</v>
      </c>
      <c r="RBA32" s="28">
        <f t="shared" si="275"/>
        <v>0</v>
      </c>
      <c r="RBB32" s="28">
        <f t="shared" si="275"/>
        <v>0</v>
      </c>
      <c r="RBC32" s="28">
        <f t="shared" si="275"/>
        <v>0</v>
      </c>
      <c r="RBD32" s="28">
        <f t="shared" si="275"/>
        <v>0</v>
      </c>
      <c r="RBE32" s="28">
        <f t="shared" si="275"/>
        <v>0</v>
      </c>
      <c r="RBF32" s="28">
        <f t="shared" si="275"/>
        <v>0</v>
      </c>
      <c r="RBG32" s="28">
        <f t="shared" si="275"/>
        <v>0</v>
      </c>
      <c r="RBH32" s="28">
        <f t="shared" si="275"/>
        <v>0</v>
      </c>
      <c r="RBI32" s="28">
        <f t="shared" si="275"/>
        <v>0</v>
      </c>
      <c r="RBJ32" s="28">
        <f t="shared" si="275"/>
        <v>0</v>
      </c>
      <c r="RBK32" s="28">
        <f t="shared" si="275"/>
        <v>0</v>
      </c>
      <c r="RBL32" s="28">
        <f t="shared" si="275"/>
        <v>0</v>
      </c>
      <c r="RBM32" s="28">
        <f t="shared" ref="RBM32:RDX32" si="276">IFERROR(RBM31/RBM$4,0)</f>
        <v>0</v>
      </c>
      <c r="RBN32" s="28">
        <f t="shared" si="276"/>
        <v>0</v>
      </c>
      <c r="RBO32" s="28">
        <f t="shared" si="276"/>
        <v>0</v>
      </c>
      <c r="RBP32" s="28">
        <f t="shared" si="276"/>
        <v>0</v>
      </c>
      <c r="RBQ32" s="28">
        <f t="shared" si="276"/>
        <v>0</v>
      </c>
      <c r="RBR32" s="28">
        <f t="shared" si="276"/>
        <v>0</v>
      </c>
      <c r="RBS32" s="28">
        <f t="shared" si="276"/>
        <v>0</v>
      </c>
      <c r="RBT32" s="28">
        <f t="shared" si="276"/>
        <v>0</v>
      </c>
      <c r="RBU32" s="28">
        <f t="shared" si="276"/>
        <v>0</v>
      </c>
      <c r="RBV32" s="28">
        <f t="shared" si="276"/>
        <v>0</v>
      </c>
      <c r="RBW32" s="28">
        <f t="shared" si="276"/>
        <v>0</v>
      </c>
      <c r="RBX32" s="28">
        <f t="shared" si="276"/>
        <v>0</v>
      </c>
      <c r="RBY32" s="28">
        <f t="shared" si="276"/>
        <v>0</v>
      </c>
      <c r="RBZ32" s="28">
        <f t="shared" si="276"/>
        <v>0</v>
      </c>
      <c r="RCA32" s="28">
        <f t="shared" si="276"/>
        <v>0</v>
      </c>
      <c r="RCB32" s="28">
        <f t="shared" si="276"/>
        <v>0</v>
      </c>
      <c r="RCC32" s="28">
        <f t="shared" si="276"/>
        <v>0</v>
      </c>
      <c r="RCD32" s="28">
        <f t="shared" si="276"/>
        <v>0</v>
      </c>
      <c r="RCE32" s="28">
        <f t="shared" si="276"/>
        <v>0</v>
      </c>
      <c r="RCF32" s="28">
        <f t="shared" si="276"/>
        <v>0</v>
      </c>
      <c r="RCG32" s="28">
        <f t="shared" si="276"/>
        <v>0</v>
      </c>
      <c r="RCH32" s="28">
        <f t="shared" si="276"/>
        <v>0</v>
      </c>
      <c r="RCI32" s="28">
        <f t="shared" si="276"/>
        <v>0</v>
      </c>
      <c r="RCJ32" s="28">
        <f t="shared" si="276"/>
        <v>0</v>
      </c>
      <c r="RCK32" s="28">
        <f t="shared" si="276"/>
        <v>0</v>
      </c>
      <c r="RCL32" s="28">
        <f t="shared" si="276"/>
        <v>0</v>
      </c>
      <c r="RCM32" s="28">
        <f t="shared" si="276"/>
        <v>0</v>
      </c>
      <c r="RCN32" s="28">
        <f t="shared" si="276"/>
        <v>0</v>
      </c>
      <c r="RCO32" s="28">
        <f t="shared" si="276"/>
        <v>0</v>
      </c>
      <c r="RCP32" s="28">
        <f t="shared" si="276"/>
        <v>0</v>
      </c>
      <c r="RCQ32" s="28">
        <f t="shared" si="276"/>
        <v>0</v>
      </c>
      <c r="RCR32" s="28">
        <f t="shared" si="276"/>
        <v>0</v>
      </c>
      <c r="RCS32" s="28">
        <f t="shared" si="276"/>
        <v>0</v>
      </c>
      <c r="RCT32" s="28">
        <f t="shared" si="276"/>
        <v>0</v>
      </c>
      <c r="RCU32" s="28">
        <f t="shared" si="276"/>
        <v>0</v>
      </c>
      <c r="RCV32" s="28">
        <f t="shared" si="276"/>
        <v>0</v>
      </c>
      <c r="RCW32" s="28">
        <f t="shared" si="276"/>
        <v>0</v>
      </c>
      <c r="RCX32" s="28">
        <f t="shared" si="276"/>
        <v>0</v>
      </c>
      <c r="RCY32" s="28">
        <f t="shared" si="276"/>
        <v>0</v>
      </c>
      <c r="RCZ32" s="28">
        <f t="shared" si="276"/>
        <v>0</v>
      </c>
      <c r="RDA32" s="28">
        <f t="shared" si="276"/>
        <v>0</v>
      </c>
      <c r="RDB32" s="28">
        <f t="shared" si="276"/>
        <v>0</v>
      </c>
      <c r="RDC32" s="28">
        <f t="shared" si="276"/>
        <v>0</v>
      </c>
      <c r="RDD32" s="28">
        <f t="shared" si="276"/>
        <v>0</v>
      </c>
      <c r="RDE32" s="28">
        <f t="shared" si="276"/>
        <v>0</v>
      </c>
      <c r="RDF32" s="28">
        <f t="shared" si="276"/>
        <v>0</v>
      </c>
      <c r="RDG32" s="28">
        <f t="shared" si="276"/>
        <v>0</v>
      </c>
      <c r="RDH32" s="28">
        <f t="shared" si="276"/>
        <v>0</v>
      </c>
      <c r="RDI32" s="28">
        <f t="shared" si="276"/>
        <v>0</v>
      </c>
      <c r="RDJ32" s="28">
        <f t="shared" si="276"/>
        <v>0</v>
      </c>
      <c r="RDK32" s="28">
        <f t="shared" si="276"/>
        <v>0</v>
      </c>
      <c r="RDL32" s="28">
        <f t="shared" si="276"/>
        <v>0</v>
      </c>
      <c r="RDM32" s="28">
        <f t="shared" si="276"/>
        <v>0</v>
      </c>
      <c r="RDN32" s="28">
        <f t="shared" si="276"/>
        <v>0</v>
      </c>
      <c r="RDO32" s="28">
        <f t="shared" si="276"/>
        <v>0</v>
      </c>
      <c r="RDP32" s="28">
        <f t="shared" si="276"/>
        <v>0</v>
      </c>
      <c r="RDQ32" s="28">
        <f t="shared" si="276"/>
        <v>0</v>
      </c>
      <c r="RDR32" s="28">
        <f t="shared" si="276"/>
        <v>0</v>
      </c>
      <c r="RDS32" s="28">
        <f t="shared" si="276"/>
        <v>0</v>
      </c>
      <c r="RDT32" s="28">
        <f t="shared" si="276"/>
        <v>0</v>
      </c>
      <c r="RDU32" s="28">
        <f t="shared" si="276"/>
        <v>0</v>
      </c>
      <c r="RDV32" s="28">
        <f t="shared" si="276"/>
        <v>0</v>
      </c>
      <c r="RDW32" s="28">
        <f t="shared" si="276"/>
        <v>0</v>
      </c>
      <c r="RDX32" s="28">
        <f t="shared" si="276"/>
        <v>0</v>
      </c>
      <c r="RDY32" s="28">
        <f t="shared" ref="RDY32:RGJ32" si="277">IFERROR(RDY31/RDY$4,0)</f>
        <v>0</v>
      </c>
      <c r="RDZ32" s="28">
        <f t="shared" si="277"/>
        <v>0</v>
      </c>
      <c r="REA32" s="28">
        <f t="shared" si="277"/>
        <v>0</v>
      </c>
      <c r="REB32" s="28">
        <f t="shared" si="277"/>
        <v>0</v>
      </c>
      <c r="REC32" s="28">
        <f t="shared" si="277"/>
        <v>0</v>
      </c>
      <c r="RED32" s="28">
        <f t="shared" si="277"/>
        <v>0</v>
      </c>
      <c r="REE32" s="28">
        <f t="shared" si="277"/>
        <v>0</v>
      </c>
      <c r="REF32" s="28">
        <f t="shared" si="277"/>
        <v>0</v>
      </c>
      <c r="REG32" s="28">
        <f t="shared" si="277"/>
        <v>0</v>
      </c>
      <c r="REH32" s="28">
        <f t="shared" si="277"/>
        <v>0</v>
      </c>
      <c r="REI32" s="28">
        <f t="shared" si="277"/>
        <v>0</v>
      </c>
      <c r="REJ32" s="28">
        <f t="shared" si="277"/>
        <v>0</v>
      </c>
      <c r="REK32" s="28">
        <f t="shared" si="277"/>
        <v>0</v>
      </c>
      <c r="REL32" s="28">
        <f t="shared" si="277"/>
        <v>0</v>
      </c>
      <c r="REM32" s="28">
        <f t="shared" si="277"/>
        <v>0</v>
      </c>
      <c r="REN32" s="28">
        <f t="shared" si="277"/>
        <v>0</v>
      </c>
      <c r="REO32" s="28">
        <f t="shared" si="277"/>
        <v>0</v>
      </c>
      <c r="REP32" s="28">
        <f t="shared" si="277"/>
        <v>0</v>
      </c>
      <c r="REQ32" s="28">
        <f t="shared" si="277"/>
        <v>0</v>
      </c>
      <c r="RER32" s="28">
        <f t="shared" si="277"/>
        <v>0</v>
      </c>
      <c r="RES32" s="28">
        <f t="shared" si="277"/>
        <v>0</v>
      </c>
      <c r="RET32" s="28">
        <f t="shared" si="277"/>
        <v>0</v>
      </c>
      <c r="REU32" s="28">
        <f t="shared" si="277"/>
        <v>0</v>
      </c>
      <c r="REV32" s="28">
        <f t="shared" si="277"/>
        <v>0</v>
      </c>
      <c r="REW32" s="28">
        <f t="shared" si="277"/>
        <v>0</v>
      </c>
      <c r="REX32" s="28">
        <f t="shared" si="277"/>
        <v>0</v>
      </c>
      <c r="REY32" s="28">
        <f t="shared" si="277"/>
        <v>0</v>
      </c>
      <c r="REZ32" s="28">
        <f t="shared" si="277"/>
        <v>0</v>
      </c>
      <c r="RFA32" s="28">
        <f t="shared" si="277"/>
        <v>0</v>
      </c>
      <c r="RFB32" s="28">
        <f t="shared" si="277"/>
        <v>0</v>
      </c>
      <c r="RFC32" s="28">
        <f t="shared" si="277"/>
        <v>0</v>
      </c>
      <c r="RFD32" s="28">
        <f t="shared" si="277"/>
        <v>0</v>
      </c>
      <c r="RFE32" s="28">
        <f t="shared" si="277"/>
        <v>0</v>
      </c>
      <c r="RFF32" s="28">
        <f t="shared" si="277"/>
        <v>0</v>
      </c>
      <c r="RFG32" s="28">
        <f t="shared" si="277"/>
        <v>0</v>
      </c>
      <c r="RFH32" s="28">
        <f t="shared" si="277"/>
        <v>0</v>
      </c>
      <c r="RFI32" s="28">
        <f t="shared" si="277"/>
        <v>0</v>
      </c>
      <c r="RFJ32" s="28">
        <f t="shared" si="277"/>
        <v>0</v>
      </c>
      <c r="RFK32" s="28">
        <f t="shared" si="277"/>
        <v>0</v>
      </c>
      <c r="RFL32" s="28">
        <f t="shared" si="277"/>
        <v>0</v>
      </c>
      <c r="RFM32" s="28">
        <f t="shared" si="277"/>
        <v>0</v>
      </c>
      <c r="RFN32" s="28">
        <f t="shared" si="277"/>
        <v>0</v>
      </c>
      <c r="RFO32" s="28">
        <f t="shared" si="277"/>
        <v>0</v>
      </c>
      <c r="RFP32" s="28">
        <f t="shared" si="277"/>
        <v>0</v>
      </c>
      <c r="RFQ32" s="28">
        <f t="shared" si="277"/>
        <v>0</v>
      </c>
      <c r="RFR32" s="28">
        <f t="shared" si="277"/>
        <v>0</v>
      </c>
      <c r="RFS32" s="28">
        <f t="shared" si="277"/>
        <v>0</v>
      </c>
      <c r="RFT32" s="28">
        <f t="shared" si="277"/>
        <v>0</v>
      </c>
      <c r="RFU32" s="28">
        <f t="shared" si="277"/>
        <v>0</v>
      </c>
      <c r="RFV32" s="28">
        <f t="shared" si="277"/>
        <v>0</v>
      </c>
      <c r="RFW32" s="28">
        <f t="shared" si="277"/>
        <v>0</v>
      </c>
      <c r="RFX32" s="28">
        <f t="shared" si="277"/>
        <v>0</v>
      </c>
      <c r="RFY32" s="28">
        <f t="shared" si="277"/>
        <v>0</v>
      </c>
      <c r="RFZ32" s="28">
        <f t="shared" si="277"/>
        <v>0</v>
      </c>
      <c r="RGA32" s="28">
        <f t="shared" si="277"/>
        <v>0</v>
      </c>
      <c r="RGB32" s="28">
        <f t="shared" si="277"/>
        <v>0</v>
      </c>
      <c r="RGC32" s="28">
        <f t="shared" si="277"/>
        <v>0</v>
      </c>
      <c r="RGD32" s="28">
        <f t="shared" si="277"/>
        <v>0</v>
      </c>
      <c r="RGE32" s="28">
        <f t="shared" si="277"/>
        <v>0</v>
      </c>
      <c r="RGF32" s="28">
        <f t="shared" si="277"/>
        <v>0</v>
      </c>
      <c r="RGG32" s="28">
        <f t="shared" si="277"/>
        <v>0</v>
      </c>
      <c r="RGH32" s="28">
        <f t="shared" si="277"/>
        <v>0</v>
      </c>
      <c r="RGI32" s="28">
        <f t="shared" si="277"/>
        <v>0</v>
      </c>
      <c r="RGJ32" s="28">
        <f t="shared" si="277"/>
        <v>0</v>
      </c>
      <c r="RGK32" s="28">
        <f t="shared" ref="RGK32:RIV32" si="278">IFERROR(RGK31/RGK$4,0)</f>
        <v>0</v>
      </c>
      <c r="RGL32" s="28">
        <f t="shared" si="278"/>
        <v>0</v>
      </c>
      <c r="RGM32" s="28">
        <f t="shared" si="278"/>
        <v>0</v>
      </c>
      <c r="RGN32" s="28">
        <f t="shared" si="278"/>
        <v>0</v>
      </c>
      <c r="RGO32" s="28">
        <f t="shared" si="278"/>
        <v>0</v>
      </c>
      <c r="RGP32" s="28">
        <f t="shared" si="278"/>
        <v>0</v>
      </c>
      <c r="RGQ32" s="28">
        <f t="shared" si="278"/>
        <v>0</v>
      </c>
      <c r="RGR32" s="28">
        <f t="shared" si="278"/>
        <v>0</v>
      </c>
      <c r="RGS32" s="28">
        <f t="shared" si="278"/>
        <v>0</v>
      </c>
      <c r="RGT32" s="28">
        <f t="shared" si="278"/>
        <v>0</v>
      </c>
      <c r="RGU32" s="28">
        <f t="shared" si="278"/>
        <v>0</v>
      </c>
      <c r="RGV32" s="28">
        <f t="shared" si="278"/>
        <v>0</v>
      </c>
      <c r="RGW32" s="28">
        <f t="shared" si="278"/>
        <v>0</v>
      </c>
      <c r="RGX32" s="28">
        <f t="shared" si="278"/>
        <v>0</v>
      </c>
      <c r="RGY32" s="28">
        <f t="shared" si="278"/>
        <v>0</v>
      </c>
      <c r="RGZ32" s="28">
        <f t="shared" si="278"/>
        <v>0</v>
      </c>
      <c r="RHA32" s="28">
        <f t="shared" si="278"/>
        <v>0</v>
      </c>
      <c r="RHB32" s="28">
        <f t="shared" si="278"/>
        <v>0</v>
      </c>
      <c r="RHC32" s="28">
        <f t="shared" si="278"/>
        <v>0</v>
      </c>
      <c r="RHD32" s="28">
        <f t="shared" si="278"/>
        <v>0</v>
      </c>
      <c r="RHE32" s="28">
        <f t="shared" si="278"/>
        <v>0</v>
      </c>
      <c r="RHF32" s="28">
        <f t="shared" si="278"/>
        <v>0</v>
      </c>
      <c r="RHG32" s="28">
        <f t="shared" si="278"/>
        <v>0</v>
      </c>
      <c r="RHH32" s="28">
        <f t="shared" si="278"/>
        <v>0</v>
      </c>
      <c r="RHI32" s="28">
        <f t="shared" si="278"/>
        <v>0</v>
      </c>
      <c r="RHJ32" s="28">
        <f t="shared" si="278"/>
        <v>0</v>
      </c>
      <c r="RHK32" s="28">
        <f t="shared" si="278"/>
        <v>0</v>
      </c>
      <c r="RHL32" s="28">
        <f t="shared" si="278"/>
        <v>0</v>
      </c>
      <c r="RHM32" s="28">
        <f t="shared" si="278"/>
        <v>0</v>
      </c>
      <c r="RHN32" s="28">
        <f t="shared" si="278"/>
        <v>0</v>
      </c>
      <c r="RHO32" s="28">
        <f t="shared" si="278"/>
        <v>0</v>
      </c>
      <c r="RHP32" s="28">
        <f t="shared" si="278"/>
        <v>0</v>
      </c>
      <c r="RHQ32" s="28">
        <f t="shared" si="278"/>
        <v>0</v>
      </c>
      <c r="RHR32" s="28">
        <f t="shared" si="278"/>
        <v>0</v>
      </c>
      <c r="RHS32" s="28">
        <f t="shared" si="278"/>
        <v>0</v>
      </c>
      <c r="RHT32" s="28">
        <f t="shared" si="278"/>
        <v>0</v>
      </c>
      <c r="RHU32" s="28">
        <f t="shared" si="278"/>
        <v>0</v>
      </c>
      <c r="RHV32" s="28">
        <f t="shared" si="278"/>
        <v>0</v>
      </c>
      <c r="RHW32" s="28">
        <f t="shared" si="278"/>
        <v>0</v>
      </c>
      <c r="RHX32" s="28">
        <f t="shared" si="278"/>
        <v>0</v>
      </c>
      <c r="RHY32" s="28">
        <f t="shared" si="278"/>
        <v>0</v>
      </c>
      <c r="RHZ32" s="28">
        <f t="shared" si="278"/>
        <v>0</v>
      </c>
      <c r="RIA32" s="28">
        <f t="shared" si="278"/>
        <v>0</v>
      </c>
      <c r="RIB32" s="28">
        <f t="shared" si="278"/>
        <v>0</v>
      </c>
      <c r="RIC32" s="28">
        <f t="shared" si="278"/>
        <v>0</v>
      </c>
      <c r="RID32" s="28">
        <f t="shared" si="278"/>
        <v>0</v>
      </c>
      <c r="RIE32" s="28">
        <f t="shared" si="278"/>
        <v>0</v>
      </c>
      <c r="RIF32" s="28">
        <f t="shared" si="278"/>
        <v>0</v>
      </c>
      <c r="RIG32" s="28">
        <f t="shared" si="278"/>
        <v>0</v>
      </c>
      <c r="RIH32" s="28">
        <f t="shared" si="278"/>
        <v>0</v>
      </c>
      <c r="RII32" s="28">
        <f t="shared" si="278"/>
        <v>0</v>
      </c>
      <c r="RIJ32" s="28">
        <f t="shared" si="278"/>
        <v>0</v>
      </c>
      <c r="RIK32" s="28">
        <f t="shared" si="278"/>
        <v>0</v>
      </c>
      <c r="RIL32" s="28">
        <f t="shared" si="278"/>
        <v>0</v>
      </c>
      <c r="RIM32" s="28">
        <f t="shared" si="278"/>
        <v>0</v>
      </c>
      <c r="RIN32" s="28">
        <f t="shared" si="278"/>
        <v>0</v>
      </c>
      <c r="RIO32" s="28">
        <f t="shared" si="278"/>
        <v>0</v>
      </c>
      <c r="RIP32" s="28">
        <f t="shared" si="278"/>
        <v>0</v>
      </c>
      <c r="RIQ32" s="28">
        <f t="shared" si="278"/>
        <v>0</v>
      </c>
      <c r="RIR32" s="28">
        <f t="shared" si="278"/>
        <v>0</v>
      </c>
      <c r="RIS32" s="28">
        <f t="shared" si="278"/>
        <v>0</v>
      </c>
      <c r="RIT32" s="28">
        <f t="shared" si="278"/>
        <v>0</v>
      </c>
      <c r="RIU32" s="28">
        <f t="shared" si="278"/>
        <v>0</v>
      </c>
      <c r="RIV32" s="28">
        <f t="shared" si="278"/>
        <v>0</v>
      </c>
      <c r="RIW32" s="28">
        <f t="shared" ref="RIW32:RLH32" si="279">IFERROR(RIW31/RIW$4,0)</f>
        <v>0</v>
      </c>
      <c r="RIX32" s="28">
        <f t="shared" si="279"/>
        <v>0</v>
      </c>
      <c r="RIY32" s="28">
        <f t="shared" si="279"/>
        <v>0</v>
      </c>
      <c r="RIZ32" s="28">
        <f t="shared" si="279"/>
        <v>0</v>
      </c>
      <c r="RJA32" s="28">
        <f t="shared" si="279"/>
        <v>0</v>
      </c>
      <c r="RJB32" s="28">
        <f t="shared" si="279"/>
        <v>0</v>
      </c>
      <c r="RJC32" s="28">
        <f t="shared" si="279"/>
        <v>0</v>
      </c>
      <c r="RJD32" s="28">
        <f t="shared" si="279"/>
        <v>0</v>
      </c>
      <c r="RJE32" s="28">
        <f t="shared" si="279"/>
        <v>0</v>
      </c>
      <c r="RJF32" s="28">
        <f t="shared" si="279"/>
        <v>0</v>
      </c>
      <c r="RJG32" s="28">
        <f t="shared" si="279"/>
        <v>0</v>
      </c>
      <c r="RJH32" s="28">
        <f t="shared" si="279"/>
        <v>0</v>
      </c>
      <c r="RJI32" s="28">
        <f t="shared" si="279"/>
        <v>0</v>
      </c>
      <c r="RJJ32" s="28">
        <f t="shared" si="279"/>
        <v>0</v>
      </c>
      <c r="RJK32" s="28">
        <f t="shared" si="279"/>
        <v>0</v>
      </c>
      <c r="RJL32" s="28">
        <f t="shared" si="279"/>
        <v>0</v>
      </c>
      <c r="RJM32" s="28">
        <f t="shared" si="279"/>
        <v>0</v>
      </c>
      <c r="RJN32" s="28">
        <f t="shared" si="279"/>
        <v>0</v>
      </c>
      <c r="RJO32" s="28">
        <f t="shared" si="279"/>
        <v>0</v>
      </c>
      <c r="RJP32" s="28">
        <f t="shared" si="279"/>
        <v>0</v>
      </c>
      <c r="RJQ32" s="28">
        <f t="shared" si="279"/>
        <v>0</v>
      </c>
      <c r="RJR32" s="28">
        <f t="shared" si="279"/>
        <v>0</v>
      </c>
      <c r="RJS32" s="28">
        <f t="shared" si="279"/>
        <v>0</v>
      </c>
      <c r="RJT32" s="28">
        <f t="shared" si="279"/>
        <v>0</v>
      </c>
      <c r="RJU32" s="28">
        <f t="shared" si="279"/>
        <v>0</v>
      </c>
      <c r="RJV32" s="28">
        <f t="shared" si="279"/>
        <v>0</v>
      </c>
      <c r="RJW32" s="28">
        <f t="shared" si="279"/>
        <v>0</v>
      </c>
      <c r="RJX32" s="28">
        <f t="shared" si="279"/>
        <v>0</v>
      </c>
      <c r="RJY32" s="28">
        <f t="shared" si="279"/>
        <v>0</v>
      </c>
      <c r="RJZ32" s="28">
        <f t="shared" si="279"/>
        <v>0</v>
      </c>
      <c r="RKA32" s="28">
        <f t="shared" si="279"/>
        <v>0</v>
      </c>
      <c r="RKB32" s="28">
        <f t="shared" si="279"/>
        <v>0</v>
      </c>
      <c r="RKC32" s="28">
        <f t="shared" si="279"/>
        <v>0</v>
      </c>
      <c r="RKD32" s="28">
        <f t="shared" si="279"/>
        <v>0</v>
      </c>
      <c r="RKE32" s="28">
        <f t="shared" si="279"/>
        <v>0</v>
      </c>
      <c r="RKF32" s="28">
        <f t="shared" si="279"/>
        <v>0</v>
      </c>
      <c r="RKG32" s="28">
        <f t="shared" si="279"/>
        <v>0</v>
      </c>
      <c r="RKH32" s="28">
        <f t="shared" si="279"/>
        <v>0</v>
      </c>
      <c r="RKI32" s="28">
        <f t="shared" si="279"/>
        <v>0</v>
      </c>
      <c r="RKJ32" s="28">
        <f t="shared" si="279"/>
        <v>0</v>
      </c>
      <c r="RKK32" s="28">
        <f t="shared" si="279"/>
        <v>0</v>
      </c>
      <c r="RKL32" s="28">
        <f t="shared" si="279"/>
        <v>0</v>
      </c>
      <c r="RKM32" s="28">
        <f t="shared" si="279"/>
        <v>0</v>
      </c>
      <c r="RKN32" s="28">
        <f t="shared" si="279"/>
        <v>0</v>
      </c>
      <c r="RKO32" s="28">
        <f t="shared" si="279"/>
        <v>0</v>
      </c>
      <c r="RKP32" s="28">
        <f t="shared" si="279"/>
        <v>0</v>
      </c>
      <c r="RKQ32" s="28">
        <f t="shared" si="279"/>
        <v>0</v>
      </c>
      <c r="RKR32" s="28">
        <f t="shared" si="279"/>
        <v>0</v>
      </c>
      <c r="RKS32" s="28">
        <f t="shared" si="279"/>
        <v>0</v>
      </c>
      <c r="RKT32" s="28">
        <f t="shared" si="279"/>
        <v>0</v>
      </c>
      <c r="RKU32" s="28">
        <f t="shared" si="279"/>
        <v>0</v>
      </c>
      <c r="RKV32" s="28">
        <f t="shared" si="279"/>
        <v>0</v>
      </c>
      <c r="RKW32" s="28">
        <f t="shared" si="279"/>
        <v>0</v>
      </c>
      <c r="RKX32" s="28">
        <f t="shared" si="279"/>
        <v>0</v>
      </c>
      <c r="RKY32" s="28">
        <f t="shared" si="279"/>
        <v>0</v>
      </c>
      <c r="RKZ32" s="28">
        <f t="shared" si="279"/>
        <v>0</v>
      </c>
      <c r="RLA32" s="28">
        <f t="shared" si="279"/>
        <v>0</v>
      </c>
      <c r="RLB32" s="28">
        <f t="shared" si="279"/>
        <v>0</v>
      </c>
      <c r="RLC32" s="28">
        <f t="shared" si="279"/>
        <v>0</v>
      </c>
      <c r="RLD32" s="28">
        <f t="shared" si="279"/>
        <v>0</v>
      </c>
      <c r="RLE32" s="28">
        <f t="shared" si="279"/>
        <v>0</v>
      </c>
      <c r="RLF32" s="28">
        <f t="shared" si="279"/>
        <v>0</v>
      </c>
      <c r="RLG32" s="28">
        <f t="shared" si="279"/>
        <v>0</v>
      </c>
      <c r="RLH32" s="28">
        <f t="shared" si="279"/>
        <v>0</v>
      </c>
      <c r="RLI32" s="28">
        <f t="shared" ref="RLI32:RNT32" si="280">IFERROR(RLI31/RLI$4,0)</f>
        <v>0</v>
      </c>
      <c r="RLJ32" s="28">
        <f t="shared" si="280"/>
        <v>0</v>
      </c>
      <c r="RLK32" s="28">
        <f t="shared" si="280"/>
        <v>0</v>
      </c>
      <c r="RLL32" s="28">
        <f t="shared" si="280"/>
        <v>0</v>
      </c>
      <c r="RLM32" s="28">
        <f t="shared" si="280"/>
        <v>0</v>
      </c>
      <c r="RLN32" s="28">
        <f t="shared" si="280"/>
        <v>0</v>
      </c>
      <c r="RLO32" s="28">
        <f t="shared" si="280"/>
        <v>0</v>
      </c>
      <c r="RLP32" s="28">
        <f t="shared" si="280"/>
        <v>0</v>
      </c>
      <c r="RLQ32" s="28">
        <f t="shared" si="280"/>
        <v>0</v>
      </c>
      <c r="RLR32" s="28">
        <f t="shared" si="280"/>
        <v>0</v>
      </c>
      <c r="RLS32" s="28">
        <f t="shared" si="280"/>
        <v>0</v>
      </c>
      <c r="RLT32" s="28">
        <f t="shared" si="280"/>
        <v>0</v>
      </c>
      <c r="RLU32" s="28">
        <f t="shared" si="280"/>
        <v>0</v>
      </c>
      <c r="RLV32" s="28">
        <f t="shared" si="280"/>
        <v>0</v>
      </c>
      <c r="RLW32" s="28">
        <f t="shared" si="280"/>
        <v>0</v>
      </c>
      <c r="RLX32" s="28">
        <f t="shared" si="280"/>
        <v>0</v>
      </c>
      <c r="RLY32" s="28">
        <f t="shared" si="280"/>
        <v>0</v>
      </c>
      <c r="RLZ32" s="28">
        <f t="shared" si="280"/>
        <v>0</v>
      </c>
      <c r="RMA32" s="28">
        <f t="shared" si="280"/>
        <v>0</v>
      </c>
      <c r="RMB32" s="28">
        <f t="shared" si="280"/>
        <v>0</v>
      </c>
      <c r="RMC32" s="28">
        <f t="shared" si="280"/>
        <v>0</v>
      </c>
      <c r="RMD32" s="28">
        <f t="shared" si="280"/>
        <v>0</v>
      </c>
      <c r="RME32" s="28">
        <f t="shared" si="280"/>
        <v>0</v>
      </c>
      <c r="RMF32" s="28">
        <f t="shared" si="280"/>
        <v>0</v>
      </c>
      <c r="RMG32" s="28">
        <f t="shared" si="280"/>
        <v>0</v>
      </c>
      <c r="RMH32" s="28">
        <f t="shared" si="280"/>
        <v>0</v>
      </c>
      <c r="RMI32" s="28">
        <f t="shared" si="280"/>
        <v>0</v>
      </c>
      <c r="RMJ32" s="28">
        <f t="shared" si="280"/>
        <v>0</v>
      </c>
      <c r="RMK32" s="28">
        <f t="shared" si="280"/>
        <v>0</v>
      </c>
      <c r="RML32" s="28">
        <f t="shared" si="280"/>
        <v>0</v>
      </c>
      <c r="RMM32" s="28">
        <f t="shared" si="280"/>
        <v>0</v>
      </c>
      <c r="RMN32" s="28">
        <f t="shared" si="280"/>
        <v>0</v>
      </c>
      <c r="RMO32" s="28">
        <f t="shared" si="280"/>
        <v>0</v>
      </c>
      <c r="RMP32" s="28">
        <f t="shared" si="280"/>
        <v>0</v>
      </c>
      <c r="RMQ32" s="28">
        <f t="shared" si="280"/>
        <v>0</v>
      </c>
      <c r="RMR32" s="28">
        <f t="shared" si="280"/>
        <v>0</v>
      </c>
      <c r="RMS32" s="28">
        <f t="shared" si="280"/>
        <v>0</v>
      </c>
      <c r="RMT32" s="28">
        <f t="shared" si="280"/>
        <v>0</v>
      </c>
      <c r="RMU32" s="28">
        <f t="shared" si="280"/>
        <v>0</v>
      </c>
      <c r="RMV32" s="28">
        <f t="shared" si="280"/>
        <v>0</v>
      </c>
      <c r="RMW32" s="28">
        <f t="shared" si="280"/>
        <v>0</v>
      </c>
      <c r="RMX32" s="28">
        <f t="shared" si="280"/>
        <v>0</v>
      </c>
      <c r="RMY32" s="28">
        <f t="shared" si="280"/>
        <v>0</v>
      </c>
      <c r="RMZ32" s="28">
        <f t="shared" si="280"/>
        <v>0</v>
      </c>
      <c r="RNA32" s="28">
        <f t="shared" si="280"/>
        <v>0</v>
      </c>
      <c r="RNB32" s="28">
        <f t="shared" si="280"/>
        <v>0</v>
      </c>
      <c r="RNC32" s="28">
        <f t="shared" si="280"/>
        <v>0</v>
      </c>
      <c r="RND32" s="28">
        <f t="shared" si="280"/>
        <v>0</v>
      </c>
      <c r="RNE32" s="28">
        <f t="shared" si="280"/>
        <v>0</v>
      </c>
      <c r="RNF32" s="28">
        <f t="shared" si="280"/>
        <v>0</v>
      </c>
      <c r="RNG32" s="28">
        <f t="shared" si="280"/>
        <v>0</v>
      </c>
      <c r="RNH32" s="28">
        <f t="shared" si="280"/>
        <v>0</v>
      </c>
      <c r="RNI32" s="28">
        <f t="shared" si="280"/>
        <v>0</v>
      </c>
      <c r="RNJ32" s="28">
        <f t="shared" si="280"/>
        <v>0</v>
      </c>
      <c r="RNK32" s="28">
        <f t="shared" si="280"/>
        <v>0</v>
      </c>
      <c r="RNL32" s="28">
        <f t="shared" si="280"/>
        <v>0</v>
      </c>
      <c r="RNM32" s="28">
        <f t="shared" si="280"/>
        <v>0</v>
      </c>
      <c r="RNN32" s="28">
        <f t="shared" si="280"/>
        <v>0</v>
      </c>
      <c r="RNO32" s="28">
        <f t="shared" si="280"/>
        <v>0</v>
      </c>
      <c r="RNP32" s="28">
        <f t="shared" si="280"/>
        <v>0</v>
      </c>
      <c r="RNQ32" s="28">
        <f t="shared" si="280"/>
        <v>0</v>
      </c>
      <c r="RNR32" s="28">
        <f t="shared" si="280"/>
        <v>0</v>
      </c>
      <c r="RNS32" s="28">
        <f t="shared" si="280"/>
        <v>0</v>
      </c>
      <c r="RNT32" s="28">
        <f t="shared" si="280"/>
        <v>0</v>
      </c>
      <c r="RNU32" s="28">
        <f t="shared" ref="RNU32:RQF32" si="281">IFERROR(RNU31/RNU$4,0)</f>
        <v>0</v>
      </c>
      <c r="RNV32" s="28">
        <f t="shared" si="281"/>
        <v>0</v>
      </c>
      <c r="RNW32" s="28">
        <f t="shared" si="281"/>
        <v>0</v>
      </c>
      <c r="RNX32" s="28">
        <f t="shared" si="281"/>
        <v>0</v>
      </c>
      <c r="RNY32" s="28">
        <f t="shared" si="281"/>
        <v>0</v>
      </c>
      <c r="RNZ32" s="28">
        <f t="shared" si="281"/>
        <v>0</v>
      </c>
      <c r="ROA32" s="28">
        <f t="shared" si="281"/>
        <v>0</v>
      </c>
      <c r="ROB32" s="28">
        <f t="shared" si="281"/>
        <v>0</v>
      </c>
      <c r="ROC32" s="28">
        <f t="shared" si="281"/>
        <v>0</v>
      </c>
      <c r="ROD32" s="28">
        <f t="shared" si="281"/>
        <v>0</v>
      </c>
      <c r="ROE32" s="28">
        <f t="shared" si="281"/>
        <v>0</v>
      </c>
      <c r="ROF32" s="28">
        <f t="shared" si="281"/>
        <v>0</v>
      </c>
      <c r="ROG32" s="28">
        <f t="shared" si="281"/>
        <v>0</v>
      </c>
      <c r="ROH32" s="28">
        <f t="shared" si="281"/>
        <v>0</v>
      </c>
      <c r="ROI32" s="28">
        <f t="shared" si="281"/>
        <v>0</v>
      </c>
      <c r="ROJ32" s="28">
        <f t="shared" si="281"/>
        <v>0</v>
      </c>
      <c r="ROK32" s="28">
        <f t="shared" si="281"/>
        <v>0</v>
      </c>
      <c r="ROL32" s="28">
        <f t="shared" si="281"/>
        <v>0</v>
      </c>
      <c r="ROM32" s="28">
        <f t="shared" si="281"/>
        <v>0</v>
      </c>
      <c r="RON32" s="28">
        <f t="shared" si="281"/>
        <v>0</v>
      </c>
      <c r="ROO32" s="28">
        <f t="shared" si="281"/>
        <v>0</v>
      </c>
      <c r="ROP32" s="28">
        <f t="shared" si="281"/>
        <v>0</v>
      </c>
      <c r="ROQ32" s="28">
        <f t="shared" si="281"/>
        <v>0</v>
      </c>
      <c r="ROR32" s="28">
        <f t="shared" si="281"/>
        <v>0</v>
      </c>
      <c r="ROS32" s="28">
        <f t="shared" si="281"/>
        <v>0</v>
      </c>
      <c r="ROT32" s="28">
        <f t="shared" si="281"/>
        <v>0</v>
      </c>
      <c r="ROU32" s="28">
        <f t="shared" si="281"/>
        <v>0</v>
      </c>
      <c r="ROV32" s="28">
        <f t="shared" si="281"/>
        <v>0</v>
      </c>
      <c r="ROW32" s="28">
        <f t="shared" si="281"/>
        <v>0</v>
      </c>
      <c r="ROX32" s="28">
        <f t="shared" si="281"/>
        <v>0</v>
      </c>
      <c r="ROY32" s="28">
        <f t="shared" si="281"/>
        <v>0</v>
      </c>
      <c r="ROZ32" s="28">
        <f t="shared" si="281"/>
        <v>0</v>
      </c>
      <c r="RPA32" s="28">
        <f t="shared" si="281"/>
        <v>0</v>
      </c>
      <c r="RPB32" s="28">
        <f t="shared" si="281"/>
        <v>0</v>
      </c>
      <c r="RPC32" s="28">
        <f t="shared" si="281"/>
        <v>0</v>
      </c>
      <c r="RPD32" s="28">
        <f t="shared" si="281"/>
        <v>0</v>
      </c>
      <c r="RPE32" s="28">
        <f t="shared" si="281"/>
        <v>0</v>
      </c>
      <c r="RPF32" s="28">
        <f t="shared" si="281"/>
        <v>0</v>
      </c>
      <c r="RPG32" s="28">
        <f t="shared" si="281"/>
        <v>0</v>
      </c>
      <c r="RPH32" s="28">
        <f t="shared" si="281"/>
        <v>0</v>
      </c>
      <c r="RPI32" s="28">
        <f t="shared" si="281"/>
        <v>0</v>
      </c>
      <c r="RPJ32" s="28">
        <f t="shared" si="281"/>
        <v>0</v>
      </c>
      <c r="RPK32" s="28">
        <f t="shared" si="281"/>
        <v>0</v>
      </c>
      <c r="RPL32" s="28">
        <f t="shared" si="281"/>
        <v>0</v>
      </c>
      <c r="RPM32" s="28">
        <f t="shared" si="281"/>
        <v>0</v>
      </c>
      <c r="RPN32" s="28">
        <f t="shared" si="281"/>
        <v>0</v>
      </c>
      <c r="RPO32" s="28">
        <f t="shared" si="281"/>
        <v>0</v>
      </c>
      <c r="RPP32" s="28">
        <f t="shared" si="281"/>
        <v>0</v>
      </c>
      <c r="RPQ32" s="28">
        <f t="shared" si="281"/>
        <v>0</v>
      </c>
      <c r="RPR32" s="28">
        <f t="shared" si="281"/>
        <v>0</v>
      </c>
      <c r="RPS32" s="28">
        <f t="shared" si="281"/>
        <v>0</v>
      </c>
      <c r="RPT32" s="28">
        <f t="shared" si="281"/>
        <v>0</v>
      </c>
      <c r="RPU32" s="28">
        <f t="shared" si="281"/>
        <v>0</v>
      </c>
      <c r="RPV32" s="28">
        <f t="shared" si="281"/>
        <v>0</v>
      </c>
      <c r="RPW32" s="28">
        <f t="shared" si="281"/>
        <v>0</v>
      </c>
      <c r="RPX32" s="28">
        <f t="shared" si="281"/>
        <v>0</v>
      </c>
      <c r="RPY32" s="28">
        <f t="shared" si="281"/>
        <v>0</v>
      </c>
      <c r="RPZ32" s="28">
        <f t="shared" si="281"/>
        <v>0</v>
      </c>
      <c r="RQA32" s="28">
        <f t="shared" si="281"/>
        <v>0</v>
      </c>
      <c r="RQB32" s="28">
        <f t="shared" si="281"/>
        <v>0</v>
      </c>
      <c r="RQC32" s="28">
        <f t="shared" si="281"/>
        <v>0</v>
      </c>
      <c r="RQD32" s="28">
        <f t="shared" si="281"/>
        <v>0</v>
      </c>
      <c r="RQE32" s="28">
        <f t="shared" si="281"/>
        <v>0</v>
      </c>
      <c r="RQF32" s="28">
        <f t="shared" si="281"/>
        <v>0</v>
      </c>
      <c r="RQG32" s="28">
        <f t="shared" ref="RQG32:RSR32" si="282">IFERROR(RQG31/RQG$4,0)</f>
        <v>0</v>
      </c>
      <c r="RQH32" s="28">
        <f t="shared" si="282"/>
        <v>0</v>
      </c>
      <c r="RQI32" s="28">
        <f t="shared" si="282"/>
        <v>0</v>
      </c>
      <c r="RQJ32" s="28">
        <f t="shared" si="282"/>
        <v>0</v>
      </c>
      <c r="RQK32" s="28">
        <f t="shared" si="282"/>
        <v>0</v>
      </c>
      <c r="RQL32" s="28">
        <f t="shared" si="282"/>
        <v>0</v>
      </c>
      <c r="RQM32" s="28">
        <f t="shared" si="282"/>
        <v>0</v>
      </c>
      <c r="RQN32" s="28">
        <f t="shared" si="282"/>
        <v>0</v>
      </c>
      <c r="RQO32" s="28">
        <f t="shared" si="282"/>
        <v>0</v>
      </c>
      <c r="RQP32" s="28">
        <f t="shared" si="282"/>
        <v>0</v>
      </c>
      <c r="RQQ32" s="28">
        <f t="shared" si="282"/>
        <v>0</v>
      </c>
      <c r="RQR32" s="28">
        <f t="shared" si="282"/>
        <v>0</v>
      </c>
      <c r="RQS32" s="28">
        <f t="shared" si="282"/>
        <v>0</v>
      </c>
      <c r="RQT32" s="28">
        <f t="shared" si="282"/>
        <v>0</v>
      </c>
      <c r="RQU32" s="28">
        <f t="shared" si="282"/>
        <v>0</v>
      </c>
      <c r="RQV32" s="28">
        <f t="shared" si="282"/>
        <v>0</v>
      </c>
      <c r="RQW32" s="28">
        <f t="shared" si="282"/>
        <v>0</v>
      </c>
      <c r="RQX32" s="28">
        <f t="shared" si="282"/>
        <v>0</v>
      </c>
      <c r="RQY32" s="28">
        <f t="shared" si="282"/>
        <v>0</v>
      </c>
      <c r="RQZ32" s="28">
        <f t="shared" si="282"/>
        <v>0</v>
      </c>
      <c r="RRA32" s="28">
        <f t="shared" si="282"/>
        <v>0</v>
      </c>
      <c r="RRB32" s="28">
        <f t="shared" si="282"/>
        <v>0</v>
      </c>
      <c r="RRC32" s="28">
        <f t="shared" si="282"/>
        <v>0</v>
      </c>
      <c r="RRD32" s="28">
        <f t="shared" si="282"/>
        <v>0</v>
      </c>
      <c r="RRE32" s="28">
        <f t="shared" si="282"/>
        <v>0</v>
      </c>
      <c r="RRF32" s="28">
        <f t="shared" si="282"/>
        <v>0</v>
      </c>
      <c r="RRG32" s="28">
        <f t="shared" si="282"/>
        <v>0</v>
      </c>
      <c r="RRH32" s="28">
        <f t="shared" si="282"/>
        <v>0</v>
      </c>
      <c r="RRI32" s="28">
        <f t="shared" si="282"/>
        <v>0</v>
      </c>
      <c r="RRJ32" s="28">
        <f t="shared" si="282"/>
        <v>0</v>
      </c>
      <c r="RRK32" s="28">
        <f t="shared" si="282"/>
        <v>0</v>
      </c>
      <c r="RRL32" s="28">
        <f t="shared" si="282"/>
        <v>0</v>
      </c>
      <c r="RRM32" s="28">
        <f t="shared" si="282"/>
        <v>0</v>
      </c>
      <c r="RRN32" s="28">
        <f t="shared" si="282"/>
        <v>0</v>
      </c>
      <c r="RRO32" s="28">
        <f t="shared" si="282"/>
        <v>0</v>
      </c>
      <c r="RRP32" s="28">
        <f t="shared" si="282"/>
        <v>0</v>
      </c>
      <c r="RRQ32" s="28">
        <f t="shared" si="282"/>
        <v>0</v>
      </c>
      <c r="RRR32" s="28">
        <f t="shared" si="282"/>
        <v>0</v>
      </c>
      <c r="RRS32" s="28">
        <f t="shared" si="282"/>
        <v>0</v>
      </c>
      <c r="RRT32" s="28">
        <f t="shared" si="282"/>
        <v>0</v>
      </c>
      <c r="RRU32" s="28">
        <f t="shared" si="282"/>
        <v>0</v>
      </c>
      <c r="RRV32" s="28">
        <f t="shared" si="282"/>
        <v>0</v>
      </c>
      <c r="RRW32" s="28">
        <f t="shared" si="282"/>
        <v>0</v>
      </c>
      <c r="RRX32" s="28">
        <f t="shared" si="282"/>
        <v>0</v>
      </c>
      <c r="RRY32" s="28">
        <f t="shared" si="282"/>
        <v>0</v>
      </c>
      <c r="RRZ32" s="28">
        <f t="shared" si="282"/>
        <v>0</v>
      </c>
      <c r="RSA32" s="28">
        <f t="shared" si="282"/>
        <v>0</v>
      </c>
      <c r="RSB32" s="28">
        <f t="shared" si="282"/>
        <v>0</v>
      </c>
      <c r="RSC32" s="28">
        <f t="shared" si="282"/>
        <v>0</v>
      </c>
      <c r="RSD32" s="28">
        <f t="shared" si="282"/>
        <v>0</v>
      </c>
      <c r="RSE32" s="28">
        <f t="shared" si="282"/>
        <v>0</v>
      </c>
      <c r="RSF32" s="28">
        <f t="shared" si="282"/>
        <v>0</v>
      </c>
      <c r="RSG32" s="28">
        <f t="shared" si="282"/>
        <v>0</v>
      </c>
      <c r="RSH32" s="28">
        <f t="shared" si="282"/>
        <v>0</v>
      </c>
      <c r="RSI32" s="28">
        <f t="shared" si="282"/>
        <v>0</v>
      </c>
      <c r="RSJ32" s="28">
        <f t="shared" si="282"/>
        <v>0</v>
      </c>
      <c r="RSK32" s="28">
        <f t="shared" si="282"/>
        <v>0</v>
      </c>
      <c r="RSL32" s="28">
        <f t="shared" si="282"/>
        <v>0</v>
      </c>
      <c r="RSM32" s="28">
        <f t="shared" si="282"/>
        <v>0</v>
      </c>
      <c r="RSN32" s="28">
        <f t="shared" si="282"/>
        <v>0</v>
      </c>
      <c r="RSO32" s="28">
        <f t="shared" si="282"/>
        <v>0</v>
      </c>
      <c r="RSP32" s="28">
        <f t="shared" si="282"/>
        <v>0</v>
      </c>
      <c r="RSQ32" s="28">
        <f t="shared" si="282"/>
        <v>0</v>
      </c>
      <c r="RSR32" s="28">
        <f t="shared" si="282"/>
        <v>0</v>
      </c>
      <c r="RSS32" s="28">
        <f t="shared" ref="RSS32:RVD32" si="283">IFERROR(RSS31/RSS$4,0)</f>
        <v>0</v>
      </c>
      <c r="RST32" s="28">
        <f t="shared" si="283"/>
        <v>0</v>
      </c>
      <c r="RSU32" s="28">
        <f t="shared" si="283"/>
        <v>0</v>
      </c>
      <c r="RSV32" s="28">
        <f t="shared" si="283"/>
        <v>0</v>
      </c>
      <c r="RSW32" s="28">
        <f t="shared" si="283"/>
        <v>0</v>
      </c>
      <c r="RSX32" s="28">
        <f t="shared" si="283"/>
        <v>0</v>
      </c>
      <c r="RSY32" s="28">
        <f t="shared" si="283"/>
        <v>0</v>
      </c>
      <c r="RSZ32" s="28">
        <f t="shared" si="283"/>
        <v>0</v>
      </c>
      <c r="RTA32" s="28">
        <f t="shared" si="283"/>
        <v>0</v>
      </c>
      <c r="RTB32" s="28">
        <f t="shared" si="283"/>
        <v>0</v>
      </c>
      <c r="RTC32" s="28">
        <f t="shared" si="283"/>
        <v>0</v>
      </c>
      <c r="RTD32" s="28">
        <f t="shared" si="283"/>
        <v>0</v>
      </c>
      <c r="RTE32" s="28">
        <f t="shared" si="283"/>
        <v>0</v>
      </c>
      <c r="RTF32" s="28">
        <f t="shared" si="283"/>
        <v>0</v>
      </c>
      <c r="RTG32" s="28">
        <f t="shared" si="283"/>
        <v>0</v>
      </c>
      <c r="RTH32" s="28">
        <f t="shared" si="283"/>
        <v>0</v>
      </c>
      <c r="RTI32" s="28">
        <f t="shared" si="283"/>
        <v>0</v>
      </c>
      <c r="RTJ32" s="28">
        <f t="shared" si="283"/>
        <v>0</v>
      </c>
      <c r="RTK32" s="28">
        <f t="shared" si="283"/>
        <v>0</v>
      </c>
      <c r="RTL32" s="28">
        <f t="shared" si="283"/>
        <v>0</v>
      </c>
      <c r="RTM32" s="28">
        <f t="shared" si="283"/>
        <v>0</v>
      </c>
      <c r="RTN32" s="28">
        <f t="shared" si="283"/>
        <v>0</v>
      </c>
      <c r="RTO32" s="28">
        <f t="shared" si="283"/>
        <v>0</v>
      </c>
      <c r="RTP32" s="28">
        <f t="shared" si="283"/>
        <v>0</v>
      </c>
      <c r="RTQ32" s="28">
        <f t="shared" si="283"/>
        <v>0</v>
      </c>
      <c r="RTR32" s="28">
        <f t="shared" si="283"/>
        <v>0</v>
      </c>
      <c r="RTS32" s="28">
        <f t="shared" si="283"/>
        <v>0</v>
      </c>
      <c r="RTT32" s="28">
        <f t="shared" si="283"/>
        <v>0</v>
      </c>
      <c r="RTU32" s="28">
        <f t="shared" si="283"/>
        <v>0</v>
      </c>
      <c r="RTV32" s="28">
        <f t="shared" si="283"/>
        <v>0</v>
      </c>
      <c r="RTW32" s="28">
        <f t="shared" si="283"/>
        <v>0</v>
      </c>
      <c r="RTX32" s="28">
        <f t="shared" si="283"/>
        <v>0</v>
      </c>
      <c r="RTY32" s="28">
        <f t="shared" si="283"/>
        <v>0</v>
      </c>
      <c r="RTZ32" s="28">
        <f t="shared" si="283"/>
        <v>0</v>
      </c>
      <c r="RUA32" s="28">
        <f t="shared" si="283"/>
        <v>0</v>
      </c>
      <c r="RUB32" s="28">
        <f t="shared" si="283"/>
        <v>0</v>
      </c>
      <c r="RUC32" s="28">
        <f t="shared" si="283"/>
        <v>0</v>
      </c>
      <c r="RUD32" s="28">
        <f t="shared" si="283"/>
        <v>0</v>
      </c>
      <c r="RUE32" s="28">
        <f t="shared" si="283"/>
        <v>0</v>
      </c>
      <c r="RUF32" s="28">
        <f t="shared" si="283"/>
        <v>0</v>
      </c>
      <c r="RUG32" s="28">
        <f t="shared" si="283"/>
        <v>0</v>
      </c>
      <c r="RUH32" s="28">
        <f t="shared" si="283"/>
        <v>0</v>
      </c>
      <c r="RUI32" s="28">
        <f t="shared" si="283"/>
        <v>0</v>
      </c>
      <c r="RUJ32" s="28">
        <f t="shared" si="283"/>
        <v>0</v>
      </c>
      <c r="RUK32" s="28">
        <f t="shared" si="283"/>
        <v>0</v>
      </c>
      <c r="RUL32" s="28">
        <f t="shared" si="283"/>
        <v>0</v>
      </c>
      <c r="RUM32" s="28">
        <f t="shared" si="283"/>
        <v>0</v>
      </c>
      <c r="RUN32" s="28">
        <f t="shared" si="283"/>
        <v>0</v>
      </c>
      <c r="RUO32" s="28">
        <f t="shared" si="283"/>
        <v>0</v>
      </c>
      <c r="RUP32" s="28">
        <f t="shared" si="283"/>
        <v>0</v>
      </c>
      <c r="RUQ32" s="28">
        <f t="shared" si="283"/>
        <v>0</v>
      </c>
      <c r="RUR32" s="28">
        <f t="shared" si="283"/>
        <v>0</v>
      </c>
      <c r="RUS32" s="28">
        <f t="shared" si="283"/>
        <v>0</v>
      </c>
      <c r="RUT32" s="28">
        <f t="shared" si="283"/>
        <v>0</v>
      </c>
      <c r="RUU32" s="28">
        <f t="shared" si="283"/>
        <v>0</v>
      </c>
      <c r="RUV32" s="28">
        <f t="shared" si="283"/>
        <v>0</v>
      </c>
      <c r="RUW32" s="28">
        <f t="shared" si="283"/>
        <v>0</v>
      </c>
      <c r="RUX32" s="28">
        <f t="shared" si="283"/>
        <v>0</v>
      </c>
      <c r="RUY32" s="28">
        <f t="shared" si="283"/>
        <v>0</v>
      </c>
      <c r="RUZ32" s="28">
        <f t="shared" si="283"/>
        <v>0</v>
      </c>
      <c r="RVA32" s="28">
        <f t="shared" si="283"/>
        <v>0</v>
      </c>
      <c r="RVB32" s="28">
        <f t="shared" si="283"/>
        <v>0</v>
      </c>
      <c r="RVC32" s="28">
        <f t="shared" si="283"/>
        <v>0</v>
      </c>
      <c r="RVD32" s="28">
        <f t="shared" si="283"/>
        <v>0</v>
      </c>
      <c r="RVE32" s="28">
        <f t="shared" ref="RVE32:RXP32" si="284">IFERROR(RVE31/RVE$4,0)</f>
        <v>0</v>
      </c>
      <c r="RVF32" s="28">
        <f t="shared" si="284"/>
        <v>0</v>
      </c>
      <c r="RVG32" s="28">
        <f t="shared" si="284"/>
        <v>0</v>
      </c>
      <c r="RVH32" s="28">
        <f t="shared" si="284"/>
        <v>0</v>
      </c>
      <c r="RVI32" s="28">
        <f t="shared" si="284"/>
        <v>0</v>
      </c>
      <c r="RVJ32" s="28">
        <f t="shared" si="284"/>
        <v>0</v>
      </c>
      <c r="RVK32" s="28">
        <f t="shared" si="284"/>
        <v>0</v>
      </c>
      <c r="RVL32" s="28">
        <f t="shared" si="284"/>
        <v>0</v>
      </c>
      <c r="RVM32" s="28">
        <f t="shared" si="284"/>
        <v>0</v>
      </c>
      <c r="RVN32" s="28">
        <f t="shared" si="284"/>
        <v>0</v>
      </c>
      <c r="RVO32" s="28">
        <f t="shared" si="284"/>
        <v>0</v>
      </c>
      <c r="RVP32" s="28">
        <f t="shared" si="284"/>
        <v>0</v>
      </c>
      <c r="RVQ32" s="28">
        <f t="shared" si="284"/>
        <v>0</v>
      </c>
      <c r="RVR32" s="28">
        <f t="shared" si="284"/>
        <v>0</v>
      </c>
      <c r="RVS32" s="28">
        <f t="shared" si="284"/>
        <v>0</v>
      </c>
      <c r="RVT32" s="28">
        <f t="shared" si="284"/>
        <v>0</v>
      </c>
      <c r="RVU32" s="28">
        <f t="shared" si="284"/>
        <v>0</v>
      </c>
      <c r="RVV32" s="28">
        <f t="shared" si="284"/>
        <v>0</v>
      </c>
      <c r="RVW32" s="28">
        <f t="shared" si="284"/>
        <v>0</v>
      </c>
      <c r="RVX32" s="28">
        <f t="shared" si="284"/>
        <v>0</v>
      </c>
      <c r="RVY32" s="28">
        <f t="shared" si="284"/>
        <v>0</v>
      </c>
      <c r="RVZ32" s="28">
        <f t="shared" si="284"/>
        <v>0</v>
      </c>
      <c r="RWA32" s="28">
        <f t="shared" si="284"/>
        <v>0</v>
      </c>
      <c r="RWB32" s="28">
        <f t="shared" si="284"/>
        <v>0</v>
      </c>
      <c r="RWC32" s="28">
        <f t="shared" si="284"/>
        <v>0</v>
      </c>
      <c r="RWD32" s="28">
        <f t="shared" si="284"/>
        <v>0</v>
      </c>
      <c r="RWE32" s="28">
        <f t="shared" si="284"/>
        <v>0</v>
      </c>
      <c r="RWF32" s="28">
        <f t="shared" si="284"/>
        <v>0</v>
      </c>
      <c r="RWG32" s="28">
        <f t="shared" si="284"/>
        <v>0</v>
      </c>
      <c r="RWH32" s="28">
        <f t="shared" si="284"/>
        <v>0</v>
      </c>
      <c r="RWI32" s="28">
        <f t="shared" si="284"/>
        <v>0</v>
      </c>
      <c r="RWJ32" s="28">
        <f t="shared" si="284"/>
        <v>0</v>
      </c>
      <c r="RWK32" s="28">
        <f t="shared" si="284"/>
        <v>0</v>
      </c>
      <c r="RWL32" s="28">
        <f t="shared" si="284"/>
        <v>0</v>
      </c>
      <c r="RWM32" s="28">
        <f t="shared" si="284"/>
        <v>0</v>
      </c>
      <c r="RWN32" s="28">
        <f t="shared" si="284"/>
        <v>0</v>
      </c>
      <c r="RWO32" s="28">
        <f t="shared" si="284"/>
        <v>0</v>
      </c>
      <c r="RWP32" s="28">
        <f t="shared" si="284"/>
        <v>0</v>
      </c>
      <c r="RWQ32" s="28">
        <f t="shared" si="284"/>
        <v>0</v>
      </c>
      <c r="RWR32" s="28">
        <f t="shared" si="284"/>
        <v>0</v>
      </c>
      <c r="RWS32" s="28">
        <f t="shared" si="284"/>
        <v>0</v>
      </c>
      <c r="RWT32" s="28">
        <f t="shared" si="284"/>
        <v>0</v>
      </c>
      <c r="RWU32" s="28">
        <f t="shared" si="284"/>
        <v>0</v>
      </c>
      <c r="RWV32" s="28">
        <f t="shared" si="284"/>
        <v>0</v>
      </c>
      <c r="RWW32" s="28">
        <f t="shared" si="284"/>
        <v>0</v>
      </c>
      <c r="RWX32" s="28">
        <f t="shared" si="284"/>
        <v>0</v>
      </c>
      <c r="RWY32" s="28">
        <f t="shared" si="284"/>
        <v>0</v>
      </c>
      <c r="RWZ32" s="28">
        <f t="shared" si="284"/>
        <v>0</v>
      </c>
      <c r="RXA32" s="28">
        <f t="shared" si="284"/>
        <v>0</v>
      </c>
      <c r="RXB32" s="28">
        <f t="shared" si="284"/>
        <v>0</v>
      </c>
      <c r="RXC32" s="28">
        <f t="shared" si="284"/>
        <v>0</v>
      </c>
      <c r="RXD32" s="28">
        <f t="shared" si="284"/>
        <v>0</v>
      </c>
      <c r="RXE32" s="28">
        <f t="shared" si="284"/>
        <v>0</v>
      </c>
      <c r="RXF32" s="28">
        <f t="shared" si="284"/>
        <v>0</v>
      </c>
      <c r="RXG32" s="28">
        <f t="shared" si="284"/>
        <v>0</v>
      </c>
      <c r="RXH32" s="28">
        <f t="shared" si="284"/>
        <v>0</v>
      </c>
      <c r="RXI32" s="28">
        <f t="shared" si="284"/>
        <v>0</v>
      </c>
      <c r="RXJ32" s="28">
        <f t="shared" si="284"/>
        <v>0</v>
      </c>
      <c r="RXK32" s="28">
        <f t="shared" si="284"/>
        <v>0</v>
      </c>
      <c r="RXL32" s="28">
        <f t="shared" si="284"/>
        <v>0</v>
      </c>
      <c r="RXM32" s="28">
        <f t="shared" si="284"/>
        <v>0</v>
      </c>
      <c r="RXN32" s="28">
        <f t="shared" si="284"/>
        <v>0</v>
      </c>
      <c r="RXO32" s="28">
        <f t="shared" si="284"/>
        <v>0</v>
      </c>
      <c r="RXP32" s="28">
        <f t="shared" si="284"/>
        <v>0</v>
      </c>
      <c r="RXQ32" s="28">
        <f t="shared" ref="RXQ32:SAB32" si="285">IFERROR(RXQ31/RXQ$4,0)</f>
        <v>0</v>
      </c>
      <c r="RXR32" s="28">
        <f t="shared" si="285"/>
        <v>0</v>
      </c>
      <c r="RXS32" s="28">
        <f t="shared" si="285"/>
        <v>0</v>
      </c>
      <c r="RXT32" s="28">
        <f t="shared" si="285"/>
        <v>0</v>
      </c>
      <c r="RXU32" s="28">
        <f t="shared" si="285"/>
        <v>0</v>
      </c>
      <c r="RXV32" s="28">
        <f t="shared" si="285"/>
        <v>0</v>
      </c>
      <c r="RXW32" s="28">
        <f t="shared" si="285"/>
        <v>0</v>
      </c>
      <c r="RXX32" s="28">
        <f t="shared" si="285"/>
        <v>0</v>
      </c>
      <c r="RXY32" s="28">
        <f t="shared" si="285"/>
        <v>0</v>
      </c>
      <c r="RXZ32" s="28">
        <f t="shared" si="285"/>
        <v>0</v>
      </c>
      <c r="RYA32" s="28">
        <f t="shared" si="285"/>
        <v>0</v>
      </c>
      <c r="RYB32" s="28">
        <f t="shared" si="285"/>
        <v>0</v>
      </c>
      <c r="RYC32" s="28">
        <f t="shared" si="285"/>
        <v>0</v>
      </c>
      <c r="RYD32" s="28">
        <f t="shared" si="285"/>
        <v>0</v>
      </c>
      <c r="RYE32" s="28">
        <f t="shared" si="285"/>
        <v>0</v>
      </c>
      <c r="RYF32" s="28">
        <f t="shared" si="285"/>
        <v>0</v>
      </c>
      <c r="RYG32" s="28">
        <f t="shared" si="285"/>
        <v>0</v>
      </c>
      <c r="RYH32" s="28">
        <f t="shared" si="285"/>
        <v>0</v>
      </c>
      <c r="RYI32" s="28">
        <f t="shared" si="285"/>
        <v>0</v>
      </c>
      <c r="RYJ32" s="28">
        <f t="shared" si="285"/>
        <v>0</v>
      </c>
      <c r="RYK32" s="28">
        <f t="shared" si="285"/>
        <v>0</v>
      </c>
      <c r="RYL32" s="28">
        <f t="shared" si="285"/>
        <v>0</v>
      </c>
      <c r="RYM32" s="28">
        <f t="shared" si="285"/>
        <v>0</v>
      </c>
      <c r="RYN32" s="28">
        <f t="shared" si="285"/>
        <v>0</v>
      </c>
      <c r="RYO32" s="28">
        <f t="shared" si="285"/>
        <v>0</v>
      </c>
      <c r="RYP32" s="28">
        <f t="shared" si="285"/>
        <v>0</v>
      </c>
      <c r="RYQ32" s="28">
        <f t="shared" si="285"/>
        <v>0</v>
      </c>
      <c r="RYR32" s="28">
        <f t="shared" si="285"/>
        <v>0</v>
      </c>
      <c r="RYS32" s="28">
        <f t="shared" si="285"/>
        <v>0</v>
      </c>
      <c r="RYT32" s="28">
        <f t="shared" si="285"/>
        <v>0</v>
      </c>
      <c r="RYU32" s="28">
        <f t="shared" si="285"/>
        <v>0</v>
      </c>
      <c r="RYV32" s="28">
        <f t="shared" si="285"/>
        <v>0</v>
      </c>
      <c r="RYW32" s="28">
        <f t="shared" si="285"/>
        <v>0</v>
      </c>
      <c r="RYX32" s="28">
        <f t="shared" si="285"/>
        <v>0</v>
      </c>
      <c r="RYY32" s="28">
        <f t="shared" si="285"/>
        <v>0</v>
      </c>
      <c r="RYZ32" s="28">
        <f t="shared" si="285"/>
        <v>0</v>
      </c>
      <c r="RZA32" s="28">
        <f t="shared" si="285"/>
        <v>0</v>
      </c>
      <c r="RZB32" s="28">
        <f t="shared" si="285"/>
        <v>0</v>
      </c>
      <c r="RZC32" s="28">
        <f t="shared" si="285"/>
        <v>0</v>
      </c>
      <c r="RZD32" s="28">
        <f t="shared" si="285"/>
        <v>0</v>
      </c>
      <c r="RZE32" s="28">
        <f t="shared" si="285"/>
        <v>0</v>
      </c>
      <c r="RZF32" s="28">
        <f t="shared" si="285"/>
        <v>0</v>
      </c>
      <c r="RZG32" s="28">
        <f t="shared" si="285"/>
        <v>0</v>
      </c>
      <c r="RZH32" s="28">
        <f t="shared" si="285"/>
        <v>0</v>
      </c>
      <c r="RZI32" s="28">
        <f t="shared" si="285"/>
        <v>0</v>
      </c>
      <c r="RZJ32" s="28">
        <f t="shared" si="285"/>
        <v>0</v>
      </c>
      <c r="RZK32" s="28">
        <f t="shared" si="285"/>
        <v>0</v>
      </c>
      <c r="RZL32" s="28">
        <f t="shared" si="285"/>
        <v>0</v>
      </c>
      <c r="RZM32" s="28">
        <f t="shared" si="285"/>
        <v>0</v>
      </c>
      <c r="RZN32" s="28">
        <f t="shared" si="285"/>
        <v>0</v>
      </c>
      <c r="RZO32" s="28">
        <f t="shared" si="285"/>
        <v>0</v>
      </c>
      <c r="RZP32" s="28">
        <f t="shared" si="285"/>
        <v>0</v>
      </c>
      <c r="RZQ32" s="28">
        <f t="shared" si="285"/>
        <v>0</v>
      </c>
      <c r="RZR32" s="28">
        <f t="shared" si="285"/>
        <v>0</v>
      </c>
      <c r="RZS32" s="28">
        <f t="shared" si="285"/>
        <v>0</v>
      </c>
      <c r="RZT32" s="28">
        <f t="shared" si="285"/>
        <v>0</v>
      </c>
      <c r="RZU32" s="28">
        <f t="shared" si="285"/>
        <v>0</v>
      </c>
      <c r="RZV32" s="28">
        <f t="shared" si="285"/>
        <v>0</v>
      </c>
      <c r="RZW32" s="28">
        <f t="shared" si="285"/>
        <v>0</v>
      </c>
      <c r="RZX32" s="28">
        <f t="shared" si="285"/>
        <v>0</v>
      </c>
      <c r="RZY32" s="28">
        <f t="shared" si="285"/>
        <v>0</v>
      </c>
      <c r="RZZ32" s="28">
        <f t="shared" si="285"/>
        <v>0</v>
      </c>
      <c r="SAA32" s="28">
        <f t="shared" si="285"/>
        <v>0</v>
      </c>
      <c r="SAB32" s="28">
        <f t="shared" si="285"/>
        <v>0</v>
      </c>
      <c r="SAC32" s="28">
        <f t="shared" ref="SAC32:SCN32" si="286">IFERROR(SAC31/SAC$4,0)</f>
        <v>0</v>
      </c>
      <c r="SAD32" s="28">
        <f t="shared" si="286"/>
        <v>0</v>
      </c>
      <c r="SAE32" s="28">
        <f t="shared" si="286"/>
        <v>0</v>
      </c>
      <c r="SAF32" s="28">
        <f t="shared" si="286"/>
        <v>0</v>
      </c>
      <c r="SAG32" s="28">
        <f t="shared" si="286"/>
        <v>0</v>
      </c>
      <c r="SAH32" s="28">
        <f t="shared" si="286"/>
        <v>0</v>
      </c>
      <c r="SAI32" s="28">
        <f t="shared" si="286"/>
        <v>0</v>
      </c>
      <c r="SAJ32" s="28">
        <f t="shared" si="286"/>
        <v>0</v>
      </c>
      <c r="SAK32" s="28">
        <f t="shared" si="286"/>
        <v>0</v>
      </c>
      <c r="SAL32" s="28">
        <f t="shared" si="286"/>
        <v>0</v>
      </c>
      <c r="SAM32" s="28">
        <f t="shared" si="286"/>
        <v>0</v>
      </c>
      <c r="SAN32" s="28">
        <f t="shared" si="286"/>
        <v>0</v>
      </c>
      <c r="SAO32" s="28">
        <f t="shared" si="286"/>
        <v>0</v>
      </c>
      <c r="SAP32" s="28">
        <f t="shared" si="286"/>
        <v>0</v>
      </c>
      <c r="SAQ32" s="28">
        <f t="shared" si="286"/>
        <v>0</v>
      </c>
      <c r="SAR32" s="28">
        <f t="shared" si="286"/>
        <v>0</v>
      </c>
      <c r="SAS32" s="28">
        <f t="shared" si="286"/>
        <v>0</v>
      </c>
      <c r="SAT32" s="28">
        <f t="shared" si="286"/>
        <v>0</v>
      </c>
      <c r="SAU32" s="28">
        <f t="shared" si="286"/>
        <v>0</v>
      </c>
      <c r="SAV32" s="28">
        <f t="shared" si="286"/>
        <v>0</v>
      </c>
      <c r="SAW32" s="28">
        <f t="shared" si="286"/>
        <v>0</v>
      </c>
      <c r="SAX32" s="28">
        <f t="shared" si="286"/>
        <v>0</v>
      </c>
      <c r="SAY32" s="28">
        <f t="shared" si="286"/>
        <v>0</v>
      </c>
      <c r="SAZ32" s="28">
        <f t="shared" si="286"/>
        <v>0</v>
      </c>
      <c r="SBA32" s="28">
        <f t="shared" si="286"/>
        <v>0</v>
      </c>
      <c r="SBB32" s="28">
        <f t="shared" si="286"/>
        <v>0</v>
      </c>
      <c r="SBC32" s="28">
        <f t="shared" si="286"/>
        <v>0</v>
      </c>
      <c r="SBD32" s="28">
        <f t="shared" si="286"/>
        <v>0</v>
      </c>
      <c r="SBE32" s="28">
        <f t="shared" si="286"/>
        <v>0</v>
      </c>
      <c r="SBF32" s="28">
        <f t="shared" si="286"/>
        <v>0</v>
      </c>
      <c r="SBG32" s="28">
        <f t="shared" si="286"/>
        <v>0</v>
      </c>
      <c r="SBH32" s="28">
        <f t="shared" si="286"/>
        <v>0</v>
      </c>
      <c r="SBI32" s="28">
        <f t="shared" si="286"/>
        <v>0</v>
      </c>
      <c r="SBJ32" s="28">
        <f t="shared" si="286"/>
        <v>0</v>
      </c>
      <c r="SBK32" s="28">
        <f t="shared" si="286"/>
        <v>0</v>
      </c>
      <c r="SBL32" s="28">
        <f t="shared" si="286"/>
        <v>0</v>
      </c>
      <c r="SBM32" s="28">
        <f t="shared" si="286"/>
        <v>0</v>
      </c>
      <c r="SBN32" s="28">
        <f t="shared" si="286"/>
        <v>0</v>
      </c>
      <c r="SBO32" s="28">
        <f t="shared" si="286"/>
        <v>0</v>
      </c>
      <c r="SBP32" s="28">
        <f t="shared" si="286"/>
        <v>0</v>
      </c>
      <c r="SBQ32" s="28">
        <f t="shared" si="286"/>
        <v>0</v>
      </c>
      <c r="SBR32" s="28">
        <f t="shared" si="286"/>
        <v>0</v>
      </c>
      <c r="SBS32" s="28">
        <f t="shared" si="286"/>
        <v>0</v>
      </c>
      <c r="SBT32" s="28">
        <f t="shared" si="286"/>
        <v>0</v>
      </c>
      <c r="SBU32" s="28">
        <f t="shared" si="286"/>
        <v>0</v>
      </c>
      <c r="SBV32" s="28">
        <f t="shared" si="286"/>
        <v>0</v>
      </c>
      <c r="SBW32" s="28">
        <f t="shared" si="286"/>
        <v>0</v>
      </c>
      <c r="SBX32" s="28">
        <f t="shared" si="286"/>
        <v>0</v>
      </c>
      <c r="SBY32" s="28">
        <f t="shared" si="286"/>
        <v>0</v>
      </c>
      <c r="SBZ32" s="28">
        <f t="shared" si="286"/>
        <v>0</v>
      </c>
      <c r="SCA32" s="28">
        <f t="shared" si="286"/>
        <v>0</v>
      </c>
      <c r="SCB32" s="28">
        <f t="shared" si="286"/>
        <v>0</v>
      </c>
      <c r="SCC32" s="28">
        <f t="shared" si="286"/>
        <v>0</v>
      </c>
      <c r="SCD32" s="28">
        <f t="shared" si="286"/>
        <v>0</v>
      </c>
      <c r="SCE32" s="28">
        <f t="shared" si="286"/>
        <v>0</v>
      </c>
      <c r="SCF32" s="28">
        <f t="shared" si="286"/>
        <v>0</v>
      </c>
      <c r="SCG32" s="28">
        <f t="shared" si="286"/>
        <v>0</v>
      </c>
      <c r="SCH32" s="28">
        <f t="shared" si="286"/>
        <v>0</v>
      </c>
      <c r="SCI32" s="28">
        <f t="shared" si="286"/>
        <v>0</v>
      </c>
      <c r="SCJ32" s="28">
        <f t="shared" si="286"/>
        <v>0</v>
      </c>
      <c r="SCK32" s="28">
        <f t="shared" si="286"/>
        <v>0</v>
      </c>
      <c r="SCL32" s="28">
        <f t="shared" si="286"/>
        <v>0</v>
      </c>
      <c r="SCM32" s="28">
        <f t="shared" si="286"/>
        <v>0</v>
      </c>
      <c r="SCN32" s="28">
        <f t="shared" si="286"/>
        <v>0</v>
      </c>
      <c r="SCO32" s="28">
        <f t="shared" ref="SCO32:SEZ32" si="287">IFERROR(SCO31/SCO$4,0)</f>
        <v>0</v>
      </c>
      <c r="SCP32" s="28">
        <f t="shared" si="287"/>
        <v>0</v>
      </c>
      <c r="SCQ32" s="28">
        <f t="shared" si="287"/>
        <v>0</v>
      </c>
      <c r="SCR32" s="28">
        <f t="shared" si="287"/>
        <v>0</v>
      </c>
      <c r="SCS32" s="28">
        <f t="shared" si="287"/>
        <v>0</v>
      </c>
      <c r="SCT32" s="28">
        <f t="shared" si="287"/>
        <v>0</v>
      </c>
      <c r="SCU32" s="28">
        <f t="shared" si="287"/>
        <v>0</v>
      </c>
      <c r="SCV32" s="28">
        <f t="shared" si="287"/>
        <v>0</v>
      </c>
      <c r="SCW32" s="28">
        <f t="shared" si="287"/>
        <v>0</v>
      </c>
      <c r="SCX32" s="28">
        <f t="shared" si="287"/>
        <v>0</v>
      </c>
      <c r="SCY32" s="28">
        <f t="shared" si="287"/>
        <v>0</v>
      </c>
      <c r="SCZ32" s="28">
        <f t="shared" si="287"/>
        <v>0</v>
      </c>
      <c r="SDA32" s="28">
        <f t="shared" si="287"/>
        <v>0</v>
      </c>
      <c r="SDB32" s="28">
        <f t="shared" si="287"/>
        <v>0</v>
      </c>
      <c r="SDC32" s="28">
        <f t="shared" si="287"/>
        <v>0</v>
      </c>
      <c r="SDD32" s="28">
        <f t="shared" si="287"/>
        <v>0</v>
      </c>
      <c r="SDE32" s="28">
        <f t="shared" si="287"/>
        <v>0</v>
      </c>
      <c r="SDF32" s="28">
        <f t="shared" si="287"/>
        <v>0</v>
      </c>
      <c r="SDG32" s="28">
        <f t="shared" si="287"/>
        <v>0</v>
      </c>
      <c r="SDH32" s="28">
        <f t="shared" si="287"/>
        <v>0</v>
      </c>
      <c r="SDI32" s="28">
        <f t="shared" si="287"/>
        <v>0</v>
      </c>
      <c r="SDJ32" s="28">
        <f t="shared" si="287"/>
        <v>0</v>
      </c>
      <c r="SDK32" s="28">
        <f t="shared" si="287"/>
        <v>0</v>
      </c>
      <c r="SDL32" s="28">
        <f t="shared" si="287"/>
        <v>0</v>
      </c>
      <c r="SDM32" s="28">
        <f t="shared" si="287"/>
        <v>0</v>
      </c>
      <c r="SDN32" s="28">
        <f t="shared" si="287"/>
        <v>0</v>
      </c>
      <c r="SDO32" s="28">
        <f t="shared" si="287"/>
        <v>0</v>
      </c>
      <c r="SDP32" s="28">
        <f t="shared" si="287"/>
        <v>0</v>
      </c>
      <c r="SDQ32" s="28">
        <f t="shared" si="287"/>
        <v>0</v>
      </c>
      <c r="SDR32" s="28">
        <f t="shared" si="287"/>
        <v>0</v>
      </c>
      <c r="SDS32" s="28">
        <f t="shared" si="287"/>
        <v>0</v>
      </c>
      <c r="SDT32" s="28">
        <f t="shared" si="287"/>
        <v>0</v>
      </c>
      <c r="SDU32" s="28">
        <f t="shared" si="287"/>
        <v>0</v>
      </c>
      <c r="SDV32" s="28">
        <f t="shared" si="287"/>
        <v>0</v>
      </c>
      <c r="SDW32" s="28">
        <f t="shared" si="287"/>
        <v>0</v>
      </c>
      <c r="SDX32" s="28">
        <f t="shared" si="287"/>
        <v>0</v>
      </c>
      <c r="SDY32" s="28">
        <f t="shared" si="287"/>
        <v>0</v>
      </c>
      <c r="SDZ32" s="28">
        <f t="shared" si="287"/>
        <v>0</v>
      </c>
      <c r="SEA32" s="28">
        <f t="shared" si="287"/>
        <v>0</v>
      </c>
      <c r="SEB32" s="28">
        <f t="shared" si="287"/>
        <v>0</v>
      </c>
      <c r="SEC32" s="28">
        <f t="shared" si="287"/>
        <v>0</v>
      </c>
      <c r="SED32" s="28">
        <f t="shared" si="287"/>
        <v>0</v>
      </c>
      <c r="SEE32" s="28">
        <f t="shared" si="287"/>
        <v>0</v>
      </c>
      <c r="SEF32" s="28">
        <f t="shared" si="287"/>
        <v>0</v>
      </c>
      <c r="SEG32" s="28">
        <f t="shared" si="287"/>
        <v>0</v>
      </c>
      <c r="SEH32" s="28">
        <f t="shared" si="287"/>
        <v>0</v>
      </c>
      <c r="SEI32" s="28">
        <f t="shared" si="287"/>
        <v>0</v>
      </c>
      <c r="SEJ32" s="28">
        <f t="shared" si="287"/>
        <v>0</v>
      </c>
      <c r="SEK32" s="28">
        <f t="shared" si="287"/>
        <v>0</v>
      </c>
      <c r="SEL32" s="28">
        <f t="shared" si="287"/>
        <v>0</v>
      </c>
      <c r="SEM32" s="28">
        <f t="shared" si="287"/>
        <v>0</v>
      </c>
      <c r="SEN32" s="28">
        <f t="shared" si="287"/>
        <v>0</v>
      </c>
      <c r="SEO32" s="28">
        <f t="shared" si="287"/>
        <v>0</v>
      </c>
      <c r="SEP32" s="28">
        <f t="shared" si="287"/>
        <v>0</v>
      </c>
      <c r="SEQ32" s="28">
        <f t="shared" si="287"/>
        <v>0</v>
      </c>
      <c r="SER32" s="28">
        <f t="shared" si="287"/>
        <v>0</v>
      </c>
      <c r="SES32" s="28">
        <f t="shared" si="287"/>
        <v>0</v>
      </c>
      <c r="SET32" s="28">
        <f t="shared" si="287"/>
        <v>0</v>
      </c>
      <c r="SEU32" s="28">
        <f t="shared" si="287"/>
        <v>0</v>
      </c>
      <c r="SEV32" s="28">
        <f t="shared" si="287"/>
        <v>0</v>
      </c>
      <c r="SEW32" s="28">
        <f t="shared" si="287"/>
        <v>0</v>
      </c>
      <c r="SEX32" s="28">
        <f t="shared" si="287"/>
        <v>0</v>
      </c>
      <c r="SEY32" s="28">
        <f t="shared" si="287"/>
        <v>0</v>
      </c>
      <c r="SEZ32" s="28">
        <f t="shared" si="287"/>
        <v>0</v>
      </c>
      <c r="SFA32" s="28">
        <f t="shared" ref="SFA32:SHL32" si="288">IFERROR(SFA31/SFA$4,0)</f>
        <v>0</v>
      </c>
      <c r="SFB32" s="28">
        <f t="shared" si="288"/>
        <v>0</v>
      </c>
      <c r="SFC32" s="28">
        <f t="shared" si="288"/>
        <v>0</v>
      </c>
      <c r="SFD32" s="28">
        <f t="shared" si="288"/>
        <v>0</v>
      </c>
      <c r="SFE32" s="28">
        <f t="shared" si="288"/>
        <v>0</v>
      </c>
      <c r="SFF32" s="28">
        <f t="shared" si="288"/>
        <v>0</v>
      </c>
      <c r="SFG32" s="28">
        <f t="shared" si="288"/>
        <v>0</v>
      </c>
      <c r="SFH32" s="28">
        <f t="shared" si="288"/>
        <v>0</v>
      </c>
      <c r="SFI32" s="28">
        <f t="shared" si="288"/>
        <v>0</v>
      </c>
      <c r="SFJ32" s="28">
        <f t="shared" si="288"/>
        <v>0</v>
      </c>
      <c r="SFK32" s="28">
        <f t="shared" si="288"/>
        <v>0</v>
      </c>
      <c r="SFL32" s="28">
        <f t="shared" si="288"/>
        <v>0</v>
      </c>
      <c r="SFM32" s="28">
        <f t="shared" si="288"/>
        <v>0</v>
      </c>
      <c r="SFN32" s="28">
        <f t="shared" si="288"/>
        <v>0</v>
      </c>
      <c r="SFO32" s="28">
        <f t="shared" si="288"/>
        <v>0</v>
      </c>
      <c r="SFP32" s="28">
        <f t="shared" si="288"/>
        <v>0</v>
      </c>
      <c r="SFQ32" s="28">
        <f t="shared" si="288"/>
        <v>0</v>
      </c>
      <c r="SFR32" s="28">
        <f t="shared" si="288"/>
        <v>0</v>
      </c>
      <c r="SFS32" s="28">
        <f t="shared" si="288"/>
        <v>0</v>
      </c>
      <c r="SFT32" s="28">
        <f t="shared" si="288"/>
        <v>0</v>
      </c>
      <c r="SFU32" s="28">
        <f t="shared" si="288"/>
        <v>0</v>
      </c>
      <c r="SFV32" s="28">
        <f t="shared" si="288"/>
        <v>0</v>
      </c>
      <c r="SFW32" s="28">
        <f t="shared" si="288"/>
        <v>0</v>
      </c>
      <c r="SFX32" s="28">
        <f t="shared" si="288"/>
        <v>0</v>
      </c>
      <c r="SFY32" s="28">
        <f t="shared" si="288"/>
        <v>0</v>
      </c>
      <c r="SFZ32" s="28">
        <f t="shared" si="288"/>
        <v>0</v>
      </c>
      <c r="SGA32" s="28">
        <f t="shared" si="288"/>
        <v>0</v>
      </c>
      <c r="SGB32" s="28">
        <f t="shared" si="288"/>
        <v>0</v>
      </c>
      <c r="SGC32" s="28">
        <f t="shared" si="288"/>
        <v>0</v>
      </c>
      <c r="SGD32" s="28">
        <f t="shared" si="288"/>
        <v>0</v>
      </c>
      <c r="SGE32" s="28">
        <f t="shared" si="288"/>
        <v>0</v>
      </c>
      <c r="SGF32" s="28">
        <f t="shared" si="288"/>
        <v>0</v>
      </c>
      <c r="SGG32" s="28">
        <f t="shared" si="288"/>
        <v>0</v>
      </c>
      <c r="SGH32" s="28">
        <f t="shared" si="288"/>
        <v>0</v>
      </c>
      <c r="SGI32" s="28">
        <f t="shared" si="288"/>
        <v>0</v>
      </c>
      <c r="SGJ32" s="28">
        <f t="shared" si="288"/>
        <v>0</v>
      </c>
      <c r="SGK32" s="28">
        <f t="shared" si="288"/>
        <v>0</v>
      </c>
      <c r="SGL32" s="28">
        <f t="shared" si="288"/>
        <v>0</v>
      </c>
      <c r="SGM32" s="28">
        <f t="shared" si="288"/>
        <v>0</v>
      </c>
      <c r="SGN32" s="28">
        <f t="shared" si="288"/>
        <v>0</v>
      </c>
      <c r="SGO32" s="28">
        <f t="shared" si="288"/>
        <v>0</v>
      </c>
      <c r="SGP32" s="28">
        <f t="shared" si="288"/>
        <v>0</v>
      </c>
      <c r="SGQ32" s="28">
        <f t="shared" si="288"/>
        <v>0</v>
      </c>
      <c r="SGR32" s="28">
        <f t="shared" si="288"/>
        <v>0</v>
      </c>
      <c r="SGS32" s="28">
        <f t="shared" si="288"/>
        <v>0</v>
      </c>
      <c r="SGT32" s="28">
        <f t="shared" si="288"/>
        <v>0</v>
      </c>
      <c r="SGU32" s="28">
        <f t="shared" si="288"/>
        <v>0</v>
      </c>
      <c r="SGV32" s="28">
        <f t="shared" si="288"/>
        <v>0</v>
      </c>
      <c r="SGW32" s="28">
        <f t="shared" si="288"/>
        <v>0</v>
      </c>
      <c r="SGX32" s="28">
        <f t="shared" si="288"/>
        <v>0</v>
      </c>
      <c r="SGY32" s="28">
        <f t="shared" si="288"/>
        <v>0</v>
      </c>
      <c r="SGZ32" s="28">
        <f t="shared" si="288"/>
        <v>0</v>
      </c>
      <c r="SHA32" s="28">
        <f t="shared" si="288"/>
        <v>0</v>
      </c>
      <c r="SHB32" s="28">
        <f t="shared" si="288"/>
        <v>0</v>
      </c>
      <c r="SHC32" s="28">
        <f t="shared" si="288"/>
        <v>0</v>
      </c>
      <c r="SHD32" s="28">
        <f t="shared" si="288"/>
        <v>0</v>
      </c>
      <c r="SHE32" s="28">
        <f t="shared" si="288"/>
        <v>0</v>
      </c>
      <c r="SHF32" s="28">
        <f t="shared" si="288"/>
        <v>0</v>
      </c>
      <c r="SHG32" s="28">
        <f t="shared" si="288"/>
        <v>0</v>
      </c>
      <c r="SHH32" s="28">
        <f t="shared" si="288"/>
        <v>0</v>
      </c>
      <c r="SHI32" s="28">
        <f t="shared" si="288"/>
        <v>0</v>
      </c>
      <c r="SHJ32" s="28">
        <f t="shared" si="288"/>
        <v>0</v>
      </c>
      <c r="SHK32" s="28">
        <f t="shared" si="288"/>
        <v>0</v>
      </c>
      <c r="SHL32" s="28">
        <f t="shared" si="288"/>
        <v>0</v>
      </c>
      <c r="SHM32" s="28">
        <f t="shared" ref="SHM32:SJX32" si="289">IFERROR(SHM31/SHM$4,0)</f>
        <v>0</v>
      </c>
      <c r="SHN32" s="28">
        <f t="shared" si="289"/>
        <v>0</v>
      </c>
      <c r="SHO32" s="28">
        <f t="shared" si="289"/>
        <v>0</v>
      </c>
      <c r="SHP32" s="28">
        <f t="shared" si="289"/>
        <v>0</v>
      </c>
      <c r="SHQ32" s="28">
        <f t="shared" si="289"/>
        <v>0</v>
      </c>
      <c r="SHR32" s="28">
        <f t="shared" si="289"/>
        <v>0</v>
      </c>
      <c r="SHS32" s="28">
        <f t="shared" si="289"/>
        <v>0</v>
      </c>
      <c r="SHT32" s="28">
        <f t="shared" si="289"/>
        <v>0</v>
      </c>
      <c r="SHU32" s="28">
        <f t="shared" si="289"/>
        <v>0</v>
      </c>
      <c r="SHV32" s="28">
        <f t="shared" si="289"/>
        <v>0</v>
      </c>
      <c r="SHW32" s="28">
        <f t="shared" si="289"/>
        <v>0</v>
      </c>
      <c r="SHX32" s="28">
        <f t="shared" si="289"/>
        <v>0</v>
      </c>
      <c r="SHY32" s="28">
        <f t="shared" si="289"/>
        <v>0</v>
      </c>
      <c r="SHZ32" s="28">
        <f t="shared" si="289"/>
        <v>0</v>
      </c>
      <c r="SIA32" s="28">
        <f t="shared" si="289"/>
        <v>0</v>
      </c>
      <c r="SIB32" s="28">
        <f t="shared" si="289"/>
        <v>0</v>
      </c>
      <c r="SIC32" s="28">
        <f t="shared" si="289"/>
        <v>0</v>
      </c>
      <c r="SID32" s="28">
        <f t="shared" si="289"/>
        <v>0</v>
      </c>
      <c r="SIE32" s="28">
        <f t="shared" si="289"/>
        <v>0</v>
      </c>
      <c r="SIF32" s="28">
        <f t="shared" si="289"/>
        <v>0</v>
      </c>
      <c r="SIG32" s="28">
        <f t="shared" si="289"/>
        <v>0</v>
      </c>
      <c r="SIH32" s="28">
        <f t="shared" si="289"/>
        <v>0</v>
      </c>
      <c r="SII32" s="28">
        <f t="shared" si="289"/>
        <v>0</v>
      </c>
      <c r="SIJ32" s="28">
        <f t="shared" si="289"/>
        <v>0</v>
      </c>
      <c r="SIK32" s="28">
        <f t="shared" si="289"/>
        <v>0</v>
      </c>
      <c r="SIL32" s="28">
        <f t="shared" si="289"/>
        <v>0</v>
      </c>
      <c r="SIM32" s="28">
        <f t="shared" si="289"/>
        <v>0</v>
      </c>
      <c r="SIN32" s="28">
        <f t="shared" si="289"/>
        <v>0</v>
      </c>
      <c r="SIO32" s="28">
        <f t="shared" si="289"/>
        <v>0</v>
      </c>
      <c r="SIP32" s="28">
        <f t="shared" si="289"/>
        <v>0</v>
      </c>
      <c r="SIQ32" s="28">
        <f t="shared" si="289"/>
        <v>0</v>
      </c>
      <c r="SIR32" s="28">
        <f t="shared" si="289"/>
        <v>0</v>
      </c>
      <c r="SIS32" s="28">
        <f t="shared" si="289"/>
        <v>0</v>
      </c>
      <c r="SIT32" s="28">
        <f t="shared" si="289"/>
        <v>0</v>
      </c>
      <c r="SIU32" s="28">
        <f t="shared" si="289"/>
        <v>0</v>
      </c>
      <c r="SIV32" s="28">
        <f t="shared" si="289"/>
        <v>0</v>
      </c>
      <c r="SIW32" s="28">
        <f t="shared" si="289"/>
        <v>0</v>
      </c>
      <c r="SIX32" s="28">
        <f t="shared" si="289"/>
        <v>0</v>
      </c>
      <c r="SIY32" s="28">
        <f t="shared" si="289"/>
        <v>0</v>
      </c>
      <c r="SIZ32" s="28">
        <f t="shared" si="289"/>
        <v>0</v>
      </c>
      <c r="SJA32" s="28">
        <f t="shared" si="289"/>
        <v>0</v>
      </c>
      <c r="SJB32" s="28">
        <f t="shared" si="289"/>
        <v>0</v>
      </c>
      <c r="SJC32" s="28">
        <f t="shared" si="289"/>
        <v>0</v>
      </c>
      <c r="SJD32" s="28">
        <f t="shared" si="289"/>
        <v>0</v>
      </c>
      <c r="SJE32" s="28">
        <f t="shared" si="289"/>
        <v>0</v>
      </c>
      <c r="SJF32" s="28">
        <f t="shared" si="289"/>
        <v>0</v>
      </c>
      <c r="SJG32" s="28">
        <f t="shared" si="289"/>
        <v>0</v>
      </c>
      <c r="SJH32" s="28">
        <f t="shared" si="289"/>
        <v>0</v>
      </c>
      <c r="SJI32" s="28">
        <f t="shared" si="289"/>
        <v>0</v>
      </c>
      <c r="SJJ32" s="28">
        <f t="shared" si="289"/>
        <v>0</v>
      </c>
      <c r="SJK32" s="28">
        <f t="shared" si="289"/>
        <v>0</v>
      </c>
      <c r="SJL32" s="28">
        <f t="shared" si="289"/>
        <v>0</v>
      </c>
      <c r="SJM32" s="28">
        <f t="shared" si="289"/>
        <v>0</v>
      </c>
      <c r="SJN32" s="28">
        <f t="shared" si="289"/>
        <v>0</v>
      </c>
      <c r="SJO32" s="28">
        <f t="shared" si="289"/>
        <v>0</v>
      </c>
      <c r="SJP32" s="28">
        <f t="shared" si="289"/>
        <v>0</v>
      </c>
      <c r="SJQ32" s="28">
        <f t="shared" si="289"/>
        <v>0</v>
      </c>
      <c r="SJR32" s="28">
        <f t="shared" si="289"/>
        <v>0</v>
      </c>
      <c r="SJS32" s="28">
        <f t="shared" si="289"/>
        <v>0</v>
      </c>
      <c r="SJT32" s="28">
        <f t="shared" si="289"/>
        <v>0</v>
      </c>
      <c r="SJU32" s="28">
        <f t="shared" si="289"/>
        <v>0</v>
      </c>
      <c r="SJV32" s="28">
        <f t="shared" si="289"/>
        <v>0</v>
      </c>
      <c r="SJW32" s="28">
        <f t="shared" si="289"/>
        <v>0</v>
      </c>
      <c r="SJX32" s="28">
        <f t="shared" si="289"/>
        <v>0</v>
      </c>
      <c r="SJY32" s="28">
        <f t="shared" ref="SJY32:SMJ32" si="290">IFERROR(SJY31/SJY$4,0)</f>
        <v>0</v>
      </c>
      <c r="SJZ32" s="28">
        <f t="shared" si="290"/>
        <v>0</v>
      </c>
      <c r="SKA32" s="28">
        <f t="shared" si="290"/>
        <v>0</v>
      </c>
      <c r="SKB32" s="28">
        <f t="shared" si="290"/>
        <v>0</v>
      </c>
      <c r="SKC32" s="28">
        <f t="shared" si="290"/>
        <v>0</v>
      </c>
      <c r="SKD32" s="28">
        <f t="shared" si="290"/>
        <v>0</v>
      </c>
      <c r="SKE32" s="28">
        <f t="shared" si="290"/>
        <v>0</v>
      </c>
      <c r="SKF32" s="28">
        <f t="shared" si="290"/>
        <v>0</v>
      </c>
      <c r="SKG32" s="28">
        <f t="shared" si="290"/>
        <v>0</v>
      </c>
      <c r="SKH32" s="28">
        <f t="shared" si="290"/>
        <v>0</v>
      </c>
      <c r="SKI32" s="28">
        <f t="shared" si="290"/>
        <v>0</v>
      </c>
      <c r="SKJ32" s="28">
        <f t="shared" si="290"/>
        <v>0</v>
      </c>
      <c r="SKK32" s="28">
        <f t="shared" si="290"/>
        <v>0</v>
      </c>
      <c r="SKL32" s="28">
        <f t="shared" si="290"/>
        <v>0</v>
      </c>
      <c r="SKM32" s="28">
        <f t="shared" si="290"/>
        <v>0</v>
      </c>
      <c r="SKN32" s="28">
        <f t="shared" si="290"/>
        <v>0</v>
      </c>
      <c r="SKO32" s="28">
        <f t="shared" si="290"/>
        <v>0</v>
      </c>
      <c r="SKP32" s="28">
        <f t="shared" si="290"/>
        <v>0</v>
      </c>
      <c r="SKQ32" s="28">
        <f t="shared" si="290"/>
        <v>0</v>
      </c>
      <c r="SKR32" s="28">
        <f t="shared" si="290"/>
        <v>0</v>
      </c>
      <c r="SKS32" s="28">
        <f t="shared" si="290"/>
        <v>0</v>
      </c>
      <c r="SKT32" s="28">
        <f t="shared" si="290"/>
        <v>0</v>
      </c>
      <c r="SKU32" s="28">
        <f t="shared" si="290"/>
        <v>0</v>
      </c>
      <c r="SKV32" s="28">
        <f t="shared" si="290"/>
        <v>0</v>
      </c>
      <c r="SKW32" s="28">
        <f t="shared" si="290"/>
        <v>0</v>
      </c>
      <c r="SKX32" s="28">
        <f t="shared" si="290"/>
        <v>0</v>
      </c>
      <c r="SKY32" s="28">
        <f t="shared" si="290"/>
        <v>0</v>
      </c>
      <c r="SKZ32" s="28">
        <f t="shared" si="290"/>
        <v>0</v>
      </c>
      <c r="SLA32" s="28">
        <f t="shared" si="290"/>
        <v>0</v>
      </c>
      <c r="SLB32" s="28">
        <f t="shared" si="290"/>
        <v>0</v>
      </c>
      <c r="SLC32" s="28">
        <f t="shared" si="290"/>
        <v>0</v>
      </c>
      <c r="SLD32" s="28">
        <f t="shared" si="290"/>
        <v>0</v>
      </c>
      <c r="SLE32" s="28">
        <f t="shared" si="290"/>
        <v>0</v>
      </c>
      <c r="SLF32" s="28">
        <f t="shared" si="290"/>
        <v>0</v>
      </c>
      <c r="SLG32" s="28">
        <f t="shared" si="290"/>
        <v>0</v>
      </c>
      <c r="SLH32" s="28">
        <f t="shared" si="290"/>
        <v>0</v>
      </c>
      <c r="SLI32" s="28">
        <f t="shared" si="290"/>
        <v>0</v>
      </c>
      <c r="SLJ32" s="28">
        <f t="shared" si="290"/>
        <v>0</v>
      </c>
      <c r="SLK32" s="28">
        <f t="shared" si="290"/>
        <v>0</v>
      </c>
      <c r="SLL32" s="28">
        <f t="shared" si="290"/>
        <v>0</v>
      </c>
      <c r="SLM32" s="28">
        <f t="shared" si="290"/>
        <v>0</v>
      </c>
      <c r="SLN32" s="28">
        <f t="shared" si="290"/>
        <v>0</v>
      </c>
      <c r="SLO32" s="28">
        <f t="shared" si="290"/>
        <v>0</v>
      </c>
      <c r="SLP32" s="28">
        <f t="shared" si="290"/>
        <v>0</v>
      </c>
      <c r="SLQ32" s="28">
        <f t="shared" si="290"/>
        <v>0</v>
      </c>
      <c r="SLR32" s="28">
        <f t="shared" si="290"/>
        <v>0</v>
      </c>
      <c r="SLS32" s="28">
        <f t="shared" si="290"/>
        <v>0</v>
      </c>
      <c r="SLT32" s="28">
        <f t="shared" si="290"/>
        <v>0</v>
      </c>
      <c r="SLU32" s="28">
        <f t="shared" si="290"/>
        <v>0</v>
      </c>
      <c r="SLV32" s="28">
        <f t="shared" si="290"/>
        <v>0</v>
      </c>
      <c r="SLW32" s="28">
        <f t="shared" si="290"/>
        <v>0</v>
      </c>
      <c r="SLX32" s="28">
        <f t="shared" si="290"/>
        <v>0</v>
      </c>
      <c r="SLY32" s="28">
        <f t="shared" si="290"/>
        <v>0</v>
      </c>
      <c r="SLZ32" s="28">
        <f t="shared" si="290"/>
        <v>0</v>
      </c>
      <c r="SMA32" s="28">
        <f t="shared" si="290"/>
        <v>0</v>
      </c>
      <c r="SMB32" s="28">
        <f t="shared" si="290"/>
        <v>0</v>
      </c>
      <c r="SMC32" s="28">
        <f t="shared" si="290"/>
        <v>0</v>
      </c>
      <c r="SMD32" s="28">
        <f t="shared" si="290"/>
        <v>0</v>
      </c>
      <c r="SME32" s="28">
        <f t="shared" si="290"/>
        <v>0</v>
      </c>
      <c r="SMF32" s="28">
        <f t="shared" si="290"/>
        <v>0</v>
      </c>
      <c r="SMG32" s="28">
        <f t="shared" si="290"/>
        <v>0</v>
      </c>
      <c r="SMH32" s="28">
        <f t="shared" si="290"/>
        <v>0</v>
      </c>
      <c r="SMI32" s="28">
        <f t="shared" si="290"/>
        <v>0</v>
      </c>
      <c r="SMJ32" s="28">
        <f t="shared" si="290"/>
        <v>0</v>
      </c>
      <c r="SMK32" s="28">
        <f t="shared" ref="SMK32:SOV32" si="291">IFERROR(SMK31/SMK$4,0)</f>
        <v>0</v>
      </c>
      <c r="SML32" s="28">
        <f t="shared" si="291"/>
        <v>0</v>
      </c>
      <c r="SMM32" s="28">
        <f t="shared" si="291"/>
        <v>0</v>
      </c>
      <c r="SMN32" s="28">
        <f t="shared" si="291"/>
        <v>0</v>
      </c>
      <c r="SMO32" s="28">
        <f t="shared" si="291"/>
        <v>0</v>
      </c>
      <c r="SMP32" s="28">
        <f t="shared" si="291"/>
        <v>0</v>
      </c>
      <c r="SMQ32" s="28">
        <f t="shared" si="291"/>
        <v>0</v>
      </c>
      <c r="SMR32" s="28">
        <f t="shared" si="291"/>
        <v>0</v>
      </c>
      <c r="SMS32" s="28">
        <f t="shared" si="291"/>
        <v>0</v>
      </c>
      <c r="SMT32" s="28">
        <f t="shared" si="291"/>
        <v>0</v>
      </c>
      <c r="SMU32" s="28">
        <f t="shared" si="291"/>
        <v>0</v>
      </c>
      <c r="SMV32" s="28">
        <f t="shared" si="291"/>
        <v>0</v>
      </c>
      <c r="SMW32" s="28">
        <f t="shared" si="291"/>
        <v>0</v>
      </c>
      <c r="SMX32" s="28">
        <f t="shared" si="291"/>
        <v>0</v>
      </c>
      <c r="SMY32" s="28">
        <f t="shared" si="291"/>
        <v>0</v>
      </c>
      <c r="SMZ32" s="28">
        <f t="shared" si="291"/>
        <v>0</v>
      </c>
      <c r="SNA32" s="28">
        <f t="shared" si="291"/>
        <v>0</v>
      </c>
      <c r="SNB32" s="28">
        <f t="shared" si="291"/>
        <v>0</v>
      </c>
      <c r="SNC32" s="28">
        <f t="shared" si="291"/>
        <v>0</v>
      </c>
      <c r="SND32" s="28">
        <f t="shared" si="291"/>
        <v>0</v>
      </c>
      <c r="SNE32" s="28">
        <f t="shared" si="291"/>
        <v>0</v>
      </c>
      <c r="SNF32" s="28">
        <f t="shared" si="291"/>
        <v>0</v>
      </c>
      <c r="SNG32" s="28">
        <f t="shared" si="291"/>
        <v>0</v>
      </c>
      <c r="SNH32" s="28">
        <f t="shared" si="291"/>
        <v>0</v>
      </c>
      <c r="SNI32" s="28">
        <f t="shared" si="291"/>
        <v>0</v>
      </c>
      <c r="SNJ32" s="28">
        <f t="shared" si="291"/>
        <v>0</v>
      </c>
      <c r="SNK32" s="28">
        <f t="shared" si="291"/>
        <v>0</v>
      </c>
      <c r="SNL32" s="28">
        <f t="shared" si="291"/>
        <v>0</v>
      </c>
      <c r="SNM32" s="28">
        <f t="shared" si="291"/>
        <v>0</v>
      </c>
      <c r="SNN32" s="28">
        <f t="shared" si="291"/>
        <v>0</v>
      </c>
      <c r="SNO32" s="28">
        <f t="shared" si="291"/>
        <v>0</v>
      </c>
      <c r="SNP32" s="28">
        <f t="shared" si="291"/>
        <v>0</v>
      </c>
      <c r="SNQ32" s="28">
        <f t="shared" si="291"/>
        <v>0</v>
      </c>
      <c r="SNR32" s="28">
        <f t="shared" si="291"/>
        <v>0</v>
      </c>
      <c r="SNS32" s="28">
        <f t="shared" si="291"/>
        <v>0</v>
      </c>
      <c r="SNT32" s="28">
        <f t="shared" si="291"/>
        <v>0</v>
      </c>
      <c r="SNU32" s="28">
        <f t="shared" si="291"/>
        <v>0</v>
      </c>
      <c r="SNV32" s="28">
        <f t="shared" si="291"/>
        <v>0</v>
      </c>
      <c r="SNW32" s="28">
        <f t="shared" si="291"/>
        <v>0</v>
      </c>
      <c r="SNX32" s="28">
        <f t="shared" si="291"/>
        <v>0</v>
      </c>
      <c r="SNY32" s="28">
        <f t="shared" si="291"/>
        <v>0</v>
      </c>
      <c r="SNZ32" s="28">
        <f t="shared" si="291"/>
        <v>0</v>
      </c>
      <c r="SOA32" s="28">
        <f t="shared" si="291"/>
        <v>0</v>
      </c>
      <c r="SOB32" s="28">
        <f t="shared" si="291"/>
        <v>0</v>
      </c>
      <c r="SOC32" s="28">
        <f t="shared" si="291"/>
        <v>0</v>
      </c>
      <c r="SOD32" s="28">
        <f t="shared" si="291"/>
        <v>0</v>
      </c>
      <c r="SOE32" s="28">
        <f t="shared" si="291"/>
        <v>0</v>
      </c>
      <c r="SOF32" s="28">
        <f t="shared" si="291"/>
        <v>0</v>
      </c>
      <c r="SOG32" s="28">
        <f t="shared" si="291"/>
        <v>0</v>
      </c>
      <c r="SOH32" s="28">
        <f t="shared" si="291"/>
        <v>0</v>
      </c>
      <c r="SOI32" s="28">
        <f t="shared" si="291"/>
        <v>0</v>
      </c>
      <c r="SOJ32" s="28">
        <f t="shared" si="291"/>
        <v>0</v>
      </c>
      <c r="SOK32" s="28">
        <f t="shared" si="291"/>
        <v>0</v>
      </c>
      <c r="SOL32" s="28">
        <f t="shared" si="291"/>
        <v>0</v>
      </c>
      <c r="SOM32" s="28">
        <f t="shared" si="291"/>
        <v>0</v>
      </c>
      <c r="SON32" s="28">
        <f t="shared" si="291"/>
        <v>0</v>
      </c>
      <c r="SOO32" s="28">
        <f t="shared" si="291"/>
        <v>0</v>
      </c>
      <c r="SOP32" s="28">
        <f t="shared" si="291"/>
        <v>0</v>
      </c>
      <c r="SOQ32" s="28">
        <f t="shared" si="291"/>
        <v>0</v>
      </c>
      <c r="SOR32" s="28">
        <f t="shared" si="291"/>
        <v>0</v>
      </c>
      <c r="SOS32" s="28">
        <f t="shared" si="291"/>
        <v>0</v>
      </c>
      <c r="SOT32" s="28">
        <f t="shared" si="291"/>
        <v>0</v>
      </c>
      <c r="SOU32" s="28">
        <f t="shared" si="291"/>
        <v>0</v>
      </c>
      <c r="SOV32" s="28">
        <f t="shared" si="291"/>
        <v>0</v>
      </c>
      <c r="SOW32" s="28">
        <f t="shared" ref="SOW32:SRH32" si="292">IFERROR(SOW31/SOW$4,0)</f>
        <v>0</v>
      </c>
      <c r="SOX32" s="28">
        <f t="shared" si="292"/>
        <v>0</v>
      </c>
      <c r="SOY32" s="28">
        <f t="shared" si="292"/>
        <v>0</v>
      </c>
      <c r="SOZ32" s="28">
        <f t="shared" si="292"/>
        <v>0</v>
      </c>
      <c r="SPA32" s="28">
        <f t="shared" si="292"/>
        <v>0</v>
      </c>
      <c r="SPB32" s="28">
        <f t="shared" si="292"/>
        <v>0</v>
      </c>
      <c r="SPC32" s="28">
        <f t="shared" si="292"/>
        <v>0</v>
      </c>
      <c r="SPD32" s="28">
        <f t="shared" si="292"/>
        <v>0</v>
      </c>
      <c r="SPE32" s="28">
        <f t="shared" si="292"/>
        <v>0</v>
      </c>
      <c r="SPF32" s="28">
        <f t="shared" si="292"/>
        <v>0</v>
      </c>
      <c r="SPG32" s="28">
        <f t="shared" si="292"/>
        <v>0</v>
      </c>
      <c r="SPH32" s="28">
        <f t="shared" si="292"/>
        <v>0</v>
      </c>
      <c r="SPI32" s="28">
        <f t="shared" si="292"/>
        <v>0</v>
      </c>
      <c r="SPJ32" s="28">
        <f t="shared" si="292"/>
        <v>0</v>
      </c>
      <c r="SPK32" s="28">
        <f t="shared" si="292"/>
        <v>0</v>
      </c>
      <c r="SPL32" s="28">
        <f t="shared" si="292"/>
        <v>0</v>
      </c>
      <c r="SPM32" s="28">
        <f t="shared" si="292"/>
        <v>0</v>
      </c>
      <c r="SPN32" s="28">
        <f t="shared" si="292"/>
        <v>0</v>
      </c>
      <c r="SPO32" s="28">
        <f t="shared" si="292"/>
        <v>0</v>
      </c>
      <c r="SPP32" s="28">
        <f t="shared" si="292"/>
        <v>0</v>
      </c>
      <c r="SPQ32" s="28">
        <f t="shared" si="292"/>
        <v>0</v>
      </c>
      <c r="SPR32" s="28">
        <f t="shared" si="292"/>
        <v>0</v>
      </c>
      <c r="SPS32" s="28">
        <f t="shared" si="292"/>
        <v>0</v>
      </c>
      <c r="SPT32" s="28">
        <f t="shared" si="292"/>
        <v>0</v>
      </c>
      <c r="SPU32" s="28">
        <f t="shared" si="292"/>
        <v>0</v>
      </c>
      <c r="SPV32" s="28">
        <f t="shared" si="292"/>
        <v>0</v>
      </c>
      <c r="SPW32" s="28">
        <f t="shared" si="292"/>
        <v>0</v>
      </c>
      <c r="SPX32" s="28">
        <f t="shared" si="292"/>
        <v>0</v>
      </c>
      <c r="SPY32" s="28">
        <f t="shared" si="292"/>
        <v>0</v>
      </c>
      <c r="SPZ32" s="28">
        <f t="shared" si="292"/>
        <v>0</v>
      </c>
      <c r="SQA32" s="28">
        <f t="shared" si="292"/>
        <v>0</v>
      </c>
      <c r="SQB32" s="28">
        <f t="shared" si="292"/>
        <v>0</v>
      </c>
      <c r="SQC32" s="28">
        <f t="shared" si="292"/>
        <v>0</v>
      </c>
      <c r="SQD32" s="28">
        <f t="shared" si="292"/>
        <v>0</v>
      </c>
      <c r="SQE32" s="28">
        <f t="shared" si="292"/>
        <v>0</v>
      </c>
      <c r="SQF32" s="28">
        <f t="shared" si="292"/>
        <v>0</v>
      </c>
      <c r="SQG32" s="28">
        <f t="shared" si="292"/>
        <v>0</v>
      </c>
      <c r="SQH32" s="28">
        <f t="shared" si="292"/>
        <v>0</v>
      </c>
      <c r="SQI32" s="28">
        <f t="shared" si="292"/>
        <v>0</v>
      </c>
      <c r="SQJ32" s="28">
        <f t="shared" si="292"/>
        <v>0</v>
      </c>
      <c r="SQK32" s="28">
        <f t="shared" si="292"/>
        <v>0</v>
      </c>
      <c r="SQL32" s="28">
        <f t="shared" si="292"/>
        <v>0</v>
      </c>
      <c r="SQM32" s="28">
        <f t="shared" si="292"/>
        <v>0</v>
      </c>
      <c r="SQN32" s="28">
        <f t="shared" si="292"/>
        <v>0</v>
      </c>
      <c r="SQO32" s="28">
        <f t="shared" si="292"/>
        <v>0</v>
      </c>
      <c r="SQP32" s="28">
        <f t="shared" si="292"/>
        <v>0</v>
      </c>
      <c r="SQQ32" s="28">
        <f t="shared" si="292"/>
        <v>0</v>
      </c>
      <c r="SQR32" s="28">
        <f t="shared" si="292"/>
        <v>0</v>
      </c>
      <c r="SQS32" s="28">
        <f t="shared" si="292"/>
        <v>0</v>
      </c>
      <c r="SQT32" s="28">
        <f t="shared" si="292"/>
        <v>0</v>
      </c>
      <c r="SQU32" s="28">
        <f t="shared" si="292"/>
        <v>0</v>
      </c>
      <c r="SQV32" s="28">
        <f t="shared" si="292"/>
        <v>0</v>
      </c>
      <c r="SQW32" s="28">
        <f t="shared" si="292"/>
        <v>0</v>
      </c>
      <c r="SQX32" s="28">
        <f t="shared" si="292"/>
        <v>0</v>
      </c>
      <c r="SQY32" s="28">
        <f t="shared" si="292"/>
        <v>0</v>
      </c>
      <c r="SQZ32" s="28">
        <f t="shared" si="292"/>
        <v>0</v>
      </c>
      <c r="SRA32" s="28">
        <f t="shared" si="292"/>
        <v>0</v>
      </c>
      <c r="SRB32" s="28">
        <f t="shared" si="292"/>
        <v>0</v>
      </c>
      <c r="SRC32" s="28">
        <f t="shared" si="292"/>
        <v>0</v>
      </c>
      <c r="SRD32" s="28">
        <f t="shared" si="292"/>
        <v>0</v>
      </c>
      <c r="SRE32" s="28">
        <f t="shared" si="292"/>
        <v>0</v>
      </c>
      <c r="SRF32" s="28">
        <f t="shared" si="292"/>
        <v>0</v>
      </c>
      <c r="SRG32" s="28">
        <f t="shared" si="292"/>
        <v>0</v>
      </c>
      <c r="SRH32" s="28">
        <f t="shared" si="292"/>
        <v>0</v>
      </c>
      <c r="SRI32" s="28">
        <f t="shared" ref="SRI32:STT32" si="293">IFERROR(SRI31/SRI$4,0)</f>
        <v>0</v>
      </c>
      <c r="SRJ32" s="28">
        <f t="shared" si="293"/>
        <v>0</v>
      </c>
      <c r="SRK32" s="28">
        <f t="shared" si="293"/>
        <v>0</v>
      </c>
      <c r="SRL32" s="28">
        <f t="shared" si="293"/>
        <v>0</v>
      </c>
      <c r="SRM32" s="28">
        <f t="shared" si="293"/>
        <v>0</v>
      </c>
      <c r="SRN32" s="28">
        <f t="shared" si="293"/>
        <v>0</v>
      </c>
      <c r="SRO32" s="28">
        <f t="shared" si="293"/>
        <v>0</v>
      </c>
      <c r="SRP32" s="28">
        <f t="shared" si="293"/>
        <v>0</v>
      </c>
      <c r="SRQ32" s="28">
        <f t="shared" si="293"/>
        <v>0</v>
      </c>
      <c r="SRR32" s="28">
        <f t="shared" si="293"/>
        <v>0</v>
      </c>
      <c r="SRS32" s="28">
        <f t="shared" si="293"/>
        <v>0</v>
      </c>
      <c r="SRT32" s="28">
        <f t="shared" si="293"/>
        <v>0</v>
      </c>
      <c r="SRU32" s="28">
        <f t="shared" si="293"/>
        <v>0</v>
      </c>
      <c r="SRV32" s="28">
        <f t="shared" si="293"/>
        <v>0</v>
      </c>
      <c r="SRW32" s="28">
        <f t="shared" si="293"/>
        <v>0</v>
      </c>
      <c r="SRX32" s="28">
        <f t="shared" si="293"/>
        <v>0</v>
      </c>
      <c r="SRY32" s="28">
        <f t="shared" si="293"/>
        <v>0</v>
      </c>
      <c r="SRZ32" s="28">
        <f t="shared" si="293"/>
        <v>0</v>
      </c>
      <c r="SSA32" s="28">
        <f t="shared" si="293"/>
        <v>0</v>
      </c>
      <c r="SSB32" s="28">
        <f t="shared" si="293"/>
        <v>0</v>
      </c>
      <c r="SSC32" s="28">
        <f t="shared" si="293"/>
        <v>0</v>
      </c>
      <c r="SSD32" s="28">
        <f t="shared" si="293"/>
        <v>0</v>
      </c>
      <c r="SSE32" s="28">
        <f t="shared" si="293"/>
        <v>0</v>
      </c>
      <c r="SSF32" s="28">
        <f t="shared" si="293"/>
        <v>0</v>
      </c>
      <c r="SSG32" s="28">
        <f t="shared" si="293"/>
        <v>0</v>
      </c>
      <c r="SSH32" s="28">
        <f t="shared" si="293"/>
        <v>0</v>
      </c>
      <c r="SSI32" s="28">
        <f t="shared" si="293"/>
        <v>0</v>
      </c>
      <c r="SSJ32" s="28">
        <f t="shared" si="293"/>
        <v>0</v>
      </c>
      <c r="SSK32" s="28">
        <f t="shared" si="293"/>
        <v>0</v>
      </c>
      <c r="SSL32" s="28">
        <f t="shared" si="293"/>
        <v>0</v>
      </c>
      <c r="SSM32" s="28">
        <f t="shared" si="293"/>
        <v>0</v>
      </c>
      <c r="SSN32" s="28">
        <f t="shared" si="293"/>
        <v>0</v>
      </c>
      <c r="SSO32" s="28">
        <f t="shared" si="293"/>
        <v>0</v>
      </c>
      <c r="SSP32" s="28">
        <f t="shared" si="293"/>
        <v>0</v>
      </c>
      <c r="SSQ32" s="28">
        <f t="shared" si="293"/>
        <v>0</v>
      </c>
      <c r="SSR32" s="28">
        <f t="shared" si="293"/>
        <v>0</v>
      </c>
      <c r="SSS32" s="28">
        <f t="shared" si="293"/>
        <v>0</v>
      </c>
      <c r="SST32" s="28">
        <f t="shared" si="293"/>
        <v>0</v>
      </c>
      <c r="SSU32" s="28">
        <f t="shared" si="293"/>
        <v>0</v>
      </c>
      <c r="SSV32" s="28">
        <f t="shared" si="293"/>
        <v>0</v>
      </c>
      <c r="SSW32" s="28">
        <f t="shared" si="293"/>
        <v>0</v>
      </c>
      <c r="SSX32" s="28">
        <f t="shared" si="293"/>
        <v>0</v>
      </c>
      <c r="SSY32" s="28">
        <f t="shared" si="293"/>
        <v>0</v>
      </c>
      <c r="SSZ32" s="28">
        <f t="shared" si="293"/>
        <v>0</v>
      </c>
      <c r="STA32" s="28">
        <f t="shared" si="293"/>
        <v>0</v>
      </c>
      <c r="STB32" s="28">
        <f t="shared" si="293"/>
        <v>0</v>
      </c>
      <c r="STC32" s="28">
        <f t="shared" si="293"/>
        <v>0</v>
      </c>
      <c r="STD32" s="28">
        <f t="shared" si="293"/>
        <v>0</v>
      </c>
      <c r="STE32" s="28">
        <f t="shared" si="293"/>
        <v>0</v>
      </c>
      <c r="STF32" s="28">
        <f t="shared" si="293"/>
        <v>0</v>
      </c>
      <c r="STG32" s="28">
        <f t="shared" si="293"/>
        <v>0</v>
      </c>
      <c r="STH32" s="28">
        <f t="shared" si="293"/>
        <v>0</v>
      </c>
      <c r="STI32" s="28">
        <f t="shared" si="293"/>
        <v>0</v>
      </c>
      <c r="STJ32" s="28">
        <f t="shared" si="293"/>
        <v>0</v>
      </c>
      <c r="STK32" s="28">
        <f t="shared" si="293"/>
        <v>0</v>
      </c>
      <c r="STL32" s="28">
        <f t="shared" si="293"/>
        <v>0</v>
      </c>
      <c r="STM32" s="28">
        <f t="shared" si="293"/>
        <v>0</v>
      </c>
      <c r="STN32" s="28">
        <f t="shared" si="293"/>
        <v>0</v>
      </c>
      <c r="STO32" s="28">
        <f t="shared" si="293"/>
        <v>0</v>
      </c>
      <c r="STP32" s="28">
        <f t="shared" si="293"/>
        <v>0</v>
      </c>
      <c r="STQ32" s="28">
        <f t="shared" si="293"/>
        <v>0</v>
      </c>
      <c r="STR32" s="28">
        <f t="shared" si="293"/>
        <v>0</v>
      </c>
      <c r="STS32" s="28">
        <f t="shared" si="293"/>
        <v>0</v>
      </c>
      <c r="STT32" s="28">
        <f t="shared" si="293"/>
        <v>0</v>
      </c>
      <c r="STU32" s="28">
        <f t="shared" ref="STU32:SWF32" si="294">IFERROR(STU31/STU$4,0)</f>
        <v>0</v>
      </c>
      <c r="STV32" s="28">
        <f t="shared" si="294"/>
        <v>0</v>
      </c>
      <c r="STW32" s="28">
        <f t="shared" si="294"/>
        <v>0</v>
      </c>
      <c r="STX32" s="28">
        <f t="shared" si="294"/>
        <v>0</v>
      </c>
      <c r="STY32" s="28">
        <f t="shared" si="294"/>
        <v>0</v>
      </c>
      <c r="STZ32" s="28">
        <f t="shared" si="294"/>
        <v>0</v>
      </c>
      <c r="SUA32" s="28">
        <f t="shared" si="294"/>
        <v>0</v>
      </c>
      <c r="SUB32" s="28">
        <f t="shared" si="294"/>
        <v>0</v>
      </c>
      <c r="SUC32" s="28">
        <f t="shared" si="294"/>
        <v>0</v>
      </c>
      <c r="SUD32" s="28">
        <f t="shared" si="294"/>
        <v>0</v>
      </c>
      <c r="SUE32" s="28">
        <f t="shared" si="294"/>
        <v>0</v>
      </c>
      <c r="SUF32" s="28">
        <f t="shared" si="294"/>
        <v>0</v>
      </c>
      <c r="SUG32" s="28">
        <f t="shared" si="294"/>
        <v>0</v>
      </c>
      <c r="SUH32" s="28">
        <f t="shared" si="294"/>
        <v>0</v>
      </c>
      <c r="SUI32" s="28">
        <f t="shared" si="294"/>
        <v>0</v>
      </c>
      <c r="SUJ32" s="28">
        <f t="shared" si="294"/>
        <v>0</v>
      </c>
      <c r="SUK32" s="28">
        <f t="shared" si="294"/>
        <v>0</v>
      </c>
      <c r="SUL32" s="28">
        <f t="shared" si="294"/>
        <v>0</v>
      </c>
      <c r="SUM32" s="28">
        <f t="shared" si="294"/>
        <v>0</v>
      </c>
      <c r="SUN32" s="28">
        <f t="shared" si="294"/>
        <v>0</v>
      </c>
      <c r="SUO32" s="28">
        <f t="shared" si="294"/>
        <v>0</v>
      </c>
      <c r="SUP32" s="28">
        <f t="shared" si="294"/>
        <v>0</v>
      </c>
      <c r="SUQ32" s="28">
        <f t="shared" si="294"/>
        <v>0</v>
      </c>
      <c r="SUR32" s="28">
        <f t="shared" si="294"/>
        <v>0</v>
      </c>
      <c r="SUS32" s="28">
        <f t="shared" si="294"/>
        <v>0</v>
      </c>
      <c r="SUT32" s="28">
        <f t="shared" si="294"/>
        <v>0</v>
      </c>
      <c r="SUU32" s="28">
        <f t="shared" si="294"/>
        <v>0</v>
      </c>
      <c r="SUV32" s="28">
        <f t="shared" si="294"/>
        <v>0</v>
      </c>
      <c r="SUW32" s="28">
        <f t="shared" si="294"/>
        <v>0</v>
      </c>
      <c r="SUX32" s="28">
        <f t="shared" si="294"/>
        <v>0</v>
      </c>
      <c r="SUY32" s="28">
        <f t="shared" si="294"/>
        <v>0</v>
      </c>
      <c r="SUZ32" s="28">
        <f t="shared" si="294"/>
        <v>0</v>
      </c>
      <c r="SVA32" s="28">
        <f t="shared" si="294"/>
        <v>0</v>
      </c>
      <c r="SVB32" s="28">
        <f t="shared" si="294"/>
        <v>0</v>
      </c>
      <c r="SVC32" s="28">
        <f t="shared" si="294"/>
        <v>0</v>
      </c>
      <c r="SVD32" s="28">
        <f t="shared" si="294"/>
        <v>0</v>
      </c>
      <c r="SVE32" s="28">
        <f t="shared" si="294"/>
        <v>0</v>
      </c>
      <c r="SVF32" s="28">
        <f t="shared" si="294"/>
        <v>0</v>
      </c>
      <c r="SVG32" s="28">
        <f t="shared" si="294"/>
        <v>0</v>
      </c>
      <c r="SVH32" s="28">
        <f t="shared" si="294"/>
        <v>0</v>
      </c>
      <c r="SVI32" s="28">
        <f t="shared" si="294"/>
        <v>0</v>
      </c>
      <c r="SVJ32" s="28">
        <f t="shared" si="294"/>
        <v>0</v>
      </c>
      <c r="SVK32" s="28">
        <f t="shared" si="294"/>
        <v>0</v>
      </c>
      <c r="SVL32" s="28">
        <f t="shared" si="294"/>
        <v>0</v>
      </c>
      <c r="SVM32" s="28">
        <f t="shared" si="294"/>
        <v>0</v>
      </c>
      <c r="SVN32" s="28">
        <f t="shared" si="294"/>
        <v>0</v>
      </c>
      <c r="SVO32" s="28">
        <f t="shared" si="294"/>
        <v>0</v>
      </c>
      <c r="SVP32" s="28">
        <f t="shared" si="294"/>
        <v>0</v>
      </c>
      <c r="SVQ32" s="28">
        <f t="shared" si="294"/>
        <v>0</v>
      </c>
      <c r="SVR32" s="28">
        <f t="shared" si="294"/>
        <v>0</v>
      </c>
      <c r="SVS32" s="28">
        <f t="shared" si="294"/>
        <v>0</v>
      </c>
      <c r="SVT32" s="28">
        <f t="shared" si="294"/>
        <v>0</v>
      </c>
      <c r="SVU32" s="28">
        <f t="shared" si="294"/>
        <v>0</v>
      </c>
      <c r="SVV32" s="28">
        <f t="shared" si="294"/>
        <v>0</v>
      </c>
      <c r="SVW32" s="28">
        <f t="shared" si="294"/>
        <v>0</v>
      </c>
      <c r="SVX32" s="28">
        <f t="shared" si="294"/>
        <v>0</v>
      </c>
      <c r="SVY32" s="28">
        <f t="shared" si="294"/>
        <v>0</v>
      </c>
      <c r="SVZ32" s="28">
        <f t="shared" si="294"/>
        <v>0</v>
      </c>
      <c r="SWA32" s="28">
        <f t="shared" si="294"/>
        <v>0</v>
      </c>
      <c r="SWB32" s="28">
        <f t="shared" si="294"/>
        <v>0</v>
      </c>
      <c r="SWC32" s="28">
        <f t="shared" si="294"/>
        <v>0</v>
      </c>
      <c r="SWD32" s="28">
        <f t="shared" si="294"/>
        <v>0</v>
      </c>
      <c r="SWE32" s="28">
        <f t="shared" si="294"/>
        <v>0</v>
      </c>
      <c r="SWF32" s="28">
        <f t="shared" si="294"/>
        <v>0</v>
      </c>
      <c r="SWG32" s="28">
        <f t="shared" ref="SWG32:SYR32" si="295">IFERROR(SWG31/SWG$4,0)</f>
        <v>0</v>
      </c>
      <c r="SWH32" s="28">
        <f t="shared" si="295"/>
        <v>0</v>
      </c>
      <c r="SWI32" s="28">
        <f t="shared" si="295"/>
        <v>0</v>
      </c>
      <c r="SWJ32" s="28">
        <f t="shared" si="295"/>
        <v>0</v>
      </c>
      <c r="SWK32" s="28">
        <f t="shared" si="295"/>
        <v>0</v>
      </c>
      <c r="SWL32" s="28">
        <f t="shared" si="295"/>
        <v>0</v>
      </c>
      <c r="SWM32" s="28">
        <f t="shared" si="295"/>
        <v>0</v>
      </c>
      <c r="SWN32" s="28">
        <f t="shared" si="295"/>
        <v>0</v>
      </c>
      <c r="SWO32" s="28">
        <f t="shared" si="295"/>
        <v>0</v>
      </c>
      <c r="SWP32" s="28">
        <f t="shared" si="295"/>
        <v>0</v>
      </c>
      <c r="SWQ32" s="28">
        <f t="shared" si="295"/>
        <v>0</v>
      </c>
      <c r="SWR32" s="28">
        <f t="shared" si="295"/>
        <v>0</v>
      </c>
      <c r="SWS32" s="28">
        <f t="shared" si="295"/>
        <v>0</v>
      </c>
      <c r="SWT32" s="28">
        <f t="shared" si="295"/>
        <v>0</v>
      </c>
      <c r="SWU32" s="28">
        <f t="shared" si="295"/>
        <v>0</v>
      </c>
      <c r="SWV32" s="28">
        <f t="shared" si="295"/>
        <v>0</v>
      </c>
      <c r="SWW32" s="28">
        <f t="shared" si="295"/>
        <v>0</v>
      </c>
      <c r="SWX32" s="28">
        <f t="shared" si="295"/>
        <v>0</v>
      </c>
      <c r="SWY32" s="28">
        <f t="shared" si="295"/>
        <v>0</v>
      </c>
      <c r="SWZ32" s="28">
        <f t="shared" si="295"/>
        <v>0</v>
      </c>
      <c r="SXA32" s="28">
        <f t="shared" si="295"/>
        <v>0</v>
      </c>
      <c r="SXB32" s="28">
        <f t="shared" si="295"/>
        <v>0</v>
      </c>
      <c r="SXC32" s="28">
        <f t="shared" si="295"/>
        <v>0</v>
      </c>
      <c r="SXD32" s="28">
        <f t="shared" si="295"/>
        <v>0</v>
      </c>
      <c r="SXE32" s="28">
        <f t="shared" si="295"/>
        <v>0</v>
      </c>
      <c r="SXF32" s="28">
        <f t="shared" si="295"/>
        <v>0</v>
      </c>
      <c r="SXG32" s="28">
        <f t="shared" si="295"/>
        <v>0</v>
      </c>
      <c r="SXH32" s="28">
        <f t="shared" si="295"/>
        <v>0</v>
      </c>
      <c r="SXI32" s="28">
        <f t="shared" si="295"/>
        <v>0</v>
      </c>
      <c r="SXJ32" s="28">
        <f t="shared" si="295"/>
        <v>0</v>
      </c>
      <c r="SXK32" s="28">
        <f t="shared" si="295"/>
        <v>0</v>
      </c>
      <c r="SXL32" s="28">
        <f t="shared" si="295"/>
        <v>0</v>
      </c>
      <c r="SXM32" s="28">
        <f t="shared" si="295"/>
        <v>0</v>
      </c>
      <c r="SXN32" s="28">
        <f t="shared" si="295"/>
        <v>0</v>
      </c>
      <c r="SXO32" s="28">
        <f t="shared" si="295"/>
        <v>0</v>
      </c>
      <c r="SXP32" s="28">
        <f t="shared" si="295"/>
        <v>0</v>
      </c>
      <c r="SXQ32" s="28">
        <f t="shared" si="295"/>
        <v>0</v>
      </c>
      <c r="SXR32" s="28">
        <f t="shared" si="295"/>
        <v>0</v>
      </c>
      <c r="SXS32" s="28">
        <f t="shared" si="295"/>
        <v>0</v>
      </c>
      <c r="SXT32" s="28">
        <f t="shared" si="295"/>
        <v>0</v>
      </c>
      <c r="SXU32" s="28">
        <f t="shared" si="295"/>
        <v>0</v>
      </c>
      <c r="SXV32" s="28">
        <f t="shared" si="295"/>
        <v>0</v>
      </c>
      <c r="SXW32" s="28">
        <f t="shared" si="295"/>
        <v>0</v>
      </c>
      <c r="SXX32" s="28">
        <f t="shared" si="295"/>
        <v>0</v>
      </c>
      <c r="SXY32" s="28">
        <f t="shared" si="295"/>
        <v>0</v>
      </c>
      <c r="SXZ32" s="28">
        <f t="shared" si="295"/>
        <v>0</v>
      </c>
      <c r="SYA32" s="28">
        <f t="shared" si="295"/>
        <v>0</v>
      </c>
      <c r="SYB32" s="28">
        <f t="shared" si="295"/>
        <v>0</v>
      </c>
      <c r="SYC32" s="28">
        <f t="shared" si="295"/>
        <v>0</v>
      </c>
      <c r="SYD32" s="28">
        <f t="shared" si="295"/>
        <v>0</v>
      </c>
      <c r="SYE32" s="28">
        <f t="shared" si="295"/>
        <v>0</v>
      </c>
      <c r="SYF32" s="28">
        <f t="shared" si="295"/>
        <v>0</v>
      </c>
      <c r="SYG32" s="28">
        <f t="shared" si="295"/>
        <v>0</v>
      </c>
      <c r="SYH32" s="28">
        <f t="shared" si="295"/>
        <v>0</v>
      </c>
      <c r="SYI32" s="28">
        <f t="shared" si="295"/>
        <v>0</v>
      </c>
      <c r="SYJ32" s="28">
        <f t="shared" si="295"/>
        <v>0</v>
      </c>
      <c r="SYK32" s="28">
        <f t="shared" si="295"/>
        <v>0</v>
      </c>
      <c r="SYL32" s="28">
        <f t="shared" si="295"/>
        <v>0</v>
      </c>
      <c r="SYM32" s="28">
        <f t="shared" si="295"/>
        <v>0</v>
      </c>
      <c r="SYN32" s="28">
        <f t="shared" si="295"/>
        <v>0</v>
      </c>
      <c r="SYO32" s="28">
        <f t="shared" si="295"/>
        <v>0</v>
      </c>
      <c r="SYP32" s="28">
        <f t="shared" si="295"/>
        <v>0</v>
      </c>
      <c r="SYQ32" s="28">
        <f t="shared" si="295"/>
        <v>0</v>
      </c>
      <c r="SYR32" s="28">
        <f t="shared" si="295"/>
        <v>0</v>
      </c>
      <c r="SYS32" s="28">
        <f t="shared" ref="SYS32:TBD32" si="296">IFERROR(SYS31/SYS$4,0)</f>
        <v>0</v>
      </c>
      <c r="SYT32" s="28">
        <f t="shared" si="296"/>
        <v>0</v>
      </c>
      <c r="SYU32" s="28">
        <f t="shared" si="296"/>
        <v>0</v>
      </c>
      <c r="SYV32" s="28">
        <f t="shared" si="296"/>
        <v>0</v>
      </c>
      <c r="SYW32" s="28">
        <f t="shared" si="296"/>
        <v>0</v>
      </c>
      <c r="SYX32" s="28">
        <f t="shared" si="296"/>
        <v>0</v>
      </c>
      <c r="SYY32" s="28">
        <f t="shared" si="296"/>
        <v>0</v>
      </c>
      <c r="SYZ32" s="28">
        <f t="shared" si="296"/>
        <v>0</v>
      </c>
      <c r="SZA32" s="28">
        <f t="shared" si="296"/>
        <v>0</v>
      </c>
      <c r="SZB32" s="28">
        <f t="shared" si="296"/>
        <v>0</v>
      </c>
      <c r="SZC32" s="28">
        <f t="shared" si="296"/>
        <v>0</v>
      </c>
      <c r="SZD32" s="28">
        <f t="shared" si="296"/>
        <v>0</v>
      </c>
      <c r="SZE32" s="28">
        <f t="shared" si="296"/>
        <v>0</v>
      </c>
      <c r="SZF32" s="28">
        <f t="shared" si="296"/>
        <v>0</v>
      </c>
      <c r="SZG32" s="28">
        <f t="shared" si="296"/>
        <v>0</v>
      </c>
      <c r="SZH32" s="28">
        <f t="shared" si="296"/>
        <v>0</v>
      </c>
      <c r="SZI32" s="28">
        <f t="shared" si="296"/>
        <v>0</v>
      </c>
      <c r="SZJ32" s="28">
        <f t="shared" si="296"/>
        <v>0</v>
      </c>
      <c r="SZK32" s="28">
        <f t="shared" si="296"/>
        <v>0</v>
      </c>
      <c r="SZL32" s="28">
        <f t="shared" si="296"/>
        <v>0</v>
      </c>
      <c r="SZM32" s="28">
        <f t="shared" si="296"/>
        <v>0</v>
      </c>
      <c r="SZN32" s="28">
        <f t="shared" si="296"/>
        <v>0</v>
      </c>
      <c r="SZO32" s="28">
        <f t="shared" si="296"/>
        <v>0</v>
      </c>
      <c r="SZP32" s="28">
        <f t="shared" si="296"/>
        <v>0</v>
      </c>
      <c r="SZQ32" s="28">
        <f t="shared" si="296"/>
        <v>0</v>
      </c>
      <c r="SZR32" s="28">
        <f t="shared" si="296"/>
        <v>0</v>
      </c>
      <c r="SZS32" s="28">
        <f t="shared" si="296"/>
        <v>0</v>
      </c>
      <c r="SZT32" s="28">
        <f t="shared" si="296"/>
        <v>0</v>
      </c>
      <c r="SZU32" s="28">
        <f t="shared" si="296"/>
        <v>0</v>
      </c>
      <c r="SZV32" s="28">
        <f t="shared" si="296"/>
        <v>0</v>
      </c>
      <c r="SZW32" s="28">
        <f t="shared" si="296"/>
        <v>0</v>
      </c>
      <c r="SZX32" s="28">
        <f t="shared" si="296"/>
        <v>0</v>
      </c>
      <c r="SZY32" s="28">
        <f t="shared" si="296"/>
        <v>0</v>
      </c>
      <c r="SZZ32" s="28">
        <f t="shared" si="296"/>
        <v>0</v>
      </c>
      <c r="TAA32" s="28">
        <f t="shared" si="296"/>
        <v>0</v>
      </c>
      <c r="TAB32" s="28">
        <f t="shared" si="296"/>
        <v>0</v>
      </c>
      <c r="TAC32" s="28">
        <f t="shared" si="296"/>
        <v>0</v>
      </c>
      <c r="TAD32" s="28">
        <f t="shared" si="296"/>
        <v>0</v>
      </c>
      <c r="TAE32" s="28">
        <f t="shared" si="296"/>
        <v>0</v>
      </c>
      <c r="TAF32" s="28">
        <f t="shared" si="296"/>
        <v>0</v>
      </c>
      <c r="TAG32" s="28">
        <f t="shared" si="296"/>
        <v>0</v>
      </c>
      <c r="TAH32" s="28">
        <f t="shared" si="296"/>
        <v>0</v>
      </c>
      <c r="TAI32" s="28">
        <f t="shared" si="296"/>
        <v>0</v>
      </c>
      <c r="TAJ32" s="28">
        <f t="shared" si="296"/>
        <v>0</v>
      </c>
      <c r="TAK32" s="28">
        <f t="shared" si="296"/>
        <v>0</v>
      </c>
      <c r="TAL32" s="28">
        <f t="shared" si="296"/>
        <v>0</v>
      </c>
      <c r="TAM32" s="28">
        <f t="shared" si="296"/>
        <v>0</v>
      </c>
      <c r="TAN32" s="28">
        <f t="shared" si="296"/>
        <v>0</v>
      </c>
      <c r="TAO32" s="28">
        <f t="shared" si="296"/>
        <v>0</v>
      </c>
      <c r="TAP32" s="28">
        <f t="shared" si="296"/>
        <v>0</v>
      </c>
      <c r="TAQ32" s="28">
        <f t="shared" si="296"/>
        <v>0</v>
      </c>
      <c r="TAR32" s="28">
        <f t="shared" si="296"/>
        <v>0</v>
      </c>
      <c r="TAS32" s="28">
        <f t="shared" si="296"/>
        <v>0</v>
      </c>
      <c r="TAT32" s="28">
        <f t="shared" si="296"/>
        <v>0</v>
      </c>
      <c r="TAU32" s="28">
        <f t="shared" si="296"/>
        <v>0</v>
      </c>
      <c r="TAV32" s="28">
        <f t="shared" si="296"/>
        <v>0</v>
      </c>
      <c r="TAW32" s="28">
        <f t="shared" si="296"/>
        <v>0</v>
      </c>
      <c r="TAX32" s="28">
        <f t="shared" si="296"/>
        <v>0</v>
      </c>
      <c r="TAY32" s="28">
        <f t="shared" si="296"/>
        <v>0</v>
      </c>
      <c r="TAZ32" s="28">
        <f t="shared" si="296"/>
        <v>0</v>
      </c>
      <c r="TBA32" s="28">
        <f t="shared" si="296"/>
        <v>0</v>
      </c>
      <c r="TBB32" s="28">
        <f t="shared" si="296"/>
        <v>0</v>
      </c>
      <c r="TBC32" s="28">
        <f t="shared" si="296"/>
        <v>0</v>
      </c>
      <c r="TBD32" s="28">
        <f t="shared" si="296"/>
        <v>0</v>
      </c>
      <c r="TBE32" s="28">
        <f t="shared" ref="TBE32:TDP32" si="297">IFERROR(TBE31/TBE$4,0)</f>
        <v>0</v>
      </c>
      <c r="TBF32" s="28">
        <f t="shared" si="297"/>
        <v>0</v>
      </c>
      <c r="TBG32" s="28">
        <f t="shared" si="297"/>
        <v>0</v>
      </c>
      <c r="TBH32" s="28">
        <f t="shared" si="297"/>
        <v>0</v>
      </c>
      <c r="TBI32" s="28">
        <f t="shared" si="297"/>
        <v>0</v>
      </c>
      <c r="TBJ32" s="28">
        <f t="shared" si="297"/>
        <v>0</v>
      </c>
      <c r="TBK32" s="28">
        <f t="shared" si="297"/>
        <v>0</v>
      </c>
      <c r="TBL32" s="28">
        <f t="shared" si="297"/>
        <v>0</v>
      </c>
      <c r="TBM32" s="28">
        <f t="shared" si="297"/>
        <v>0</v>
      </c>
      <c r="TBN32" s="28">
        <f t="shared" si="297"/>
        <v>0</v>
      </c>
      <c r="TBO32" s="28">
        <f t="shared" si="297"/>
        <v>0</v>
      </c>
      <c r="TBP32" s="28">
        <f t="shared" si="297"/>
        <v>0</v>
      </c>
      <c r="TBQ32" s="28">
        <f t="shared" si="297"/>
        <v>0</v>
      </c>
      <c r="TBR32" s="28">
        <f t="shared" si="297"/>
        <v>0</v>
      </c>
      <c r="TBS32" s="28">
        <f t="shared" si="297"/>
        <v>0</v>
      </c>
      <c r="TBT32" s="28">
        <f t="shared" si="297"/>
        <v>0</v>
      </c>
      <c r="TBU32" s="28">
        <f t="shared" si="297"/>
        <v>0</v>
      </c>
      <c r="TBV32" s="28">
        <f t="shared" si="297"/>
        <v>0</v>
      </c>
      <c r="TBW32" s="28">
        <f t="shared" si="297"/>
        <v>0</v>
      </c>
      <c r="TBX32" s="28">
        <f t="shared" si="297"/>
        <v>0</v>
      </c>
      <c r="TBY32" s="28">
        <f t="shared" si="297"/>
        <v>0</v>
      </c>
      <c r="TBZ32" s="28">
        <f t="shared" si="297"/>
        <v>0</v>
      </c>
      <c r="TCA32" s="28">
        <f t="shared" si="297"/>
        <v>0</v>
      </c>
      <c r="TCB32" s="28">
        <f t="shared" si="297"/>
        <v>0</v>
      </c>
      <c r="TCC32" s="28">
        <f t="shared" si="297"/>
        <v>0</v>
      </c>
      <c r="TCD32" s="28">
        <f t="shared" si="297"/>
        <v>0</v>
      </c>
      <c r="TCE32" s="28">
        <f t="shared" si="297"/>
        <v>0</v>
      </c>
      <c r="TCF32" s="28">
        <f t="shared" si="297"/>
        <v>0</v>
      </c>
      <c r="TCG32" s="28">
        <f t="shared" si="297"/>
        <v>0</v>
      </c>
      <c r="TCH32" s="28">
        <f t="shared" si="297"/>
        <v>0</v>
      </c>
      <c r="TCI32" s="28">
        <f t="shared" si="297"/>
        <v>0</v>
      </c>
      <c r="TCJ32" s="28">
        <f t="shared" si="297"/>
        <v>0</v>
      </c>
      <c r="TCK32" s="28">
        <f t="shared" si="297"/>
        <v>0</v>
      </c>
      <c r="TCL32" s="28">
        <f t="shared" si="297"/>
        <v>0</v>
      </c>
      <c r="TCM32" s="28">
        <f t="shared" si="297"/>
        <v>0</v>
      </c>
      <c r="TCN32" s="28">
        <f t="shared" si="297"/>
        <v>0</v>
      </c>
      <c r="TCO32" s="28">
        <f t="shared" si="297"/>
        <v>0</v>
      </c>
      <c r="TCP32" s="28">
        <f t="shared" si="297"/>
        <v>0</v>
      </c>
      <c r="TCQ32" s="28">
        <f t="shared" si="297"/>
        <v>0</v>
      </c>
      <c r="TCR32" s="28">
        <f t="shared" si="297"/>
        <v>0</v>
      </c>
      <c r="TCS32" s="28">
        <f t="shared" si="297"/>
        <v>0</v>
      </c>
      <c r="TCT32" s="28">
        <f t="shared" si="297"/>
        <v>0</v>
      </c>
      <c r="TCU32" s="28">
        <f t="shared" si="297"/>
        <v>0</v>
      </c>
      <c r="TCV32" s="28">
        <f t="shared" si="297"/>
        <v>0</v>
      </c>
      <c r="TCW32" s="28">
        <f t="shared" si="297"/>
        <v>0</v>
      </c>
      <c r="TCX32" s="28">
        <f t="shared" si="297"/>
        <v>0</v>
      </c>
      <c r="TCY32" s="28">
        <f t="shared" si="297"/>
        <v>0</v>
      </c>
      <c r="TCZ32" s="28">
        <f t="shared" si="297"/>
        <v>0</v>
      </c>
      <c r="TDA32" s="28">
        <f t="shared" si="297"/>
        <v>0</v>
      </c>
      <c r="TDB32" s="28">
        <f t="shared" si="297"/>
        <v>0</v>
      </c>
      <c r="TDC32" s="28">
        <f t="shared" si="297"/>
        <v>0</v>
      </c>
      <c r="TDD32" s="28">
        <f t="shared" si="297"/>
        <v>0</v>
      </c>
      <c r="TDE32" s="28">
        <f t="shared" si="297"/>
        <v>0</v>
      </c>
      <c r="TDF32" s="28">
        <f t="shared" si="297"/>
        <v>0</v>
      </c>
      <c r="TDG32" s="28">
        <f t="shared" si="297"/>
        <v>0</v>
      </c>
      <c r="TDH32" s="28">
        <f t="shared" si="297"/>
        <v>0</v>
      </c>
      <c r="TDI32" s="28">
        <f t="shared" si="297"/>
        <v>0</v>
      </c>
      <c r="TDJ32" s="28">
        <f t="shared" si="297"/>
        <v>0</v>
      </c>
      <c r="TDK32" s="28">
        <f t="shared" si="297"/>
        <v>0</v>
      </c>
      <c r="TDL32" s="28">
        <f t="shared" si="297"/>
        <v>0</v>
      </c>
      <c r="TDM32" s="28">
        <f t="shared" si="297"/>
        <v>0</v>
      </c>
      <c r="TDN32" s="28">
        <f t="shared" si="297"/>
        <v>0</v>
      </c>
      <c r="TDO32" s="28">
        <f t="shared" si="297"/>
        <v>0</v>
      </c>
      <c r="TDP32" s="28">
        <f t="shared" si="297"/>
        <v>0</v>
      </c>
      <c r="TDQ32" s="28">
        <f t="shared" ref="TDQ32:TGB32" si="298">IFERROR(TDQ31/TDQ$4,0)</f>
        <v>0</v>
      </c>
      <c r="TDR32" s="28">
        <f t="shared" si="298"/>
        <v>0</v>
      </c>
      <c r="TDS32" s="28">
        <f t="shared" si="298"/>
        <v>0</v>
      </c>
      <c r="TDT32" s="28">
        <f t="shared" si="298"/>
        <v>0</v>
      </c>
      <c r="TDU32" s="28">
        <f t="shared" si="298"/>
        <v>0</v>
      </c>
      <c r="TDV32" s="28">
        <f t="shared" si="298"/>
        <v>0</v>
      </c>
      <c r="TDW32" s="28">
        <f t="shared" si="298"/>
        <v>0</v>
      </c>
      <c r="TDX32" s="28">
        <f t="shared" si="298"/>
        <v>0</v>
      </c>
      <c r="TDY32" s="28">
        <f t="shared" si="298"/>
        <v>0</v>
      </c>
      <c r="TDZ32" s="28">
        <f t="shared" si="298"/>
        <v>0</v>
      </c>
      <c r="TEA32" s="28">
        <f t="shared" si="298"/>
        <v>0</v>
      </c>
      <c r="TEB32" s="28">
        <f t="shared" si="298"/>
        <v>0</v>
      </c>
      <c r="TEC32" s="28">
        <f t="shared" si="298"/>
        <v>0</v>
      </c>
      <c r="TED32" s="28">
        <f t="shared" si="298"/>
        <v>0</v>
      </c>
      <c r="TEE32" s="28">
        <f t="shared" si="298"/>
        <v>0</v>
      </c>
      <c r="TEF32" s="28">
        <f t="shared" si="298"/>
        <v>0</v>
      </c>
      <c r="TEG32" s="28">
        <f t="shared" si="298"/>
        <v>0</v>
      </c>
      <c r="TEH32" s="28">
        <f t="shared" si="298"/>
        <v>0</v>
      </c>
      <c r="TEI32" s="28">
        <f t="shared" si="298"/>
        <v>0</v>
      </c>
      <c r="TEJ32" s="28">
        <f t="shared" si="298"/>
        <v>0</v>
      </c>
      <c r="TEK32" s="28">
        <f t="shared" si="298"/>
        <v>0</v>
      </c>
      <c r="TEL32" s="28">
        <f t="shared" si="298"/>
        <v>0</v>
      </c>
      <c r="TEM32" s="28">
        <f t="shared" si="298"/>
        <v>0</v>
      </c>
      <c r="TEN32" s="28">
        <f t="shared" si="298"/>
        <v>0</v>
      </c>
      <c r="TEO32" s="28">
        <f t="shared" si="298"/>
        <v>0</v>
      </c>
      <c r="TEP32" s="28">
        <f t="shared" si="298"/>
        <v>0</v>
      </c>
      <c r="TEQ32" s="28">
        <f t="shared" si="298"/>
        <v>0</v>
      </c>
      <c r="TER32" s="28">
        <f t="shared" si="298"/>
        <v>0</v>
      </c>
      <c r="TES32" s="28">
        <f t="shared" si="298"/>
        <v>0</v>
      </c>
      <c r="TET32" s="28">
        <f t="shared" si="298"/>
        <v>0</v>
      </c>
      <c r="TEU32" s="28">
        <f t="shared" si="298"/>
        <v>0</v>
      </c>
      <c r="TEV32" s="28">
        <f t="shared" si="298"/>
        <v>0</v>
      </c>
      <c r="TEW32" s="28">
        <f t="shared" si="298"/>
        <v>0</v>
      </c>
      <c r="TEX32" s="28">
        <f t="shared" si="298"/>
        <v>0</v>
      </c>
      <c r="TEY32" s="28">
        <f t="shared" si="298"/>
        <v>0</v>
      </c>
      <c r="TEZ32" s="28">
        <f t="shared" si="298"/>
        <v>0</v>
      </c>
      <c r="TFA32" s="28">
        <f t="shared" si="298"/>
        <v>0</v>
      </c>
      <c r="TFB32" s="28">
        <f t="shared" si="298"/>
        <v>0</v>
      </c>
      <c r="TFC32" s="28">
        <f t="shared" si="298"/>
        <v>0</v>
      </c>
      <c r="TFD32" s="28">
        <f t="shared" si="298"/>
        <v>0</v>
      </c>
      <c r="TFE32" s="28">
        <f t="shared" si="298"/>
        <v>0</v>
      </c>
      <c r="TFF32" s="28">
        <f t="shared" si="298"/>
        <v>0</v>
      </c>
      <c r="TFG32" s="28">
        <f t="shared" si="298"/>
        <v>0</v>
      </c>
      <c r="TFH32" s="28">
        <f t="shared" si="298"/>
        <v>0</v>
      </c>
      <c r="TFI32" s="28">
        <f t="shared" si="298"/>
        <v>0</v>
      </c>
      <c r="TFJ32" s="28">
        <f t="shared" si="298"/>
        <v>0</v>
      </c>
      <c r="TFK32" s="28">
        <f t="shared" si="298"/>
        <v>0</v>
      </c>
      <c r="TFL32" s="28">
        <f t="shared" si="298"/>
        <v>0</v>
      </c>
      <c r="TFM32" s="28">
        <f t="shared" si="298"/>
        <v>0</v>
      </c>
      <c r="TFN32" s="28">
        <f t="shared" si="298"/>
        <v>0</v>
      </c>
      <c r="TFO32" s="28">
        <f t="shared" si="298"/>
        <v>0</v>
      </c>
      <c r="TFP32" s="28">
        <f t="shared" si="298"/>
        <v>0</v>
      </c>
      <c r="TFQ32" s="28">
        <f t="shared" si="298"/>
        <v>0</v>
      </c>
      <c r="TFR32" s="28">
        <f t="shared" si="298"/>
        <v>0</v>
      </c>
      <c r="TFS32" s="28">
        <f t="shared" si="298"/>
        <v>0</v>
      </c>
      <c r="TFT32" s="28">
        <f t="shared" si="298"/>
        <v>0</v>
      </c>
      <c r="TFU32" s="28">
        <f t="shared" si="298"/>
        <v>0</v>
      </c>
      <c r="TFV32" s="28">
        <f t="shared" si="298"/>
        <v>0</v>
      </c>
      <c r="TFW32" s="28">
        <f t="shared" si="298"/>
        <v>0</v>
      </c>
      <c r="TFX32" s="28">
        <f t="shared" si="298"/>
        <v>0</v>
      </c>
      <c r="TFY32" s="28">
        <f t="shared" si="298"/>
        <v>0</v>
      </c>
      <c r="TFZ32" s="28">
        <f t="shared" si="298"/>
        <v>0</v>
      </c>
      <c r="TGA32" s="28">
        <f t="shared" si="298"/>
        <v>0</v>
      </c>
      <c r="TGB32" s="28">
        <f t="shared" si="298"/>
        <v>0</v>
      </c>
      <c r="TGC32" s="28">
        <f t="shared" ref="TGC32:TIN32" si="299">IFERROR(TGC31/TGC$4,0)</f>
        <v>0</v>
      </c>
      <c r="TGD32" s="28">
        <f t="shared" si="299"/>
        <v>0</v>
      </c>
      <c r="TGE32" s="28">
        <f t="shared" si="299"/>
        <v>0</v>
      </c>
      <c r="TGF32" s="28">
        <f t="shared" si="299"/>
        <v>0</v>
      </c>
      <c r="TGG32" s="28">
        <f t="shared" si="299"/>
        <v>0</v>
      </c>
      <c r="TGH32" s="28">
        <f t="shared" si="299"/>
        <v>0</v>
      </c>
      <c r="TGI32" s="28">
        <f t="shared" si="299"/>
        <v>0</v>
      </c>
      <c r="TGJ32" s="28">
        <f t="shared" si="299"/>
        <v>0</v>
      </c>
      <c r="TGK32" s="28">
        <f t="shared" si="299"/>
        <v>0</v>
      </c>
      <c r="TGL32" s="28">
        <f t="shared" si="299"/>
        <v>0</v>
      </c>
      <c r="TGM32" s="28">
        <f t="shared" si="299"/>
        <v>0</v>
      </c>
      <c r="TGN32" s="28">
        <f t="shared" si="299"/>
        <v>0</v>
      </c>
      <c r="TGO32" s="28">
        <f t="shared" si="299"/>
        <v>0</v>
      </c>
      <c r="TGP32" s="28">
        <f t="shared" si="299"/>
        <v>0</v>
      </c>
      <c r="TGQ32" s="28">
        <f t="shared" si="299"/>
        <v>0</v>
      </c>
      <c r="TGR32" s="28">
        <f t="shared" si="299"/>
        <v>0</v>
      </c>
      <c r="TGS32" s="28">
        <f t="shared" si="299"/>
        <v>0</v>
      </c>
      <c r="TGT32" s="28">
        <f t="shared" si="299"/>
        <v>0</v>
      </c>
      <c r="TGU32" s="28">
        <f t="shared" si="299"/>
        <v>0</v>
      </c>
      <c r="TGV32" s="28">
        <f t="shared" si="299"/>
        <v>0</v>
      </c>
      <c r="TGW32" s="28">
        <f t="shared" si="299"/>
        <v>0</v>
      </c>
      <c r="TGX32" s="28">
        <f t="shared" si="299"/>
        <v>0</v>
      </c>
      <c r="TGY32" s="28">
        <f t="shared" si="299"/>
        <v>0</v>
      </c>
      <c r="TGZ32" s="28">
        <f t="shared" si="299"/>
        <v>0</v>
      </c>
      <c r="THA32" s="28">
        <f t="shared" si="299"/>
        <v>0</v>
      </c>
      <c r="THB32" s="28">
        <f t="shared" si="299"/>
        <v>0</v>
      </c>
      <c r="THC32" s="28">
        <f t="shared" si="299"/>
        <v>0</v>
      </c>
      <c r="THD32" s="28">
        <f t="shared" si="299"/>
        <v>0</v>
      </c>
      <c r="THE32" s="28">
        <f t="shared" si="299"/>
        <v>0</v>
      </c>
      <c r="THF32" s="28">
        <f t="shared" si="299"/>
        <v>0</v>
      </c>
      <c r="THG32" s="28">
        <f t="shared" si="299"/>
        <v>0</v>
      </c>
      <c r="THH32" s="28">
        <f t="shared" si="299"/>
        <v>0</v>
      </c>
      <c r="THI32" s="28">
        <f t="shared" si="299"/>
        <v>0</v>
      </c>
      <c r="THJ32" s="28">
        <f t="shared" si="299"/>
        <v>0</v>
      </c>
      <c r="THK32" s="28">
        <f t="shared" si="299"/>
        <v>0</v>
      </c>
      <c r="THL32" s="28">
        <f t="shared" si="299"/>
        <v>0</v>
      </c>
      <c r="THM32" s="28">
        <f t="shared" si="299"/>
        <v>0</v>
      </c>
      <c r="THN32" s="28">
        <f t="shared" si="299"/>
        <v>0</v>
      </c>
      <c r="THO32" s="28">
        <f t="shared" si="299"/>
        <v>0</v>
      </c>
      <c r="THP32" s="28">
        <f t="shared" si="299"/>
        <v>0</v>
      </c>
      <c r="THQ32" s="28">
        <f t="shared" si="299"/>
        <v>0</v>
      </c>
      <c r="THR32" s="28">
        <f t="shared" si="299"/>
        <v>0</v>
      </c>
      <c r="THS32" s="28">
        <f t="shared" si="299"/>
        <v>0</v>
      </c>
      <c r="THT32" s="28">
        <f t="shared" si="299"/>
        <v>0</v>
      </c>
      <c r="THU32" s="28">
        <f t="shared" si="299"/>
        <v>0</v>
      </c>
      <c r="THV32" s="28">
        <f t="shared" si="299"/>
        <v>0</v>
      </c>
      <c r="THW32" s="28">
        <f t="shared" si="299"/>
        <v>0</v>
      </c>
      <c r="THX32" s="28">
        <f t="shared" si="299"/>
        <v>0</v>
      </c>
      <c r="THY32" s="28">
        <f t="shared" si="299"/>
        <v>0</v>
      </c>
      <c r="THZ32" s="28">
        <f t="shared" si="299"/>
        <v>0</v>
      </c>
      <c r="TIA32" s="28">
        <f t="shared" si="299"/>
        <v>0</v>
      </c>
      <c r="TIB32" s="28">
        <f t="shared" si="299"/>
        <v>0</v>
      </c>
      <c r="TIC32" s="28">
        <f t="shared" si="299"/>
        <v>0</v>
      </c>
      <c r="TID32" s="28">
        <f t="shared" si="299"/>
        <v>0</v>
      </c>
      <c r="TIE32" s="28">
        <f t="shared" si="299"/>
        <v>0</v>
      </c>
      <c r="TIF32" s="28">
        <f t="shared" si="299"/>
        <v>0</v>
      </c>
      <c r="TIG32" s="28">
        <f t="shared" si="299"/>
        <v>0</v>
      </c>
      <c r="TIH32" s="28">
        <f t="shared" si="299"/>
        <v>0</v>
      </c>
      <c r="TII32" s="28">
        <f t="shared" si="299"/>
        <v>0</v>
      </c>
      <c r="TIJ32" s="28">
        <f t="shared" si="299"/>
        <v>0</v>
      </c>
      <c r="TIK32" s="28">
        <f t="shared" si="299"/>
        <v>0</v>
      </c>
      <c r="TIL32" s="28">
        <f t="shared" si="299"/>
        <v>0</v>
      </c>
      <c r="TIM32" s="28">
        <f t="shared" si="299"/>
        <v>0</v>
      </c>
      <c r="TIN32" s="28">
        <f t="shared" si="299"/>
        <v>0</v>
      </c>
      <c r="TIO32" s="28">
        <f t="shared" ref="TIO32:TKZ32" si="300">IFERROR(TIO31/TIO$4,0)</f>
        <v>0</v>
      </c>
      <c r="TIP32" s="28">
        <f t="shared" si="300"/>
        <v>0</v>
      </c>
      <c r="TIQ32" s="28">
        <f t="shared" si="300"/>
        <v>0</v>
      </c>
      <c r="TIR32" s="28">
        <f t="shared" si="300"/>
        <v>0</v>
      </c>
      <c r="TIS32" s="28">
        <f t="shared" si="300"/>
        <v>0</v>
      </c>
      <c r="TIT32" s="28">
        <f t="shared" si="300"/>
        <v>0</v>
      </c>
      <c r="TIU32" s="28">
        <f t="shared" si="300"/>
        <v>0</v>
      </c>
      <c r="TIV32" s="28">
        <f t="shared" si="300"/>
        <v>0</v>
      </c>
      <c r="TIW32" s="28">
        <f t="shared" si="300"/>
        <v>0</v>
      </c>
      <c r="TIX32" s="28">
        <f t="shared" si="300"/>
        <v>0</v>
      </c>
      <c r="TIY32" s="28">
        <f t="shared" si="300"/>
        <v>0</v>
      </c>
      <c r="TIZ32" s="28">
        <f t="shared" si="300"/>
        <v>0</v>
      </c>
      <c r="TJA32" s="28">
        <f t="shared" si="300"/>
        <v>0</v>
      </c>
      <c r="TJB32" s="28">
        <f t="shared" si="300"/>
        <v>0</v>
      </c>
      <c r="TJC32" s="28">
        <f t="shared" si="300"/>
        <v>0</v>
      </c>
      <c r="TJD32" s="28">
        <f t="shared" si="300"/>
        <v>0</v>
      </c>
      <c r="TJE32" s="28">
        <f t="shared" si="300"/>
        <v>0</v>
      </c>
      <c r="TJF32" s="28">
        <f t="shared" si="300"/>
        <v>0</v>
      </c>
      <c r="TJG32" s="28">
        <f t="shared" si="300"/>
        <v>0</v>
      </c>
      <c r="TJH32" s="28">
        <f t="shared" si="300"/>
        <v>0</v>
      </c>
      <c r="TJI32" s="28">
        <f t="shared" si="300"/>
        <v>0</v>
      </c>
      <c r="TJJ32" s="28">
        <f t="shared" si="300"/>
        <v>0</v>
      </c>
      <c r="TJK32" s="28">
        <f t="shared" si="300"/>
        <v>0</v>
      </c>
      <c r="TJL32" s="28">
        <f t="shared" si="300"/>
        <v>0</v>
      </c>
      <c r="TJM32" s="28">
        <f t="shared" si="300"/>
        <v>0</v>
      </c>
      <c r="TJN32" s="28">
        <f t="shared" si="300"/>
        <v>0</v>
      </c>
      <c r="TJO32" s="28">
        <f t="shared" si="300"/>
        <v>0</v>
      </c>
      <c r="TJP32" s="28">
        <f t="shared" si="300"/>
        <v>0</v>
      </c>
      <c r="TJQ32" s="28">
        <f t="shared" si="300"/>
        <v>0</v>
      </c>
      <c r="TJR32" s="28">
        <f t="shared" si="300"/>
        <v>0</v>
      </c>
      <c r="TJS32" s="28">
        <f t="shared" si="300"/>
        <v>0</v>
      </c>
      <c r="TJT32" s="28">
        <f t="shared" si="300"/>
        <v>0</v>
      </c>
      <c r="TJU32" s="28">
        <f t="shared" si="300"/>
        <v>0</v>
      </c>
      <c r="TJV32" s="28">
        <f t="shared" si="300"/>
        <v>0</v>
      </c>
      <c r="TJW32" s="28">
        <f t="shared" si="300"/>
        <v>0</v>
      </c>
      <c r="TJX32" s="28">
        <f t="shared" si="300"/>
        <v>0</v>
      </c>
      <c r="TJY32" s="28">
        <f t="shared" si="300"/>
        <v>0</v>
      </c>
      <c r="TJZ32" s="28">
        <f t="shared" si="300"/>
        <v>0</v>
      </c>
      <c r="TKA32" s="28">
        <f t="shared" si="300"/>
        <v>0</v>
      </c>
      <c r="TKB32" s="28">
        <f t="shared" si="300"/>
        <v>0</v>
      </c>
      <c r="TKC32" s="28">
        <f t="shared" si="300"/>
        <v>0</v>
      </c>
      <c r="TKD32" s="28">
        <f t="shared" si="300"/>
        <v>0</v>
      </c>
      <c r="TKE32" s="28">
        <f t="shared" si="300"/>
        <v>0</v>
      </c>
      <c r="TKF32" s="28">
        <f t="shared" si="300"/>
        <v>0</v>
      </c>
      <c r="TKG32" s="28">
        <f t="shared" si="300"/>
        <v>0</v>
      </c>
      <c r="TKH32" s="28">
        <f t="shared" si="300"/>
        <v>0</v>
      </c>
      <c r="TKI32" s="28">
        <f t="shared" si="300"/>
        <v>0</v>
      </c>
      <c r="TKJ32" s="28">
        <f t="shared" si="300"/>
        <v>0</v>
      </c>
      <c r="TKK32" s="28">
        <f t="shared" si="300"/>
        <v>0</v>
      </c>
      <c r="TKL32" s="28">
        <f t="shared" si="300"/>
        <v>0</v>
      </c>
      <c r="TKM32" s="28">
        <f t="shared" si="300"/>
        <v>0</v>
      </c>
      <c r="TKN32" s="28">
        <f t="shared" si="300"/>
        <v>0</v>
      </c>
      <c r="TKO32" s="28">
        <f t="shared" si="300"/>
        <v>0</v>
      </c>
      <c r="TKP32" s="28">
        <f t="shared" si="300"/>
        <v>0</v>
      </c>
      <c r="TKQ32" s="28">
        <f t="shared" si="300"/>
        <v>0</v>
      </c>
      <c r="TKR32" s="28">
        <f t="shared" si="300"/>
        <v>0</v>
      </c>
      <c r="TKS32" s="28">
        <f t="shared" si="300"/>
        <v>0</v>
      </c>
      <c r="TKT32" s="28">
        <f t="shared" si="300"/>
        <v>0</v>
      </c>
      <c r="TKU32" s="28">
        <f t="shared" si="300"/>
        <v>0</v>
      </c>
      <c r="TKV32" s="28">
        <f t="shared" si="300"/>
        <v>0</v>
      </c>
      <c r="TKW32" s="28">
        <f t="shared" si="300"/>
        <v>0</v>
      </c>
      <c r="TKX32" s="28">
        <f t="shared" si="300"/>
        <v>0</v>
      </c>
      <c r="TKY32" s="28">
        <f t="shared" si="300"/>
        <v>0</v>
      </c>
      <c r="TKZ32" s="28">
        <f t="shared" si="300"/>
        <v>0</v>
      </c>
      <c r="TLA32" s="28">
        <f t="shared" ref="TLA32:TNL32" si="301">IFERROR(TLA31/TLA$4,0)</f>
        <v>0</v>
      </c>
      <c r="TLB32" s="28">
        <f t="shared" si="301"/>
        <v>0</v>
      </c>
      <c r="TLC32" s="28">
        <f t="shared" si="301"/>
        <v>0</v>
      </c>
      <c r="TLD32" s="28">
        <f t="shared" si="301"/>
        <v>0</v>
      </c>
      <c r="TLE32" s="28">
        <f t="shared" si="301"/>
        <v>0</v>
      </c>
      <c r="TLF32" s="28">
        <f t="shared" si="301"/>
        <v>0</v>
      </c>
      <c r="TLG32" s="28">
        <f t="shared" si="301"/>
        <v>0</v>
      </c>
      <c r="TLH32" s="28">
        <f t="shared" si="301"/>
        <v>0</v>
      </c>
      <c r="TLI32" s="28">
        <f t="shared" si="301"/>
        <v>0</v>
      </c>
      <c r="TLJ32" s="28">
        <f t="shared" si="301"/>
        <v>0</v>
      </c>
      <c r="TLK32" s="28">
        <f t="shared" si="301"/>
        <v>0</v>
      </c>
      <c r="TLL32" s="28">
        <f t="shared" si="301"/>
        <v>0</v>
      </c>
      <c r="TLM32" s="28">
        <f t="shared" si="301"/>
        <v>0</v>
      </c>
      <c r="TLN32" s="28">
        <f t="shared" si="301"/>
        <v>0</v>
      </c>
      <c r="TLO32" s="28">
        <f t="shared" si="301"/>
        <v>0</v>
      </c>
      <c r="TLP32" s="28">
        <f t="shared" si="301"/>
        <v>0</v>
      </c>
      <c r="TLQ32" s="28">
        <f t="shared" si="301"/>
        <v>0</v>
      </c>
      <c r="TLR32" s="28">
        <f t="shared" si="301"/>
        <v>0</v>
      </c>
      <c r="TLS32" s="28">
        <f t="shared" si="301"/>
        <v>0</v>
      </c>
      <c r="TLT32" s="28">
        <f t="shared" si="301"/>
        <v>0</v>
      </c>
      <c r="TLU32" s="28">
        <f t="shared" si="301"/>
        <v>0</v>
      </c>
      <c r="TLV32" s="28">
        <f t="shared" si="301"/>
        <v>0</v>
      </c>
      <c r="TLW32" s="28">
        <f t="shared" si="301"/>
        <v>0</v>
      </c>
      <c r="TLX32" s="28">
        <f t="shared" si="301"/>
        <v>0</v>
      </c>
      <c r="TLY32" s="28">
        <f t="shared" si="301"/>
        <v>0</v>
      </c>
      <c r="TLZ32" s="28">
        <f t="shared" si="301"/>
        <v>0</v>
      </c>
      <c r="TMA32" s="28">
        <f t="shared" si="301"/>
        <v>0</v>
      </c>
      <c r="TMB32" s="28">
        <f t="shared" si="301"/>
        <v>0</v>
      </c>
      <c r="TMC32" s="28">
        <f t="shared" si="301"/>
        <v>0</v>
      </c>
      <c r="TMD32" s="28">
        <f t="shared" si="301"/>
        <v>0</v>
      </c>
      <c r="TME32" s="28">
        <f t="shared" si="301"/>
        <v>0</v>
      </c>
      <c r="TMF32" s="28">
        <f t="shared" si="301"/>
        <v>0</v>
      </c>
      <c r="TMG32" s="28">
        <f t="shared" si="301"/>
        <v>0</v>
      </c>
      <c r="TMH32" s="28">
        <f t="shared" si="301"/>
        <v>0</v>
      </c>
      <c r="TMI32" s="28">
        <f t="shared" si="301"/>
        <v>0</v>
      </c>
      <c r="TMJ32" s="28">
        <f t="shared" si="301"/>
        <v>0</v>
      </c>
      <c r="TMK32" s="28">
        <f t="shared" si="301"/>
        <v>0</v>
      </c>
      <c r="TML32" s="28">
        <f t="shared" si="301"/>
        <v>0</v>
      </c>
      <c r="TMM32" s="28">
        <f t="shared" si="301"/>
        <v>0</v>
      </c>
      <c r="TMN32" s="28">
        <f t="shared" si="301"/>
        <v>0</v>
      </c>
      <c r="TMO32" s="28">
        <f t="shared" si="301"/>
        <v>0</v>
      </c>
      <c r="TMP32" s="28">
        <f t="shared" si="301"/>
        <v>0</v>
      </c>
      <c r="TMQ32" s="28">
        <f t="shared" si="301"/>
        <v>0</v>
      </c>
      <c r="TMR32" s="28">
        <f t="shared" si="301"/>
        <v>0</v>
      </c>
      <c r="TMS32" s="28">
        <f t="shared" si="301"/>
        <v>0</v>
      </c>
      <c r="TMT32" s="28">
        <f t="shared" si="301"/>
        <v>0</v>
      </c>
      <c r="TMU32" s="28">
        <f t="shared" si="301"/>
        <v>0</v>
      </c>
      <c r="TMV32" s="28">
        <f t="shared" si="301"/>
        <v>0</v>
      </c>
      <c r="TMW32" s="28">
        <f t="shared" si="301"/>
        <v>0</v>
      </c>
      <c r="TMX32" s="28">
        <f t="shared" si="301"/>
        <v>0</v>
      </c>
      <c r="TMY32" s="28">
        <f t="shared" si="301"/>
        <v>0</v>
      </c>
      <c r="TMZ32" s="28">
        <f t="shared" si="301"/>
        <v>0</v>
      </c>
      <c r="TNA32" s="28">
        <f t="shared" si="301"/>
        <v>0</v>
      </c>
      <c r="TNB32" s="28">
        <f t="shared" si="301"/>
        <v>0</v>
      </c>
      <c r="TNC32" s="28">
        <f t="shared" si="301"/>
        <v>0</v>
      </c>
      <c r="TND32" s="28">
        <f t="shared" si="301"/>
        <v>0</v>
      </c>
      <c r="TNE32" s="28">
        <f t="shared" si="301"/>
        <v>0</v>
      </c>
      <c r="TNF32" s="28">
        <f t="shared" si="301"/>
        <v>0</v>
      </c>
      <c r="TNG32" s="28">
        <f t="shared" si="301"/>
        <v>0</v>
      </c>
      <c r="TNH32" s="28">
        <f t="shared" si="301"/>
        <v>0</v>
      </c>
      <c r="TNI32" s="28">
        <f t="shared" si="301"/>
        <v>0</v>
      </c>
      <c r="TNJ32" s="28">
        <f t="shared" si="301"/>
        <v>0</v>
      </c>
      <c r="TNK32" s="28">
        <f t="shared" si="301"/>
        <v>0</v>
      </c>
      <c r="TNL32" s="28">
        <f t="shared" si="301"/>
        <v>0</v>
      </c>
      <c r="TNM32" s="28">
        <f t="shared" ref="TNM32:TPX32" si="302">IFERROR(TNM31/TNM$4,0)</f>
        <v>0</v>
      </c>
      <c r="TNN32" s="28">
        <f t="shared" si="302"/>
        <v>0</v>
      </c>
      <c r="TNO32" s="28">
        <f t="shared" si="302"/>
        <v>0</v>
      </c>
      <c r="TNP32" s="28">
        <f t="shared" si="302"/>
        <v>0</v>
      </c>
      <c r="TNQ32" s="28">
        <f t="shared" si="302"/>
        <v>0</v>
      </c>
      <c r="TNR32" s="28">
        <f t="shared" si="302"/>
        <v>0</v>
      </c>
      <c r="TNS32" s="28">
        <f t="shared" si="302"/>
        <v>0</v>
      </c>
      <c r="TNT32" s="28">
        <f t="shared" si="302"/>
        <v>0</v>
      </c>
      <c r="TNU32" s="28">
        <f t="shared" si="302"/>
        <v>0</v>
      </c>
      <c r="TNV32" s="28">
        <f t="shared" si="302"/>
        <v>0</v>
      </c>
      <c r="TNW32" s="28">
        <f t="shared" si="302"/>
        <v>0</v>
      </c>
      <c r="TNX32" s="28">
        <f t="shared" si="302"/>
        <v>0</v>
      </c>
      <c r="TNY32" s="28">
        <f t="shared" si="302"/>
        <v>0</v>
      </c>
      <c r="TNZ32" s="28">
        <f t="shared" si="302"/>
        <v>0</v>
      </c>
      <c r="TOA32" s="28">
        <f t="shared" si="302"/>
        <v>0</v>
      </c>
      <c r="TOB32" s="28">
        <f t="shared" si="302"/>
        <v>0</v>
      </c>
      <c r="TOC32" s="28">
        <f t="shared" si="302"/>
        <v>0</v>
      </c>
      <c r="TOD32" s="28">
        <f t="shared" si="302"/>
        <v>0</v>
      </c>
      <c r="TOE32" s="28">
        <f t="shared" si="302"/>
        <v>0</v>
      </c>
      <c r="TOF32" s="28">
        <f t="shared" si="302"/>
        <v>0</v>
      </c>
      <c r="TOG32" s="28">
        <f t="shared" si="302"/>
        <v>0</v>
      </c>
      <c r="TOH32" s="28">
        <f t="shared" si="302"/>
        <v>0</v>
      </c>
      <c r="TOI32" s="28">
        <f t="shared" si="302"/>
        <v>0</v>
      </c>
      <c r="TOJ32" s="28">
        <f t="shared" si="302"/>
        <v>0</v>
      </c>
      <c r="TOK32" s="28">
        <f t="shared" si="302"/>
        <v>0</v>
      </c>
      <c r="TOL32" s="28">
        <f t="shared" si="302"/>
        <v>0</v>
      </c>
      <c r="TOM32" s="28">
        <f t="shared" si="302"/>
        <v>0</v>
      </c>
      <c r="TON32" s="28">
        <f t="shared" si="302"/>
        <v>0</v>
      </c>
      <c r="TOO32" s="28">
        <f t="shared" si="302"/>
        <v>0</v>
      </c>
      <c r="TOP32" s="28">
        <f t="shared" si="302"/>
        <v>0</v>
      </c>
      <c r="TOQ32" s="28">
        <f t="shared" si="302"/>
        <v>0</v>
      </c>
      <c r="TOR32" s="28">
        <f t="shared" si="302"/>
        <v>0</v>
      </c>
      <c r="TOS32" s="28">
        <f t="shared" si="302"/>
        <v>0</v>
      </c>
      <c r="TOT32" s="28">
        <f t="shared" si="302"/>
        <v>0</v>
      </c>
      <c r="TOU32" s="28">
        <f t="shared" si="302"/>
        <v>0</v>
      </c>
      <c r="TOV32" s="28">
        <f t="shared" si="302"/>
        <v>0</v>
      </c>
      <c r="TOW32" s="28">
        <f t="shared" si="302"/>
        <v>0</v>
      </c>
      <c r="TOX32" s="28">
        <f t="shared" si="302"/>
        <v>0</v>
      </c>
      <c r="TOY32" s="28">
        <f t="shared" si="302"/>
        <v>0</v>
      </c>
      <c r="TOZ32" s="28">
        <f t="shared" si="302"/>
        <v>0</v>
      </c>
      <c r="TPA32" s="28">
        <f t="shared" si="302"/>
        <v>0</v>
      </c>
      <c r="TPB32" s="28">
        <f t="shared" si="302"/>
        <v>0</v>
      </c>
      <c r="TPC32" s="28">
        <f t="shared" si="302"/>
        <v>0</v>
      </c>
      <c r="TPD32" s="28">
        <f t="shared" si="302"/>
        <v>0</v>
      </c>
      <c r="TPE32" s="28">
        <f t="shared" si="302"/>
        <v>0</v>
      </c>
      <c r="TPF32" s="28">
        <f t="shared" si="302"/>
        <v>0</v>
      </c>
      <c r="TPG32" s="28">
        <f t="shared" si="302"/>
        <v>0</v>
      </c>
      <c r="TPH32" s="28">
        <f t="shared" si="302"/>
        <v>0</v>
      </c>
      <c r="TPI32" s="28">
        <f t="shared" si="302"/>
        <v>0</v>
      </c>
      <c r="TPJ32" s="28">
        <f t="shared" si="302"/>
        <v>0</v>
      </c>
      <c r="TPK32" s="28">
        <f t="shared" si="302"/>
        <v>0</v>
      </c>
      <c r="TPL32" s="28">
        <f t="shared" si="302"/>
        <v>0</v>
      </c>
      <c r="TPM32" s="28">
        <f t="shared" si="302"/>
        <v>0</v>
      </c>
      <c r="TPN32" s="28">
        <f t="shared" si="302"/>
        <v>0</v>
      </c>
      <c r="TPO32" s="28">
        <f t="shared" si="302"/>
        <v>0</v>
      </c>
      <c r="TPP32" s="28">
        <f t="shared" si="302"/>
        <v>0</v>
      </c>
      <c r="TPQ32" s="28">
        <f t="shared" si="302"/>
        <v>0</v>
      </c>
      <c r="TPR32" s="28">
        <f t="shared" si="302"/>
        <v>0</v>
      </c>
      <c r="TPS32" s="28">
        <f t="shared" si="302"/>
        <v>0</v>
      </c>
      <c r="TPT32" s="28">
        <f t="shared" si="302"/>
        <v>0</v>
      </c>
      <c r="TPU32" s="28">
        <f t="shared" si="302"/>
        <v>0</v>
      </c>
      <c r="TPV32" s="28">
        <f t="shared" si="302"/>
        <v>0</v>
      </c>
      <c r="TPW32" s="28">
        <f t="shared" si="302"/>
        <v>0</v>
      </c>
      <c r="TPX32" s="28">
        <f t="shared" si="302"/>
        <v>0</v>
      </c>
      <c r="TPY32" s="28">
        <f t="shared" ref="TPY32:TSJ32" si="303">IFERROR(TPY31/TPY$4,0)</f>
        <v>0</v>
      </c>
      <c r="TPZ32" s="28">
        <f t="shared" si="303"/>
        <v>0</v>
      </c>
      <c r="TQA32" s="28">
        <f t="shared" si="303"/>
        <v>0</v>
      </c>
      <c r="TQB32" s="28">
        <f t="shared" si="303"/>
        <v>0</v>
      </c>
      <c r="TQC32" s="28">
        <f t="shared" si="303"/>
        <v>0</v>
      </c>
      <c r="TQD32" s="28">
        <f t="shared" si="303"/>
        <v>0</v>
      </c>
      <c r="TQE32" s="28">
        <f t="shared" si="303"/>
        <v>0</v>
      </c>
      <c r="TQF32" s="28">
        <f t="shared" si="303"/>
        <v>0</v>
      </c>
      <c r="TQG32" s="28">
        <f t="shared" si="303"/>
        <v>0</v>
      </c>
      <c r="TQH32" s="28">
        <f t="shared" si="303"/>
        <v>0</v>
      </c>
      <c r="TQI32" s="28">
        <f t="shared" si="303"/>
        <v>0</v>
      </c>
      <c r="TQJ32" s="28">
        <f t="shared" si="303"/>
        <v>0</v>
      </c>
      <c r="TQK32" s="28">
        <f t="shared" si="303"/>
        <v>0</v>
      </c>
      <c r="TQL32" s="28">
        <f t="shared" si="303"/>
        <v>0</v>
      </c>
      <c r="TQM32" s="28">
        <f t="shared" si="303"/>
        <v>0</v>
      </c>
      <c r="TQN32" s="28">
        <f t="shared" si="303"/>
        <v>0</v>
      </c>
      <c r="TQO32" s="28">
        <f t="shared" si="303"/>
        <v>0</v>
      </c>
      <c r="TQP32" s="28">
        <f t="shared" si="303"/>
        <v>0</v>
      </c>
      <c r="TQQ32" s="28">
        <f t="shared" si="303"/>
        <v>0</v>
      </c>
      <c r="TQR32" s="28">
        <f t="shared" si="303"/>
        <v>0</v>
      </c>
      <c r="TQS32" s="28">
        <f t="shared" si="303"/>
        <v>0</v>
      </c>
      <c r="TQT32" s="28">
        <f t="shared" si="303"/>
        <v>0</v>
      </c>
      <c r="TQU32" s="28">
        <f t="shared" si="303"/>
        <v>0</v>
      </c>
      <c r="TQV32" s="28">
        <f t="shared" si="303"/>
        <v>0</v>
      </c>
      <c r="TQW32" s="28">
        <f t="shared" si="303"/>
        <v>0</v>
      </c>
      <c r="TQX32" s="28">
        <f t="shared" si="303"/>
        <v>0</v>
      </c>
      <c r="TQY32" s="28">
        <f t="shared" si="303"/>
        <v>0</v>
      </c>
      <c r="TQZ32" s="28">
        <f t="shared" si="303"/>
        <v>0</v>
      </c>
      <c r="TRA32" s="28">
        <f t="shared" si="303"/>
        <v>0</v>
      </c>
      <c r="TRB32" s="28">
        <f t="shared" si="303"/>
        <v>0</v>
      </c>
      <c r="TRC32" s="28">
        <f t="shared" si="303"/>
        <v>0</v>
      </c>
      <c r="TRD32" s="28">
        <f t="shared" si="303"/>
        <v>0</v>
      </c>
      <c r="TRE32" s="28">
        <f t="shared" si="303"/>
        <v>0</v>
      </c>
      <c r="TRF32" s="28">
        <f t="shared" si="303"/>
        <v>0</v>
      </c>
      <c r="TRG32" s="28">
        <f t="shared" si="303"/>
        <v>0</v>
      </c>
      <c r="TRH32" s="28">
        <f t="shared" si="303"/>
        <v>0</v>
      </c>
      <c r="TRI32" s="28">
        <f t="shared" si="303"/>
        <v>0</v>
      </c>
      <c r="TRJ32" s="28">
        <f t="shared" si="303"/>
        <v>0</v>
      </c>
      <c r="TRK32" s="28">
        <f t="shared" si="303"/>
        <v>0</v>
      </c>
      <c r="TRL32" s="28">
        <f t="shared" si="303"/>
        <v>0</v>
      </c>
      <c r="TRM32" s="28">
        <f t="shared" si="303"/>
        <v>0</v>
      </c>
      <c r="TRN32" s="28">
        <f t="shared" si="303"/>
        <v>0</v>
      </c>
      <c r="TRO32" s="28">
        <f t="shared" si="303"/>
        <v>0</v>
      </c>
      <c r="TRP32" s="28">
        <f t="shared" si="303"/>
        <v>0</v>
      </c>
      <c r="TRQ32" s="28">
        <f t="shared" si="303"/>
        <v>0</v>
      </c>
      <c r="TRR32" s="28">
        <f t="shared" si="303"/>
        <v>0</v>
      </c>
      <c r="TRS32" s="28">
        <f t="shared" si="303"/>
        <v>0</v>
      </c>
      <c r="TRT32" s="28">
        <f t="shared" si="303"/>
        <v>0</v>
      </c>
      <c r="TRU32" s="28">
        <f t="shared" si="303"/>
        <v>0</v>
      </c>
      <c r="TRV32" s="28">
        <f t="shared" si="303"/>
        <v>0</v>
      </c>
      <c r="TRW32" s="28">
        <f t="shared" si="303"/>
        <v>0</v>
      </c>
      <c r="TRX32" s="28">
        <f t="shared" si="303"/>
        <v>0</v>
      </c>
      <c r="TRY32" s="28">
        <f t="shared" si="303"/>
        <v>0</v>
      </c>
      <c r="TRZ32" s="28">
        <f t="shared" si="303"/>
        <v>0</v>
      </c>
      <c r="TSA32" s="28">
        <f t="shared" si="303"/>
        <v>0</v>
      </c>
      <c r="TSB32" s="28">
        <f t="shared" si="303"/>
        <v>0</v>
      </c>
      <c r="TSC32" s="28">
        <f t="shared" si="303"/>
        <v>0</v>
      </c>
      <c r="TSD32" s="28">
        <f t="shared" si="303"/>
        <v>0</v>
      </c>
      <c r="TSE32" s="28">
        <f t="shared" si="303"/>
        <v>0</v>
      </c>
      <c r="TSF32" s="28">
        <f t="shared" si="303"/>
        <v>0</v>
      </c>
      <c r="TSG32" s="28">
        <f t="shared" si="303"/>
        <v>0</v>
      </c>
      <c r="TSH32" s="28">
        <f t="shared" si="303"/>
        <v>0</v>
      </c>
      <c r="TSI32" s="28">
        <f t="shared" si="303"/>
        <v>0</v>
      </c>
      <c r="TSJ32" s="28">
        <f t="shared" si="303"/>
        <v>0</v>
      </c>
      <c r="TSK32" s="28">
        <f t="shared" ref="TSK32:TUV32" si="304">IFERROR(TSK31/TSK$4,0)</f>
        <v>0</v>
      </c>
      <c r="TSL32" s="28">
        <f t="shared" si="304"/>
        <v>0</v>
      </c>
      <c r="TSM32" s="28">
        <f t="shared" si="304"/>
        <v>0</v>
      </c>
      <c r="TSN32" s="28">
        <f t="shared" si="304"/>
        <v>0</v>
      </c>
      <c r="TSO32" s="28">
        <f t="shared" si="304"/>
        <v>0</v>
      </c>
      <c r="TSP32" s="28">
        <f t="shared" si="304"/>
        <v>0</v>
      </c>
      <c r="TSQ32" s="28">
        <f t="shared" si="304"/>
        <v>0</v>
      </c>
      <c r="TSR32" s="28">
        <f t="shared" si="304"/>
        <v>0</v>
      </c>
      <c r="TSS32" s="28">
        <f t="shared" si="304"/>
        <v>0</v>
      </c>
      <c r="TST32" s="28">
        <f t="shared" si="304"/>
        <v>0</v>
      </c>
      <c r="TSU32" s="28">
        <f t="shared" si="304"/>
        <v>0</v>
      </c>
      <c r="TSV32" s="28">
        <f t="shared" si="304"/>
        <v>0</v>
      </c>
      <c r="TSW32" s="28">
        <f t="shared" si="304"/>
        <v>0</v>
      </c>
      <c r="TSX32" s="28">
        <f t="shared" si="304"/>
        <v>0</v>
      </c>
      <c r="TSY32" s="28">
        <f t="shared" si="304"/>
        <v>0</v>
      </c>
      <c r="TSZ32" s="28">
        <f t="shared" si="304"/>
        <v>0</v>
      </c>
      <c r="TTA32" s="28">
        <f t="shared" si="304"/>
        <v>0</v>
      </c>
      <c r="TTB32" s="28">
        <f t="shared" si="304"/>
        <v>0</v>
      </c>
      <c r="TTC32" s="28">
        <f t="shared" si="304"/>
        <v>0</v>
      </c>
      <c r="TTD32" s="28">
        <f t="shared" si="304"/>
        <v>0</v>
      </c>
      <c r="TTE32" s="28">
        <f t="shared" si="304"/>
        <v>0</v>
      </c>
      <c r="TTF32" s="28">
        <f t="shared" si="304"/>
        <v>0</v>
      </c>
      <c r="TTG32" s="28">
        <f t="shared" si="304"/>
        <v>0</v>
      </c>
      <c r="TTH32" s="28">
        <f t="shared" si="304"/>
        <v>0</v>
      </c>
      <c r="TTI32" s="28">
        <f t="shared" si="304"/>
        <v>0</v>
      </c>
      <c r="TTJ32" s="28">
        <f t="shared" si="304"/>
        <v>0</v>
      </c>
      <c r="TTK32" s="28">
        <f t="shared" si="304"/>
        <v>0</v>
      </c>
      <c r="TTL32" s="28">
        <f t="shared" si="304"/>
        <v>0</v>
      </c>
      <c r="TTM32" s="28">
        <f t="shared" si="304"/>
        <v>0</v>
      </c>
      <c r="TTN32" s="28">
        <f t="shared" si="304"/>
        <v>0</v>
      </c>
      <c r="TTO32" s="28">
        <f t="shared" si="304"/>
        <v>0</v>
      </c>
      <c r="TTP32" s="28">
        <f t="shared" si="304"/>
        <v>0</v>
      </c>
      <c r="TTQ32" s="28">
        <f t="shared" si="304"/>
        <v>0</v>
      </c>
      <c r="TTR32" s="28">
        <f t="shared" si="304"/>
        <v>0</v>
      </c>
      <c r="TTS32" s="28">
        <f t="shared" si="304"/>
        <v>0</v>
      </c>
      <c r="TTT32" s="28">
        <f t="shared" si="304"/>
        <v>0</v>
      </c>
      <c r="TTU32" s="28">
        <f t="shared" si="304"/>
        <v>0</v>
      </c>
      <c r="TTV32" s="28">
        <f t="shared" si="304"/>
        <v>0</v>
      </c>
      <c r="TTW32" s="28">
        <f t="shared" si="304"/>
        <v>0</v>
      </c>
      <c r="TTX32" s="28">
        <f t="shared" si="304"/>
        <v>0</v>
      </c>
      <c r="TTY32" s="28">
        <f t="shared" si="304"/>
        <v>0</v>
      </c>
      <c r="TTZ32" s="28">
        <f t="shared" si="304"/>
        <v>0</v>
      </c>
      <c r="TUA32" s="28">
        <f t="shared" si="304"/>
        <v>0</v>
      </c>
      <c r="TUB32" s="28">
        <f t="shared" si="304"/>
        <v>0</v>
      </c>
      <c r="TUC32" s="28">
        <f t="shared" si="304"/>
        <v>0</v>
      </c>
      <c r="TUD32" s="28">
        <f t="shared" si="304"/>
        <v>0</v>
      </c>
      <c r="TUE32" s="28">
        <f t="shared" si="304"/>
        <v>0</v>
      </c>
      <c r="TUF32" s="28">
        <f t="shared" si="304"/>
        <v>0</v>
      </c>
      <c r="TUG32" s="28">
        <f t="shared" si="304"/>
        <v>0</v>
      </c>
      <c r="TUH32" s="28">
        <f t="shared" si="304"/>
        <v>0</v>
      </c>
      <c r="TUI32" s="28">
        <f t="shared" si="304"/>
        <v>0</v>
      </c>
      <c r="TUJ32" s="28">
        <f t="shared" si="304"/>
        <v>0</v>
      </c>
      <c r="TUK32" s="28">
        <f t="shared" si="304"/>
        <v>0</v>
      </c>
      <c r="TUL32" s="28">
        <f t="shared" si="304"/>
        <v>0</v>
      </c>
      <c r="TUM32" s="28">
        <f t="shared" si="304"/>
        <v>0</v>
      </c>
      <c r="TUN32" s="28">
        <f t="shared" si="304"/>
        <v>0</v>
      </c>
      <c r="TUO32" s="28">
        <f t="shared" si="304"/>
        <v>0</v>
      </c>
      <c r="TUP32" s="28">
        <f t="shared" si="304"/>
        <v>0</v>
      </c>
      <c r="TUQ32" s="28">
        <f t="shared" si="304"/>
        <v>0</v>
      </c>
      <c r="TUR32" s="28">
        <f t="shared" si="304"/>
        <v>0</v>
      </c>
      <c r="TUS32" s="28">
        <f t="shared" si="304"/>
        <v>0</v>
      </c>
      <c r="TUT32" s="28">
        <f t="shared" si="304"/>
        <v>0</v>
      </c>
      <c r="TUU32" s="28">
        <f t="shared" si="304"/>
        <v>0</v>
      </c>
      <c r="TUV32" s="28">
        <f t="shared" si="304"/>
        <v>0</v>
      </c>
      <c r="TUW32" s="28">
        <f t="shared" ref="TUW32:TXH32" si="305">IFERROR(TUW31/TUW$4,0)</f>
        <v>0</v>
      </c>
      <c r="TUX32" s="28">
        <f t="shared" si="305"/>
        <v>0</v>
      </c>
      <c r="TUY32" s="28">
        <f t="shared" si="305"/>
        <v>0</v>
      </c>
      <c r="TUZ32" s="28">
        <f t="shared" si="305"/>
        <v>0</v>
      </c>
      <c r="TVA32" s="28">
        <f t="shared" si="305"/>
        <v>0</v>
      </c>
      <c r="TVB32" s="28">
        <f t="shared" si="305"/>
        <v>0</v>
      </c>
      <c r="TVC32" s="28">
        <f t="shared" si="305"/>
        <v>0</v>
      </c>
      <c r="TVD32" s="28">
        <f t="shared" si="305"/>
        <v>0</v>
      </c>
      <c r="TVE32" s="28">
        <f t="shared" si="305"/>
        <v>0</v>
      </c>
      <c r="TVF32" s="28">
        <f t="shared" si="305"/>
        <v>0</v>
      </c>
      <c r="TVG32" s="28">
        <f t="shared" si="305"/>
        <v>0</v>
      </c>
      <c r="TVH32" s="28">
        <f t="shared" si="305"/>
        <v>0</v>
      </c>
      <c r="TVI32" s="28">
        <f t="shared" si="305"/>
        <v>0</v>
      </c>
      <c r="TVJ32" s="28">
        <f t="shared" si="305"/>
        <v>0</v>
      </c>
      <c r="TVK32" s="28">
        <f t="shared" si="305"/>
        <v>0</v>
      </c>
      <c r="TVL32" s="28">
        <f t="shared" si="305"/>
        <v>0</v>
      </c>
      <c r="TVM32" s="28">
        <f t="shared" si="305"/>
        <v>0</v>
      </c>
      <c r="TVN32" s="28">
        <f t="shared" si="305"/>
        <v>0</v>
      </c>
      <c r="TVO32" s="28">
        <f t="shared" si="305"/>
        <v>0</v>
      </c>
      <c r="TVP32" s="28">
        <f t="shared" si="305"/>
        <v>0</v>
      </c>
      <c r="TVQ32" s="28">
        <f t="shared" si="305"/>
        <v>0</v>
      </c>
      <c r="TVR32" s="28">
        <f t="shared" si="305"/>
        <v>0</v>
      </c>
      <c r="TVS32" s="28">
        <f t="shared" si="305"/>
        <v>0</v>
      </c>
      <c r="TVT32" s="28">
        <f t="shared" si="305"/>
        <v>0</v>
      </c>
      <c r="TVU32" s="28">
        <f t="shared" si="305"/>
        <v>0</v>
      </c>
      <c r="TVV32" s="28">
        <f t="shared" si="305"/>
        <v>0</v>
      </c>
      <c r="TVW32" s="28">
        <f t="shared" si="305"/>
        <v>0</v>
      </c>
      <c r="TVX32" s="28">
        <f t="shared" si="305"/>
        <v>0</v>
      </c>
      <c r="TVY32" s="28">
        <f t="shared" si="305"/>
        <v>0</v>
      </c>
      <c r="TVZ32" s="28">
        <f t="shared" si="305"/>
        <v>0</v>
      </c>
      <c r="TWA32" s="28">
        <f t="shared" si="305"/>
        <v>0</v>
      </c>
      <c r="TWB32" s="28">
        <f t="shared" si="305"/>
        <v>0</v>
      </c>
      <c r="TWC32" s="28">
        <f t="shared" si="305"/>
        <v>0</v>
      </c>
      <c r="TWD32" s="28">
        <f t="shared" si="305"/>
        <v>0</v>
      </c>
      <c r="TWE32" s="28">
        <f t="shared" si="305"/>
        <v>0</v>
      </c>
      <c r="TWF32" s="28">
        <f t="shared" si="305"/>
        <v>0</v>
      </c>
      <c r="TWG32" s="28">
        <f t="shared" si="305"/>
        <v>0</v>
      </c>
      <c r="TWH32" s="28">
        <f t="shared" si="305"/>
        <v>0</v>
      </c>
      <c r="TWI32" s="28">
        <f t="shared" si="305"/>
        <v>0</v>
      </c>
      <c r="TWJ32" s="28">
        <f t="shared" si="305"/>
        <v>0</v>
      </c>
      <c r="TWK32" s="28">
        <f t="shared" si="305"/>
        <v>0</v>
      </c>
      <c r="TWL32" s="28">
        <f t="shared" si="305"/>
        <v>0</v>
      </c>
      <c r="TWM32" s="28">
        <f t="shared" si="305"/>
        <v>0</v>
      </c>
      <c r="TWN32" s="28">
        <f t="shared" si="305"/>
        <v>0</v>
      </c>
      <c r="TWO32" s="28">
        <f t="shared" si="305"/>
        <v>0</v>
      </c>
      <c r="TWP32" s="28">
        <f t="shared" si="305"/>
        <v>0</v>
      </c>
      <c r="TWQ32" s="28">
        <f t="shared" si="305"/>
        <v>0</v>
      </c>
      <c r="TWR32" s="28">
        <f t="shared" si="305"/>
        <v>0</v>
      </c>
      <c r="TWS32" s="28">
        <f t="shared" si="305"/>
        <v>0</v>
      </c>
      <c r="TWT32" s="28">
        <f t="shared" si="305"/>
        <v>0</v>
      </c>
      <c r="TWU32" s="28">
        <f t="shared" si="305"/>
        <v>0</v>
      </c>
      <c r="TWV32" s="28">
        <f t="shared" si="305"/>
        <v>0</v>
      </c>
      <c r="TWW32" s="28">
        <f t="shared" si="305"/>
        <v>0</v>
      </c>
      <c r="TWX32" s="28">
        <f t="shared" si="305"/>
        <v>0</v>
      </c>
      <c r="TWY32" s="28">
        <f t="shared" si="305"/>
        <v>0</v>
      </c>
      <c r="TWZ32" s="28">
        <f t="shared" si="305"/>
        <v>0</v>
      </c>
      <c r="TXA32" s="28">
        <f t="shared" si="305"/>
        <v>0</v>
      </c>
      <c r="TXB32" s="28">
        <f t="shared" si="305"/>
        <v>0</v>
      </c>
      <c r="TXC32" s="28">
        <f t="shared" si="305"/>
        <v>0</v>
      </c>
      <c r="TXD32" s="28">
        <f t="shared" si="305"/>
        <v>0</v>
      </c>
      <c r="TXE32" s="28">
        <f t="shared" si="305"/>
        <v>0</v>
      </c>
      <c r="TXF32" s="28">
        <f t="shared" si="305"/>
        <v>0</v>
      </c>
      <c r="TXG32" s="28">
        <f t="shared" si="305"/>
        <v>0</v>
      </c>
      <c r="TXH32" s="28">
        <f t="shared" si="305"/>
        <v>0</v>
      </c>
      <c r="TXI32" s="28">
        <f t="shared" ref="TXI32:TZT32" si="306">IFERROR(TXI31/TXI$4,0)</f>
        <v>0</v>
      </c>
      <c r="TXJ32" s="28">
        <f t="shared" si="306"/>
        <v>0</v>
      </c>
      <c r="TXK32" s="28">
        <f t="shared" si="306"/>
        <v>0</v>
      </c>
      <c r="TXL32" s="28">
        <f t="shared" si="306"/>
        <v>0</v>
      </c>
      <c r="TXM32" s="28">
        <f t="shared" si="306"/>
        <v>0</v>
      </c>
      <c r="TXN32" s="28">
        <f t="shared" si="306"/>
        <v>0</v>
      </c>
      <c r="TXO32" s="28">
        <f t="shared" si="306"/>
        <v>0</v>
      </c>
      <c r="TXP32" s="28">
        <f t="shared" si="306"/>
        <v>0</v>
      </c>
      <c r="TXQ32" s="28">
        <f t="shared" si="306"/>
        <v>0</v>
      </c>
      <c r="TXR32" s="28">
        <f t="shared" si="306"/>
        <v>0</v>
      </c>
      <c r="TXS32" s="28">
        <f t="shared" si="306"/>
        <v>0</v>
      </c>
      <c r="TXT32" s="28">
        <f t="shared" si="306"/>
        <v>0</v>
      </c>
      <c r="TXU32" s="28">
        <f t="shared" si="306"/>
        <v>0</v>
      </c>
      <c r="TXV32" s="28">
        <f t="shared" si="306"/>
        <v>0</v>
      </c>
      <c r="TXW32" s="28">
        <f t="shared" si="306"/>
        <v>0</v>
      </c>
      <c r="TXX32" s="28">
        <f t="shared" si="306"/>
        <v>0</v>
      </c>
      <c r="TXY32" s="28">
        <f t="shared" si="306"/>
        <v>0</v>
      </c>
      <c r="TXZ32" s="28">
        <f t="shared" si="306"/>
        <v>0</v>
      </c>
      <c r="TYA32" s="28">
        <f t="shared" si="306"/>
        <v>0</v>
      </c>
      <c r="TYB32" s="28">
        <f t="shared" si="306"/>
        <v>0</v>
      </c>
      <c r="TYC32" s="28">
        <f t="shared" si="306"/>
        <v>0</v>
      </c>
      <c r="TYD32" s="28">
        <f t="shared" si="306"/>
        <v>0</v>
      </c>
      <c r="TYE32" s="28">
        <f t="shared" si="306"/>
        <v>0</v>
      </c>
      <c r="TYF32" s="28">
        <f t="shared" si="306"/>
        <v>0</v>
      </c>
      <c r="TYG32" s="28">
        <f t="shared" si="306"/>
        <v>0</v>
      </c>
      <c r="TYH32" s="28">
        <f t="shared" si="306"/>
        <v>0</v>
      </c>
      <c r="TYI32" s="28">
        <f t="shared" si="306"/>
        <v>0</v>
      </c>
      <c r="TYJ32" s="28">
        <f t="shared" si="306"/>
        <v>0</v>
      </c>
      <c r="TYK32" s="28">
        <f t="shared" si="306"/>
        <v>0</v>
      </c>
      <c r="TYL32" s="28">
        <f t="shared" si="306"/>
        <v>0</v>
      </c>
      <c r="TYM32" s="28">
        <f t="shared" si="306"/>
        <v>0</v>
      </c>
      <c r="TYN32" s="28">
        <f t="shared" si="306"/>
        <v>0</v>
      </c>
      <c r="TYO32" s="28">
        <f t="shared" si="306"/>
        <v>0</v>
      </c>
      <c r="TYP32" s="28">
        <f t="shared" si="306"/>
        <v>0</v>
      </c>
      <c r="TYQ32" s="28">
        <f t="shared" si="306"/>
        <v>0</v>
      </c>
      <c r="TYR32" s="28">
        <f t="shared" si="306"/>
        <v>0</v>
      </c>
      <c r="TYS32" s="28">
        <f t="shared" si="306"/>
        <v>0</v>
      </c>
      <c r="TYT32" s="28">
        <f t="shared" si="306"/>
        <v>0</v>
      </c>
      <c r="TYU32" s="28">
        <f t="shared" si="306"/>
        <v>0</v>
      </c>
      <c r="TYV32" s="28">
        <f t="shared" si="306"/>
        <v>0</v>
      </c>
      <c r="TYW32" s="28">
        <f t="shared" si="306"/>
        <v>0</v>
      </c>
      <c r="TYX32" s="28">
        <f t="shared" si="306"/>
        <v>0</v>
      </c>
      <c r="TYY32" s="28">
        <f t="shared" si="306"/>
        <v>0</v>
      </c>
      <c r="TYZ32" s="28">
        <f t="shared" si="306"/>
        <v>0</v>
      </c>
      <c r="TZA32" s="28">
        <f t="shared" si="306"/>
        <v>0</v>
      </c>
      <c r="TZB32" s="28">
        <f t="shared" si="306"/>
        <v>0</v>
      </c>
      <c r="TZC32" s="28">
        <f t="shared" si="306"/>
        <v>0</v>
      </c>
      <c r="TZD32" s="28">
        <f t="shared" si="306"/>
        <v>0</v>
      </c>
      <c r="TZE32" s="28">
        <f t="shared" si="306"/>
        <v>0</v>
      </c>
      <c r="TZF32" s="28">
        <f t="shared" si="306"/>
        <v>0</v>
      </c>
      <c r="TZG32" s="28">
        <f t="shared" si="306"/>
        <v>0</v>
      </c>
      <c r="TZH32" s="28">
        <f t="shared" si="306"/>
        <v>0</v>
      </c>
      <c r="TZI32" s="28">
        <f t="shared" si="306"/>
        <v>0</v>
      </c>
      <c r="TZJ32" s="28">
        <f t="shared" si="306"/>
        <v>0</v>
      </c>
      <c r="TZK32" s="28">
        <f t="shared" si="306"/>
        <v>0</v>
      </c>
      <c r="TZL32" s="28">
        <f t="shared" si="306"/>
        <v>0</v>
      </c>
      <c r="TZM32" s="28">
        <f t="shared" si="306"/>
        <v>0</v>
      </c>
      <c r="TZN32" s="28">
        <f t="shared" si="306"/>
        <v>0</v>
      </c>
      <c r="TZO32" s="28">
        <f t="shared" si="306"/>
        <v>0</v>
      </c>
      <c r="TZP32" s="28">
        <f t="shared" si="306"/>
        <v>0</v>
      </c>
      <c r="TZQ32" s="28">
        <f t="shared" si="306"/>
        <v>0</v>
      </c>
      <c r="TZR32" s="28">
        <f t="shared" si="306"/>
        <v>0</v>
      </c>
      <c r="TZS32" s="28">
        <f t="shared" si="306"/>
        <v>0</v>
      </c>
      <c r="TZT32" s="28">
        <f t="shared" si="306"/>
        <v>0</v>
      </c>
      <c r="TZU32" s="28">
        <f t="shared" ref="TZU32:UCF32" si="307">IFERROR(TZU31/TZU$4,0)</f>
        <v>0</v>
      </c>
      <c r="TZV32" s="28">
        <f t="shared" si="307"/>
        <v>0</v>
      </c>
      <c r="TZW32" s="28">
        <f t="shared" si="307"/>
        <v>0</v>
      </c>
      <c r="TZX32" s="28">
        <f t="shared" si="307"/>
        <v>0</v>
      </c>
      <c r="TZY32" s="28">
        <f t="shared" si="307"/>
        <v>0</v>
      </c>
      <c r="TZZ32" s="28">
        <f t="shared" si="307"/>
        <v>0</v>
      </c>
      <c r="UAA32" s="28">
        <f t="shared" si="307"/>
        <v>0</v>
      </c>
      <c r="UAB32" s="28">
        <f t="shared" si="307"/>
        <v>0</v>
      </c>
      <c r="UAC32" s="28">
        <f t="shared" si="307"/>
        <v>0</v>
      </c>
      <c r="UAD32" s="28">
        <f t="shared" si="307"/>
        <v>0</v>
      </c>
      <c r="UAE32" s="28">
        <f t="shared" si="307"/>
        <v>0</v>
      </c>
      <c r="UAF32" s="28">
        <f t="shared" si="307"/>
        <v>0</v>
      </c>
      <c r="UAG32" s="28">
        <f t="shared" si="307"/>
        <v>0</v>
      </c>
      <c r="UAH32" s="28">
        <f t="shared" si="307"/>
        <v>0</v>
      </c>
      <c r="UAI32" s="28">
        <f t="shared" si="307"/>
        <v>0</v>
      </c>
      <c r="UAJ32" s="28">
        <f t="shared" si="307"/>
        <v>0</v>
      </c>
      <c r="UAK32" s="28">
        <f t="shared" si="307"/>
        <v>0</v>
      </c>
      <c r="UAL32" s="28">
        <f t="shared" si="307"/>
        <v>0</v>
      </c>
      <c r="UAM32" s="28">
        <f t="shared" si="307"/>
        <v>0</v>
      </c>
      <c r="UAN32" s="28">
        <f t="shared" si="307"/>
        <v>0</v>
      </c>
      <c r="UAO32" s="28">
        <f t="shared" si="307"/>
        <v>0</v>
      </c>
      <c r="UAP32" s="28">
        <f t="shared" si="307"/>
        <v>0</v>
      </c>
      <c r="UAQ32" s="28">
        <f t="shared" si="307"/>
        <v>0</v>
      </c>
      <c r="UAR32" s="28">
        <f t="shared" si="307"/>
        <v>0</v>
      </c>
      <c r="UAS32" s="28">
        <f t="shared" si="307"/>
        <v>0</v>
      </c>
      <c r="UAT32" s="28">
        <f t="shared" si="307"/>
        <v>0</v>
      </c>
      <c r="UAU32" s="28">
        <f t="shared" si="307"/>
        <v>0</v>
      </c>
      <c r="UAV32" s="28">
        <f t="shared" si="307"/>
        <v>0</v>
      </c>
      <c r="UAW32" s="28">
        <f t="shared" si="307"/>
        <v>0</v>
      </c>
      <c r="UAX32" s="28">
        <f t="shared" si="307"/>
        <v>0</v>
      </c>
      <c r="UAY32" s="28">
        <f t="shared" si="307"/>
        <v>0</v>
      </c>
      <c r="UAZ32" s="28">
        <f t="shared" si="307"/>
        <v>0</v>
      </c>
      <c r="UBA32" s="28">
        <f t="shared" si="307"/>
        <v>0</v>
      </c>
      <c r="UBB32" s="28">
        <f t="shared" si="307"/>
        <v>0</v>
      </c>
      <c r="UBC32" s="28">
        <f t="shared" si="307"/>
        <v>0</v>
      </c>
      <c r="UBD32" s="28">
        <f t="shared" si="307"/>
        <v>0</v>
      </c>
      <c r="UBE32" s="28">
        <f t="shared" si="307"/>
        <v>0</v>
      </c>
      <c r="UBF32" s="28">
        <f t="shared" si="307"/>
        <v>0</v>
      </c>
      <c r="UBG32" s="28">
        <f t="shared" si="307"/>
        <v>0</v>
      </c>
      <c r="UBH32" s="28">
        <f t="shared" si="307"/>
        <v>0</v>
      </c>
      <c r="UBI32" s="28">
        <f t="shared" si="307"/>
        <v>0</v>
      </c>
      <c r="UBJ32" s="28">
        <f t="shared" si="307"/>
        <v>0</v>
      </c>
      <c r="UBK32" s="28">
        <f t="shared" si="307"/>
        <v>0</v>
      </c>
      <c r="UBL32" s="28">
        <f t="shared" si="307"/>
        <v>0</v>
      </c>
      <c r="UBM32" s="28">
        <f t="shared" si="307"/>
        <v>0</v>
      </c>
      <c r="UBN32" s="28">
        <f t="shared" si="307"/>
        <v>0</v>
      </c>
      <c r="UBO32" s="28">
        <f t="shared" si="307"/>
        <v>0</v>
      </c>
      <c r="UBP32" s="28">
        <f t="shared" si="307"/>
        <v>0</v>
      </c>
      <c r="UBQ32" s="28">
        <f t="shared" si="307"/>
        <v>0</v>
      </c>
      <c r="UBR32" s="28">
        <f t="shared" si="307"/>
        <v>0</v>
      </c>
      <c r="UBS32" s="28">
        <f t="shared" si="307"/>
        <v>0</v>
      </c>
      <c r="UBT32" s="28">
        <f t="shared" si="307"/>
        <v>0</v>
      </c>
      <c r="UBU32" s="28">
        <f t="shared" si="307"/>
        <v>0</v>
      </c>
      <c r="UBV32" s="28">
        <f t="shared" si="307"/>
        <v>0</v>
      </c>
      <c r="UBW32" s="28">
        <f t="shared" si="307"/>
        <v>0</v>
      </c>
      <c r="UBX32" s="28">
        <f t="shared" si="307"/>
        <v>0</v>
      </c>
      <c r="UBY32" s="28">
        <f t="shared" si="307"/>
        <v>0</v>
      </c>
      <c r="UBZ32" s="28">
        <f t="shared" si="307"/>
        <v>0</v>
      </c>
      <c r="UCA32" s="28">
        <f t="shared" si="307"/>
        <v>0</v>
      </c>
      <c r="UCB32" s="28">
        <f t="shared" si="307"/>
        <v>0</v>
      </c>
      <c r="UCC32" s="28">
        <f t="shared" si="307"/>
        <v>0</v>
      </c>
      <c r="UCD32" s="28">
        <f t="shared" si="307"/>
        <v>0</v>
      </c>
      <c r="UCE32" s="28">
        <f t="shared" si="307"/>
        <v>0</v>
      </c>
      <c r="UCF32" s="28">
        <f t="shared" si="307"/>
        <v>0</v>
      </c>
      <c r="UCG32" s="28">
        <f t="shared" ref="UCG32:UER32" si="308">IFERROR(UCG31/UCG$4,0)</f>
        <v>0</v>
      </c>
      <c r="UCH32" s="28">
        <f t="shared" si="308"/>
        <v>0</v>
      </c>
      <c r="UCI32" s="28">
        <f t="shared" si="308"/>
        <v>0</v>
      </c>
      <c r="UCJ32" s="28">
        <f t="shared" si="308"/>
        <v>0</v>
      </c>
      <c r="UCK32" s="28">
        <f t="shared" si="308"/>
        <v>0</v>
      </c>
      <c r="UCL32" s="28">
        <f t="shared" si="308"/>
        <v>0</v>
      </c>
      <c r="UCM32" s="28">
        <f t="shared" si="308"/>
        <v>0</v>
      </c>
      <c r="UCN32" s="28">
        <f t="shared" si="308"/>
        <v>0</v>
      </c>
      <c r="UCO32" s="28">
        <f t="shared" si="308"/>
        <v>0</v>
      </c>
      <c r="UCP32" s="28">
        <f t="shared" si="308"/>
        <v>0</v>
      </c>
      <c r="UCQ32" s="28">
        <f t="shared" si="308"/>
        <v>0</v>
      </c>
      <c r="UCR32" s="28">
        <f t="shared" si="308"/>
        <v>0</v>
      </c>
      <c r="UCS32" s="28">
        <f t="shared" si="308"/>
        <v>0</v>
      </c>
      <c r="UCT32" s="28">
        <f t="shared" si="308"/>
        <v>0</v>
      </c>
      <c r="UCU32" s="28">
        <f t="shared" si="308"/>
        <v>0</v>
      </c>
      <c r="UCV32" s="28">
        <f t="shared" si="308"/>
        <v>0</v>
      </c>
      <c r="UCW32" s="28">
        <f t="shared" si="308"/>
        <v>0</v>
      </c>
      <c r="UCX32" s="28">
        <f t="shared" si="308"/>
        <v>0</v>
      </c>
      <c r="UCY32" s="28">
        <f t="shared" si="308"/>
        <v>0</v>
      </c>
      <c r="UCZ32" s="28">
        <f t="shared" si="308"/>
        <v>0</v>
      </c>
      <c r="UDA32" s="28">
        <f t="shared" si="308"/>
        <v>0</v>
      </c>
      <c r="UDB32" s="28">
        <f t="shared" si="308"/>
        <v>0</v>
      </c>
      <c r="UDC32" s="28">
        <f t="shared" si="308"/>
        <v>0</v>
      </c>
      <c r="UDD32" s="28">
        <f t="shared" si="308"/>
        <v>0</v>
      </c>
      <c r="UDE32" s="28">
        <f t="shared" si="308"/>
        <v>0</v>
      </c>
      <c r="UDF32" s="28">
        <f t="shared" si="308"/>
        <v>0</v>
      </c>
      <c r="UDG32" s="28">
        <f t="shared" si="308"/>
        <v>0</v>
      </c>
      <c r="UDH32" s="28">
        <f t="shared" si="308"/>
        <v>0</v>
      </c>
      <c r="UDI32" s="28">
        <f t="shared" si="308"/>
        <v>0</v>
      </c>
      <c r="UDJ32" s="28">
        <f t="shared" si="308"/>
        <v>0</v>
      </c>
      <c r="UDK32" s="28">
        <f t="shared" si="308"/>
        <v>0</v>
      </c>
      <c r="UDL32" s="28">
        <f t="shared" si="308"/>
        <v>0</v>
      </c>
      <c r="UDM32" s="28">
        <f t="shared" si="308"/>
        <v>0</v>
      </c>
      <c r="UDN32" s="28">
        <f t="shared" si="308"/>
        <v>0</v>
      </c>
      <c r="UDO32" s="28">
        <f t="shared" si="308"/>
        <v>0</v>
      </c>
      <c r="UDP32" s="28">
        <f t="shared" si="308"/>
        <v>0</v>
      </c>
      <c r="UDQ32" s="28">
        <f t="shared" si="308"/>
        <v>0</v>
      </c>
      <c r="UDR32" s="28">
        <f t="shared" si="308"/>
        <v>0</v>
      </c>
      <c r="UDS32" s="28">
        <f t="shared" si="308"/>
        <v>0</v>
      </c>
      <c r="UDT32" s="28">
        <f t="shared" si="308"/>
        <v>0</v>
      </c>
      <c r="UDU32" s="28">
        <f t="shared" si="308"/>
        <v>0</v>
      </c>
      <c r="UDV32" s="28">
        <f t="shared" si="308"/>
        <v>0</v>
      </c>
      <c r="UDW32" s="28">
        <f t="shared" si="308"/>
        <v>0</v>
      </c>
      <c r="UDX32" s="28">
        <f t="shared" si="308"/>
        <v>0</v>
      </c>
      <c r="UDY32" s="28">
        <f t="shared" si="308"/>
        <v>0</v>
      </c>
      <c r="UDZ32" s="28">
        <f t="shared" si="308"/>
        <v>0</v>
      </c>
      <c r="UEA32" s="28">
        <f t="shared" si="308"/>
        <v>0</v>
      </c>
      <c r="UEB32" s="28">
        <f t="shared" si="308"/>
        <v>0</v>
      </c>
      <c r="UEC32" s="28">
        <f t="shared" si="308"/>
        <v>0</v>
      </c>
      <c r="UED32" s="28">
        <f t="shared" si="308"/>
        <v>0</v>
      </c>
      <c r="UEE32" s="28">
        <f t="shared" si="308"/>
        <v>0</v>
      </c>
      <c r="UEF32" s="28">
        <f t="shared" si="308"/>
        <v>0</v>
      </c>
      <c r="UEG32" s="28">
        <f t="shared" si="308"/>
        <v>0</v>
      </c>
      <c r="UEH32" s="28">
        <f t="shared" si="308"/>
        <v>0</v>
      </c>
      <c r="UEI32" s="28">
        <f t="shared" si="308"/>
        <v>0</v>
      </c>
      <c r="UEJ32" s="28">
        <f t="shared" si="308"/>
        <v>0</v>
      </c>
      <c r="UEK32" s="28">
        <f t="shared" si="308"/>
        <v>0</v>
      </c>
      <c r="UEL32" s="28">
        <f t="shared" si="308"/>
        <v>0</v>
      </c>
      <c r="UEM32" s="28">
        <f t="shared" si="308"/>
        <v>0</v>
      </c>
      <c r="UEN32" s="28">
        <f t="shared" si="308"/>
        <v>0</v>
      </c>
      <c r="UEO32" s="28">
        <f t="shared" si="308"/>
        <v>0</v>
      </c>
      <c r="UEP32" s="28">
        <f t="shared" si="308"/>
        <v>0</v>
      </c>
      <c r="UEQ32" s="28">
        <f t="shared" si="308"/>
        <v>0</v>
      </c>
      <c r="UER32" s="28">
        <f t="shared" si="308"/>
        <v>0</v>
      </c>
      <c r="UES32" s="28">
        <f t="shared" ref="UES32:UHD32" si="309">IFERROR(UES31/UES$4,0)</f>
        <v>0</v>
      </c>
      <c r="UET32" s="28">
        <f t="shared" si="309"/>
        <v>0</v>
      </c>
      <c r="UEU32" s="28">
        <f t="shared" si="309"/>
        <v>0</v>
      </c>
      <c r="UEV32" s="28">
        <f t="shared" si="309"/>
        <v>0</v>
      </c>
      <c r="UEW32" s="28">
        <f t="shared" si="309"/>
        <v>0</v>
      </c>
      <c r="UEX32" s="28">
        <f t="shared" si="309"/>
        <v>0</v>
      </c>
      <c r="UEY32" s="28">
        <f t="shared" si="309"/>
        <v>0</v>
      </c>
      <c r="UEZ32" s="28">
        <f t="shared" si="309"/>
        <v>0</v>
      </c>
      <c r="UFA32" s="28">
        <f t="shared" si="309"/>
        <v>0</v>
      </c>
      <c r="UFB32" s="28">
        <f t="shared" si="309"/>
        <v>0</v>
      </c>
      <c r="UFC32" s="28">
        <f t="shared" si="309"/>
        <v>0</v>
      </c>
      <c r="UFD32" s="28">
        <f t="shared" si="309"/>
        <v>0</v>
      </c>
      <c r="UFE32" s="28">
        <f t="shared" si="309"/>
        <v>0</v>
      </c>
      <c r="UFF32" s="28">
        <f t="shared" si="309"/>
        <v>0</v>
      </c>
      <c r="UFG32" s="28">
        <f t="shared" si="309"/>
        <v>0</v>
      </c>
      <c r="UFH32" s="28">
        <f t="shared" si="309"/>
        <v>0</v>
      </c>
      <c r="UFI32" s="28">
        <f t="shared" si="309"/>
        <v>0</v>
      </c>
      <c r="UFJ32" s="28">
        <f t="shared" si="309"/>
        <v>0</v>
      </c>
      <c r="UFK32" s="28">
        <f t="shared" si="309"/>
        <v>0</v>
      </c>
      <c r="UFL32" s="28">
        <f t="shared" si="309"/>
        <v>0</v>
      </c>
      <c r="UFM32" s="28">
        <f t="shared" si="309"/>
        <v>0</v>
      </c>
      <c r="UFN32" s="28">
        <f t="shared" si="309"/>
        <v>0</v>
      </c>
      <c r="UFO32" s="28">
        <f t="shared" si="309"/>
        <v>0</v>
      </c>
      <c r="UFP32" s="28">
        <f t="shared" si="309"/>
        <v>0</v>
      </c>
      <c r="UFQ32" s="28">
        <f t="shared" si="309"/>
        <v>0</v>
      </c>
      <c r="UFR32" s="28">
        <f t="shared" si="309"/>
        <v>0</v>
      </c>
      <c r="UFS32" s="28">
        <f t="shared" si="309"/>
        <v>0</v>
      </c>
      <c r="UFT32" s="28">
        <f t="shared" si="309"/>
        <v>0</v>
      </c>
      <c r="UFU32" s="28">
        <f t="shared" si="309"/>
        <v>0</v>
      </c>
      <c r="UFV32" s="28">
        <f t="shared" si="309"/>
        <v>0</v>
      </c>
      <c r="UFW32" s="28">
        <f t="shared" si="309"/>
        <v>0</v>
      </c>
      <c r="UFX32" s="28">
        <f t="shared" si="309"/>
        <v>0</v>
      </c>
      <c r="UFY32" s="28">
        <f t="shared" si="309"/>
        <v>0</v>
      </c>
      <c r="UFZ32" s="28">
        <f t="shared" si="309"/>
        <v>0</v>
      </c>
      <c r="UGA32" s="28">
        <f t="shared" si="309"/>
        <v>0</v>
      </c>
      <c r="UGB32" s="28">
        <f t="shared" si="309"/>
        <v>0</v>
      </c>
      <c r="UGC32" s="28">
        <f t="shared" si="309"/>
        <v>0</v>
      </c>
      <c r="UGD32" s="28">
        <f t="shared" si="309"/>
        <v>0</v>
      </c>
      <c r="UGE32" s="28">
        <f t="shared" si="309"/>
        <v>0</v>
      </c>
      <c r="UGF32" s="28">
        <f t="shared" si="309"/>
        <v>0</v>
      </c>
      <c r="UGG32" s="28">
        <f t="shared" si="309"/>
        <v>0</v>
      </c>
      <c r="UGH32" s="28">
        <f t="shared" si="309"/>
        <v>0</v>
      </c>
      <c r="UGI32" s="28">
        <f t="shared" si="309"/>
        <v>0</v>
      </c>
      <c r="UGJ32" s="28">
        <f t="shared" si="309"/>
        <v>0</v>
      </c>
      <c r="UGK32" s="28">
        <f t="shared" si="309"/>
        <v>0</v>
      </c>
      <c r="UGL32" s="28">
        <f t="shared" si="309"/>
        <v>0</v>
      </c>
      <c r="UGM32" s="28">
        <f t="shared" si="309"/>
        <v>0</v>
      </c>
      <c r="UGN32" s="28">
        <f t="shared" si="309"/>
        <v>0</v>
      </c>
      <c r="UGO32" s="28">
        <f t="shared" si="309"/>
        <v>0</v>
      </c>
      <c r="UGP32" s="28">
        <f t="shared" si="309"/>
        <v>0</v>
      </c>
      <c r="UGQ32" s="28">
        <f t="shared" si="309"/>
        <v>0</v>
      </c>
      <c r="UGR32" s="28">
        <f t="shared" si="309"/>
        <v>0</v>
      </c>
      <c r="UGS32" s="28">
        <f t="shared" si="309"/>
        <v>0</v>
      </c>
      <c r="UGT32" s="28">
        <f t="shared" si="309"/>
        <v>0</v>
      </c>
      <c r="UGU32" s="28">
        <f t="shared" si="309"/>
        <v>0</v>
      </c>
      <c r="UGV32" s="28">
        <f t="shared" si="309"/>
        <v>0</v>
      </c>
      <c r="UGW32" s="28">
        <f t="shared" si="309"/>
        <v>0</v>
      </c>
      <c r="UGX32" s="28">
        <f t="shared" si="309"/>
        <v>0</v>
      </c>
      <c r="UGY32" s="28">
        <f t="shared" si="309"/>
        <v>0</v>
      </c>
      <c r="UGZ32" s="28">
        <f t="shared" si="309"/>
        <v>0</v>
      </c>
      <c r="UHA32" s="28">
        <f t="shared" si="309"/>
        <v>0</v>
      </c>
      <c r="UHB32" s="28">
        <f t="shared" si="309"/>
        <v>0</v>
      </c>
      <c r="UHC32" s="28">
        <f t="shared" si="309"/>
        <v>0</v>
      </c>
      <c r="UHD32" s="28">
        <f t="shared" si="309"/>
        <v>0</v>
      </c>
      <c r="UHE32" s="28">
        <f t="shared" ref="UHE32:UJP32" si="310">IFERROR(UHE31/UHE$4,0)</f>
        <v>0</v>
      </c>
      <c r="UHF32" s="28">
        <f t="shared" si="310"/>
        <v>0</v>
      </c>
      <c r="UHG32" s="28">
        <f t="shared" si="310"/>
        <v>0</v>
      </c>
      <c r="UHH32" s="28">
        <f t="shared" si="310"/>
        <v>0</v>
      </c>
      <c r="UHI32" s="28">
        <f t="shared" si="310"/>
        <v>0</v>
      </c>
      <c r="UHJ32" s="28">
        <f t="shared" si="310"/>
        <v>0</v>
      </c>
      <c r="UHK32" s="28">
        <f t="shared" si="310"/>
        <v>0</v>
      </c>
      <c r="UHL32" s="28">
        <f t="shared" si="310"/>
        <v>0</v>
      </c>
      <c r="UHM32" s="28">
        <f t="shared" si="310"/>
        <v>0</v>
      </c>
      <c r="UHN32" s="28">
        <f t="shared" si="310"/>
        <v>0</v>
      </c>
      <c r="UHO32" s="28">
        <f t="shared" si="310"/>
        <v>0</v>
      </c>
      <c r="UHP32" s="28">
        <f t="shared" si="310"/>
        <v>0</v>
      </c>
      <c r="UHQ32" s="28">
        <f t="shared" si="310"/>
        <v>0</v>
      </c>
      <c r="UHR32" s="28">
        <f t="shared" si="310"/>
        <v>0</v>
      </c>
      <c r="UHS32" s="28">
        <f t="shared" si="310"/>
        <v>0</v>
      </c>
      <c r="UHT32" s="28">
        <f t="shared" si="310"/>
        <v>0</v>
      </c>
      <c r="UHU32" s="28">
        <f t="shared" si="310"/>
        <v>0</v>
      </c>
      <c r="UHV32" s="28">
        <f t="shared" si="310"/>
        <v>0</v>
      </c>
      <c r="UHW32" s="28">
        <f t="shared" si="310"/>
        <v>0</v>
      </c>
      <c r="UHX32" s="28">
        <f t="shared" si="310"/>
        <v>0</v>
      </c>
      <c r="UHY32" s="28">
        <f t="shared" si="310"/>
        <v>0</v>
      </c>
      <c r="UHZ32" s="28">
        <f t="shared" si="310"/>
        <v>0</v>
      </c>
      <c r="UIA32" s="28">
        <f t="shared" si="310"/>
        <v>0</v>
      </c>
      <c r="UIB32" s="28">
        <f t="shared" si="310"/>
        <v>0</v>
      </c>
      <c r="UIC32" s="28">
        <f t="shared" si="310"/>
        <v>0</v>
      </c>
      <c r="UID32" s="28">
        <f t="shared" si="310"/>
        <v>0</v>
      </c>
      <c r="UIE32" s="28">
        <f t="shared" si="310"/>
        <v>0</v>
      </c>
      <c r="UIF32" s="28">
        <f t="shared" si="310"/>
        <v>0</v>
      </c>
      <c r="UIG32" s="28">
        <f t="shared" si="310"/>
        <v>0</v>
      </c>
      <c r="UIH32" s="28">
        <f t="shared" si="310"/>
        <v>0</v>
      </c>
      <c r="UII32" s="28">
        <f t="shared" si="310"/>
        <v>0</v>
      </c>
      <c r="UIJ32" s="28">
        <f t="shared" si="310"/>
        <v>0</v>
      </c>
      <c r="UIK32" s="28">
        <f t="shared" si="310"/>
        <v>0</v>
      </c>
      <c r="UIL32" s="28">
        <f t="shared" si="310"/>
        <v>0</v>
      </c>
      <c r="UIM32" s="28">
        <f t="shared" si="310"/>
        <v>0</v>
      </c>
      <c r="UIN32" s="28">
        <f t="shared" si="310"/>
        <v>0</v>
      </c>
      <c r="UIO32" s="28">
        <f t="shared" si="310"/>
        <v>0</v>
      </c>
      <c r="UIP32" s="28">
        <f t="shared" si="310"/>
        <v>0</v>
      </c>
      <c r="UIQ32" s="28">
        <f t="shared" si="310"/>
        <v>0</v>
      </c>
      <c r="UIR32" s="28">
        <f t="shared" si="310"/>
        <v>0</v>
      </c>
      <c r="UIS32" s="28">
        <f t="shared" si="310"/>
        <v>0</v>
      </c>
      <c r="UIT32" s="28">
        <f t="shared" si="310"/>
        <v>0</v>
      </c>
      <c r="UIU32" s="28">
        <f t="shared" si="310"/>
        <v>0</v>
      </c>
      <c r="UIV32" s="28">
        <f t="shared" si="310"/>
        <v>0</v>
      </c>
      <c r="UIW32" s="28">
        <f t="shared" si="310"/>
        <v>0</v>
      </c>
      <c r="UIX32" s="28">
        <f t="shared" si="310"/>
        <v>0</v>
      </c>
      <c r="UIY32" s="28">
        <f t="shared" si="310"/>
        <v>0</v>
      </c>
      <c r="UIZ32" s="28">
        <f t="shared" si="310"/>
        <v>0</v>
      </c>
      <c r="UJA32" s="28">
        <f t="shared" si="310"/>
        <v>0</v>
      </c>
      <c r="UJB32" s="28">
        <f t="shared" si="310"/>
        <v>0</v>
      </c>
      <c r="UJC32" s="28">
        <f t="shared" si="310"/>
        <v>0</v>
      </c>
      <c r="UJD32" s="28">
        <f t="shared" si="310"/>
        <v>0</v>
      </c>
      <c r="UJE32" s="28">
        <f t="shared" si="310"/>
        <v>0</v>
      </c>
      <c r="UJF32" s="28">
        <f t="shared" si="310"/>
        <v>0</v>
      </c>
      <c r="UJG32" s="28">
        <f t="shared" si="310"/>
        <v>0</v>
      </c>
      <c r="UJH32" s="28">
        <f t="shared" si="310"/>
        <v>0</v>
      </c>
      <c r="UJI32" s="28">
        <f t="shared" si="310"/>
        <v>0</v>
      </c>
      <c r="UJJ32" s="28">
        <f t="shared" si="310"/>
        <v>0</v>
      </c>
      <c r="UJK32" s="28">
        <f t="shared" si="310"/>
        <v>0</v>
      </c>
      <c r="UJL32" s="28">
        <f t="shared" si="310"/>
        <v>0</v>
      </c>
      <c r="UJM32" s="28">
        <f t="shared" si="310"/>
        <v>0</v>
      </c>
      <c r="UJN32" s="28">
        <f t="shared" si="310"/>
        <v>0</v>
      </c>
      <c r="UJO32" s="28">
        <f t="shared" si="310"/>
        <v>0</v>
      </c>
      <c r="UJP32" s="28">
        <f t="shared" si="310"/>
        <v>0</v>
      </c>
      <c r="UJQ32" s="28">
        <f t="shared" ref="UJQ32:UMB32" si="311">IFERROR(UJQ31/UJQ$4,0)</f>
        <v>0</v>
      </c>
      <c r="UJR32" s="28">
        <f t="shared" si="311"/>
        <v>0</v>
      </c>
      <c r="UJS32" s="28">
        <f t="shared" si="311"/>
        <v>0</v>
      </c>
      <c r="UJT32" s="28">
        <f t="shared" si="311"/>
        <v>0</v>
      </c>
      <c r="UJU32" s="28">
        <f t="shared" si="311"/>
        <v>0</v>
      </c>
      <c r="UJV32" s="28">
        <f t="shared" si="311"/>
        <v>0</v>
      </c>
      <c r="UJW32" s="28">
        <f t="shared" si="311"/>
        <v>0</v>
      </c>
      <c r="UJX32" s="28">
        <f t="shared" si="311"/>
        <v>0</v>
      </c>
      <c r="UJY32" s="28">
        <f t="shared" si="311"/>
        <v>0</v>
      </c>
      <c r="UJZ32" s="28">
        <f t="shared" si="311"/>
        <v>0</v>
      </c>
      <c r="UKA32" s="28">
        <f t="shared" si="311"/>
        <v>0</v>
      </c>
      <c r="UKB32" s="28">
        <f t="shared" si="311"/>
        <v>0</v>
      </c>
      <c r="UKC32" s="28">
        <f t="shared" si="311"/>
        <v>0</v>
      </c>
      <c r="UKD32" s="28">
        <f t="shared" si="311"/>
        <v>0</v>
      </c>
      <c r="UKE32" s="28">
        <f t="shared" si="311"/>
        <v>0</v>
      </c>
      <c r="UKF32" s="28">
        <f t="shared" si="311"/>
        <v>0</v>
      </c>
      <c r="UKG32" s="28">
        <f t="shared" si="311"/>
        <v>0</v>
      </c>
      <c r="UKH32" s="28">
        <f t="shared" si="311"/>
        <v>0</v>
      </c>
      <c r="UKI32" s="28">
        <f t="shared" si="311"/>
        <v>0</v>
      </c>
      <c r="UKJ32" s="28">
        <f t="shared" si="311"/>
        <v>0</v>
      </c>
      <c r="UKK32" s="28">
        <f t="shared" si="311"/>
        <v>0</v>
      </c>
      <c r="UKL32" s="28">
        <f t="shared" si="311"/>
        <v>0</v>
      </c>
      <c r="UKM32" s="28">
        <f t="shared" si="311"/>
        <v>0</v>
      </c>
      <c r="UKN32" s="28">
        <f t="shared" si="311"/>
        <v>0</v>
      </c>
      <c r="UKO32" s="28">
        <f t="shared" si="311"/>
        <v>0</v>
      </c>
      <c r="UKP32" s="28">
        <f t="shared" si="311"/>
        <v>0</v>
      </c>
      <c r="UKQ32" s="28">
        <f t="shared" si="311"/>
        <v>0</v>
      </c>
      <c r="UKR32" s="28">
        <f t="shared" si="311"/>
        <v>0</v>
      </c>
      <c r="UKS32" s="28">
        <f t="shared" si="311"/>
        <v>0</v>
      </c>
      <c r="UKT32" s="28">
        <f t="shared" si="311"/>
        <v>0</v>
      </c>
      <c r="UKU32" s="28">
        <f t="shared" si="311"/>
        <v>0</v>
      </c>
      <c r="UKV32" s="28">
        <f t="shared" si="311"/>
        <v>0</v>
      </c>
      <c r="UKW32" s="28">
        <f t="shared" si="311"/>
        <v>0</v>
      </c>
      <c r="UKX32" s="28">
        <f t="shared" si="311"/>
        <v>0</v>
      </c>
      <c r="UKY32" s="28">
        <f t="shared" si="311"/>
        <v>0</v>
      </c>
      <c r="UKZ32" s="28">
        <f t="shared" si="311"/>
        <v>0</v>
      </c>
      <c r="ULA32" s="28">
        <f t="shared" si="311"/>
        <v>0</v>
      </c>
      <c r="ULB32" s="28">
        <f t="shared" si="311"/>
        <v>0</v>
      </c>
      <c r="ULC32" s="28">
        <f t="shared" si="311"/>
        <v>0</v>
      </c>
      <c r="ULD32" s="28">
        <f t="shared" si="311"/>
        <v>0</v>
      </c>
      <c r="ULE32" s="28">
        <f t="shared" si="311"/>
        <v>0</v>
      </c>
      <c r="ULF32" s="28">
        <f t="shared" si="311"/>
        <v>0</v>
      </c>
      <c r="ULG32" s="28">
        <f t="shared" si="311"/>
        <v>0</v>
      </c>
      <c r="ULH32" s="28">
        <f t="shared" si="311"/>
        <v>0</v>
      </c>
      <c r="ULI32" s="28">
        <f t="shared" si="311"/>
        <v>0</v>
      </c>
      <c r="ULJ32" s="28">
        <f t="shared" si="311"/>
        <v>0</v>
      </c>
      <c r="ULK32" s="28">
        <f t="shared" si="311"/>
        <v>0</v>
      </c>
      <c r="ULL32" s="28">
        <f t="shared" si="311"/>
        <v>0</v>
      </c>
      <c r="ULM32" s="28">
        <f t="shared" si="311"/>
        <v>0</v>
      </c>
      <c r="ULN32" s="28">
        <f t="shared" si="311"/>
        <v>0</v>
      </c>
      <c r="ULO32" s="28">
        <f t="shared" si="311"/>
        <v>0</v>
      </c>
      <c r="ULP32" s="28">
        <f t="shared" si="311"/>
        <v>0</v>
      </c>
      <c r="ULQ32" s="28">
        <f t="shared" si="311"/>
        <v>0</v>
      </c>
      <c r="ULR32" s="28">
        <f t="shared" si="311"/>
        <v>0</v>
      </c>
      <c r="ULS32" s="28">
        <f t="shared" si="311"/>
        <v>0</v>
      </c>
      <c r="ULT32" s="28">
        <f t="shared" si="311"/>
        <v>0</v>
      </c>
      <c r="ULU32" s="28">
        <f t="shared" si="311"/>
        <v>0</v>
      </c>
      <c r="ULV32" s="28">
        <f t="shared" si="311"/>
        <v>0</v>
      </c>
      <c r="ULW32" s="28">
        <f t="shared" si="311"/>
        <v>0</v>
      </c>
      <c r="ULX32" s="28">
        <f t="shared" si="311"/>
        <v>0</v>
      </c>
      <c r="ULY32" s="28">
        <f t="shared" si="311"/>
        <v>0</v>
      </c>
      <c r="ULZ32" s="28">
        <f t="shared" si="311"/>
        <v>0</v>
      </c>
      <c r="UMA32" s="28">
        <f t="shared" si="311"/>
        <v>0</v>
      </c>
      <c r="UMB32" s="28">
        <f t="shared" si="311"/>
        <v>0</v>
      </c>
      <c r="UMC32" s="28">
        <f t="shared" ref="UMC32:UON32" si="312">IFERROR(UMC31/UMC$4,0)</f>
        <v>0</v>
      </c>
      <c r="UMD32" s="28">
        <f t="shared" si="312"/>
        <v>0</v>
      </c>
      <c r="UME32" s="28">
        <f t="shared" si="312"/>
        <v>0</v>
      </c>
      <c r="UMF32" s="28">
        <f t="shared" si="312"/>
        <v>0</v>
      </c>
      <c r="UMG32" s="28">
        <f t="shared" si="312"/>
        <v>0</v>
      </c>
      <c r="UMH32" s="28">
        <f t="shared" si="312"/>
        <v>0</v>
      </c>
      <c r="UMI32" s="28">
        <f t="shared" si="312"/>
        <v>0</v>
      </c>
      <c r="UMJ32" s="28">
        <f t="shared" si="312"/>
        <v>0</v>
      </c>
      <c r="UMK32" s="28">
        <f t="shared" si="312"/>
        <v>0</v>
      </c>
      <c r="UML32" s="28">
        <f t="shared" si="312"/>
        <v>0</v>
      </c>
      <c r="UMM32" s="28">
        <f t="shared" si="312"/>
        <v>0</v>
      </c>
      <c r="UMN32" s="28">
        <f t="shared" si="312"/>
        <v>0</v>
      </c>
      <c r="UMO32" s="28">
        <f t="shared" si="312"/>
        <v>0</v>
      </c>
      <c r="UMP32" s="28">
        <f t="shared" si="312"/>
        <v>0</v>
      </c>
      <c r="UMQ32" s="28">
        <f t="shared" si="312"/>
        <v>0</v>
      </c>
      <c r="UMR32" s="28">
        <f t="shared" si="312"/>
        <v>0</v>
      </c>
      <c r="UMS32" s="28">
        <f t="shared" si="312"/>
        <v>0</v>
      </c>
      <c r="UMT32" s="28">
        <f t="shared" si="312"/>
        <v>0</v>
      </c>
      <c r="UMU32" s="28">
        <f t="shared" si="312"/>
        <v>0</v>
      </c>
      <c r="UMV32" s="28">
        <f t="shared" si="312"/>
        <v>0</v>
      </c>
      <c r="UMW32" s="28">
        <f t="shared" si="312"/>
        <v>0</v>
      </c>
      <c r="UMX32" s="28">
        <f t="shared" si="312"/>
        <v>0</v>
      </c>
      <c r="UMY32" s="28">
        <f t="shared" si="312"/>
        <v>0</v>
      </c>
      <c r="UMZ32" s="28">
        <f t="shared" si="312"/>
        <v>0</v>
      </c>
      <c r="UNA32" s="28">
        <f t="shared" si="312"/>
        <v>0</v>
      </c>
      <c r="UNB32" s="28">
        <f t="shared" si="312"/>
        <v>0</v>
      </c>
      <c r="UNC32" s="28">
        <f t="shared" si="312"/>
        <v>0</v>
      </c>
      <c r="UND32" s="28">
        <f t="shared" si="312"/>
        <v>0</v>
      </c>
      <c r="UNE32" s="28">
        <f t="shared" si="312"/>
        <v>0</v>
      </c>
      <c r="UNF32" s="28">
        <f t="shared" si="312"/>
        <v>0</v>
      </c>
      <c r="UNG32" s="28">
        <f t="shared" si="312"/>
        <v>0</v>
      </c>
      <c r="UNH32" s="28">
        <f t="shared" si="312"/>
        <v>0</v>
      </c>
      <c r="UNI32" s="28">
        <f t="shared" si="312"/>
        <v>0</v>
      </c>
      <c r="UNJ32" s="28">
        <f t="shared" si="312"/>
        <v>0</v>
      </c>
      <c r="UNK32" s="28">
        <f t="shared" si="312"/>
        <v>0</v>
      </c>
      <c r="UNL32" s="28">
        <f t="shared" si="312"/>
        <v>0</v>
      </c>
      <c r="UNM32" s="28">
        <f t="shared" si="312"/>
        <v>0</v>
      </c>
      <c r="UNN32" s="28">
        <f t="shared" si="312"/>
        <v>0</v>
      </c>
      <c r="UNO32" s="28">
        <f t="shared" si="312"/>
        <v>0</v>
      </c>
      <c r="UNP32" s="28">
        <f t="shared" si="312"/>
        <v>0</v>
      </c>
      <c r="UNQ32" s="28">
        <f t="shared" si="312"/>
        <v>0</v>
      </c>
      <c r="UNR32" s="28">
        <f t="shared" si="312"/>
        <v>0</v>
      </c>
      <c r="UNS32" s="28">
        <f t="shared" si="312"/>
        <v>0</v>
      </c>
      <c r="UNT32" s="28">
        <f t="shared" si="312"/>
        <v>0</v>
      </c>
      <c r="UNU32" s="28">
        <f t="shared" si="312"/>
        <v>0</v>
      </c>
      <c r="UNV32" s="28">
        <f t="shared" si="312"/>
        <v>0</v>
      </c>
      <c r="UNW32" s="28">
        <f t="shared" si="312"/>
        <v>0</v>
      </c>
      <c r="UNX32" s="28">
        <f t="shared" si="312"/>
        <v>0</v>
      </c>
      <c r="UNY32" s="28">
        <f t="shared" si="312"/>
        <v>0</v>
      </c>
      <c r="UNZ32" s="28">
        <f t="shared" si="312"/>
        <v>0</v>
      </c>
      <c r="UOA32" s="28">
        <f t="shared" si="312"/>
        <v>0</v>
      </c>
      <c r="UOB32" s="28">
        <f t="shared" si="312"/>
        <v>0</v>
      </c>
      <c r="UOC32" s="28">
        <f t="shared" si="312"/>
        <v>0</v>
      </c>
      <c r="UOD32" s="28">
        <f t="shared" si="312"/>
        <v>0</v>
      </c>
      <c r="UOE32" s="28">
        <f t="shared" si="312"/>
        <v>0</v>
      </c>
      <c r="UOF32" s="28">
        <f t="shared" si="312"/>
        <v>0</v>
      </c>
      <c r="UOG32" s="28">
        <f t="shared" si="312"/>
        <v>0</v>
      </c>
      <c r="UOH32" s="28">
        <f t="shared" si="312"/>
        <v>0</v>
      </c>
      <c r="UOI32" s="28">
        <f t="shared" si="312"/>
        <v>0</v>
      </c>
      <c r="UOJ32" s="28">
        <f t="shared" si="312"/>
        <v>0</v>
      </c>
      <c r="UOK32" s="28">
        <f t="shared" si="312"/>
        <v>0</v>
      </c>
      <c r="UOL32" s="28">
        <f t="shared" si="312"/>
        <v>0</v>
      </c>
      <c r="UOM32" s="28">
        <f t="shared" si="312"/>
        <v>0</v>
      </c>
      <c r="UON32" s="28">
        <f t="shared" si="312"/>
        <v>0</v>
      </c>
      <c r="UOO32" s="28">
        <f t="shared" ref="UOO32:UQZ32" si="313">IFERROR(UOO31/UOO$4,0)</f>
        <v>0</v>
      </c>
      <c r="UOP32" s="28">
        <f t="shared" si="313"/>
        <v>0</v>
      </c>
      <c r="UOQ32" s="28">
        <f t="shared" si="313"/>
        <v>0</v>
      </c>
      <c r="UOR32" s="28">
        <f t="shared" si="313"/>
        <v>0</v>
      </c>
      <c r="UOS32" s="28">
        <f t="shared" si="313"/>
        <v>0</v>
      </c>
      <c r="UOT32" s="28">
        <f t="shared" si="313"/>
        <v>0</v>
      </c>
      <c r="UOU32" s="28">
        <f t="shared" si="313"/>
        <v>0</v>
      </c>
      <c r="UOV32" s="28">
        <f t="shared" si="313"/>
        <v>0</v>
      </c>
      <c r="UOW32" s="28">
        <f t="shared" si="313"/>
        <v>0</v>
      </c>
      <c r="UOX32" s="28">
        <f t="shared" si="313"/>
        <v>0</v>
      </c>
      <c r="UOY32" s="28">
        <f t="shared" si="313"/>
        <v>0</v>
      </c>
      <c r="UOZ32" s="28">
        <f t="shared" si="313"/>
        <v>0</v>
      </c>
      <c r="UPA32" s="28">
        <f t="shared" si="313"/>
        <v>0</v>
      </c>
      <c r="UPB32" s="28">
        <f t="shared" si="313"/>
        <v>0</v>
      </c>
      <c r="UPC32" s="28">
        <f t="shared" si="313"/>
        <v>0</v>
      </c>
      <c r="UPD32" s="28">
        <f t="shared" si="313"/>
        <v>0</v>
      </c>
      <c r="UPE32" s="28">
        <f t="shared" si="313"/>
        <v>0</v>
      </c>
      <c r="UPF32" s="28">
        <f t="shared" si="313"/>
        <v>0</v>
      </c>
      <c r="UPG32" s="28">
        <f t="shared" si="313"/>
        <v>0</v>
      </c>
      <c r="UPH32" s="28">
        <f t="shared" si="313"/>
        <v>0</v>
      </c>
      <c r="UPI32" s="28">
        <f t="shared" si="313"/>
        <v>0</v>
      </c>
      <c r="UPJ32" s="28">
        <f t="shared" si="313"/>
        <v>0</v>
      </c>
      <c r="UPK32" s="28">
        <f t="shared" si="313"/>
        <v>0</v>
      </c>
      <c r="UPL32" s="28">
        <f t="shared" si="313"/>
        <v>0</v>
      </c>
      <c r="UPM32" s="28">
        <f t="shared" si="313"/>
        <v>0</v>
      </c>
      <c r="UPN32" s="28">
        <f t="shared" si="313"/>
        <v>0</v>
      </c>
      <c r="UPO32" s="28">
        <f t="shared" si="313"/>
        <v>0</v>
      </c>
      <c r="UPP32" s="28">
        <f t="shared" si="313"/>
        <v>0</v>
      </c>
      <c r="UPQ32" s="28">
        <f t="shared" si="313"/>
        <v>0</v>
      </c>
      <c r="UPR32" s="28">
        <f t="shared" si="313"/>
        <v>0</v>
      </c>
      <c r="UPS32" s="28">
        <f t="shared" si="313"/>
        <v>0</v>
      </c>
      <c r="UPT32" s="28">
        <f t="shared" si="313"/>
        <v>0</v>
      </c>
      <c r="UPU32" s="28">
        <f t="shared" si="313"/>
        <v>0</v>
      </c>
      <c r="UPV32" s="28">
        <f t="shared" si="313"/>
        <v>0</v>
      </c>
      <c r="UPW32" s="28">
        <f t="shared" si="313"/>
        <v>0</v>
      </c>
      <c r="UPX32" s="28">
        <f t="shared" si="313"/>
        <v>0</v>
      </c>
      <c r="UPY32" s="28">
        <f t="shared" si="313"/>
        <v>0</v>
      </c>
      <c r="UPZ32" s="28">
        <f t="shared" si="313"/>
        <v>0</v>
      </c>
      <c r="UQA32" s="28">
        <f t="shared" si="313"/>
        <v>0</v>
      </c>
      <c r="UQB32" s="28">
        <f t="shared" si="313"/>
        <v>0</v>
      </c>
      <c r="UQC32" s="28">
        <f t="shared" si="313"/>
        <v>0</v>
      </c>
      <c r="UQD32" s="28">
        <f t="shared" si="313"/>
        <v>0</v>
      </c>
      <c r="UQE32" s="28">
        <f t="shared" si="313"/>
        <v>0</v>
      </c>
      <c r="UQF32" s="28">
        <f t="shared" si="313"/>
        <v>0</v>
      </c>
      <c r="UQG32" s="28">
        <f t="shared" si="313"/>
        <v>0</v>
      </c>
      <c r="UQH32" s="28">
        <f t="shared" si="313"/>
        <v>0</v>
      </c>
      <c r="UQI32" s="28">
        <f t="shared" si="313"/>
        <v>0</v>
      </c>
      <c r="UQJ32" s="28">
        <f t="shared" si="313"/>
        <v>0</v>
      </c>
      <c r="UQK32" s="28">
        <f t="shared" si="313"/>
        <v>0</v>
      </c>
      <c r="UQL32" s="28">
        <f t="shared" si="313"/>
        <v>0</v>
      </c>
      <c r="UQM32" s="28">
        <f t="shared" si="313"/>
        <v>0</v>
      </c>
      <c r="UQN32" s="28">
        <f t="shared" si="313"/>
        <v>0</v>
      </c>
      <c r="UQO32" s="28">
        <f t="shared" si="313"/>
        <v>0</v>
      </c>
      <c r="UQP32" s="28">
        <f t="shared" si="313"/>
        <v>0</v>
      </c>
      <c r="UQQ32" s="28">
        <f t="shared" si="313"/>
        <v>0</v>
      </c>
      <c r="UQR32" s="28">
        <f t="shared" si="313"/>
        <v>0</v>
      </c>
      <c r="UQS32" s="28">
        <f t="shared" si="313"/>
        <v>0</v>
      </c>
      <c r="UQT32" s="28">
        <f t="shared" si="313"/>
        <v>0</v>
      </c>
      <c r="UQU32" s="28">
        <f t="shared" si="313"/>
        <v>0</v>
      </c>
      <c r="UQV32" s="28">
        <f t="shared" si="313"/>
        <v>0</v>
      </c>
      <c r="UQW32" s="28">
        <f t="shared" si="313"/>
        <v>0</v>
      </c>
      <c r="UQX32" s="28">
        <f t="shared" si="313"/>
        <v>0</v>
      </c>
      <c r="UQY32" s="28">
        <f t="shared" si="313"/>
        <v>0</v>
      </c>
      <c r="UQZ32" s="28">
        <f t="shared" si="313"/>
        <v>0</v>
      </c>
      <c r="URA32" s="28">
        <f t="shared" ref="URA32:UTL32" si="314">IFERROR(URA31/URA$4,0)</f>
        <v>0</v>
      </c>
      <c r="URB32" s="28">
        <f t="shared" si="314"/>
        <v>0</v>
      </c>
      <c r="URC32" s="28">
        <f t="shared" si="314"/>
        <v>0</v>
      </c>
      <c r="URD32" s="28">
        <f t="shared" si="314"/>
        <v>0</v>
      </c>
      <c r="URE32" s="28">
        <f t="shared" si="314"/>
        <v>0</v>
      </c>
      <c r="URF32" s="28">
        <f t="shared" si="314"/>
        <v>0</v>
      </c>
      <c r="URG32" s="28">
        <f t="shared" si="314"/>
        <v>0</v>
      </c>
      <c r="URH32" s="28">
        <f t="shared" si="314"/>
        <v>0</v>
      </c>
      <c r="URI32" s="28">
        <f t="shared" si="314"/>
        <v>0</v>
      </c>
      <c r="URJ32" s="28">
        <f t="shared" si="314"/>
        <v>0</v>
      </c>
      <c r="URK32" s="28">
        <f t="shared" si="314"/>
        <v>0</v>
      </c>
      <c r="URL32" s="28">
        <f t="shared" si="314"/>
        <v>0</v>
      </c>
      <c r="URM32" s="28">
        <f t="shared" si="314"/>
        <v>0</v>
      </c>
      <c r="URN32" s="28">
        <f t="shared" si="314"/>
        <v>0</v>
      </c>
      <c r="URO32" s="28">
        <f t="shared" si="314"/>
        <v>0</v>
      </c>
      <c r="URP32" s="28">
        <f t="shared" si="314"/>
        <v>0</v>
      </c>
      <c r="URQ32" s="28">
        <f t="shared" si="314"/>
        <v>0</v>
      </c>
      <c r="URR32" s="28">
        <f t="shared" si="314"/>
        <v>0</v>
      </c>
      <c r="URS32" s="28">
        <f t="shared" si="314"/>
        <v>0</v>
      </c>
      <c r="URT32" s="28">
        <f t="shared" si="314"/>
        <v>0</v>
      </c>
      <c r="URU32" s="28">
        <f t="shared" si="314"/>
        <v>0</v>
      </c>
      <c r="URV32" s="28">
        <f t="shared" si="314"/>
        <v>0</v>
      </c>
      <c r="URW32" s="28">
        <f t="shared" si="314"/>
        <v>0</v>
      </c>
      <c r="URX32" s="28">
        <f t="shared" si="314"/>
        <v>0</v>
      </c>
      <c r="URY32" s="28">
        <f t="shared" si="314"/>
        <v>0</v>
      </c>
      <c r="URZ32" s="28">
        <f t="shared" si="314"/>
        <v>0</v>
      </c>
      <c r="USA32" s="28">
        <f t="shared" si="314"/>
        <v>0</v>
      </c>
      <c r="USB32" s="28">
        <f t="shared" si="314"/>
        <v>0</v>
      </c>
      <c r="USC32" s="28">
        <f t="shared" si="314"/>
        <v>0</v>
      </c>
      <c r="USD32" s="28">
        <f t="shared" si="314"/>
        <v>0</v>
      </c>
      <c r="USE32" s="28">
        <f t="shared" si="314"/>
        <v>0</v>
      </c>
      <c r="USF32" s="28">
        <f t="shared" si="314"/>
        <v>0</v>
      </c>
      <c r="USG32" s="28">
        <f t="shared" si="314"/>
        <v>0</v>
      </c>
      <c r="USH32" s="28">
        <f t="shared" si="314"/>
        <v>0</v>
      </c>
      <c r="USI32" s="28">
        <f t="shared" si="314"/>
        <v>0</v>
      </c>
      <c r="USJ32" s="28">
        <f t="shared" si="314"/>
        <v>0</v>
      </c>
      <c r="USK32" s="28">
        <f t="shared" si="314"/>
        <v>0</v>
      </c>
      <c r="USL32" s="28">
        <f t="shared" si="314"/>
        <v>0</v>
      </c>
      <c r="USM32" s="28">
        <f t="shared" si="314"/>
        <v>0</v>
      </c>
      <c r="USN32" s="28">
        <f t="shared" si="314"/>
        <v>0</v>
      </c>
      <c r="USO32" s="28">
        <f t="shared" si="314"/>
        <v>0</v>
      </c>
      <c r="USP32" s="28">
        <f t="shared" si="314"/>
        <v>0</v>
      </c>
      <c r="USQ32" s="28">
        <f t="shared" si="314"/>
        <v>0</v>
      </c>
      <c r="USR32" s="28">
        <f t="shared" si="314"/>
        <v>0</v>
      </c>
      <c r="USS32" s="28">
        <f t="shared" si="314"/>
        <v>0</v>
      </c>
      <c r="UST32" s="28">
        <f t="shared" si="314"/>
        <v>0</v>
      </c>
      <c r="USU32" s="28">
        <f t="shared" si="314"/>
        <v>0</v>
      </c>
      <c r="USV32" s="28">
        <f t="shared" si="314"/>
        <v>0</v>
      </c>
      <c r="USW32" s="28">
        <f t="shared" si="314"/>
        <v>0</v>
      </c>
      <c r="USX32" s="28">
        <f t="shared" si="314"/>
        <v>0</v>
      </c>
      <c r="USY32" s="28">
        <f t="shared" si="314"/>
        <v>0</v>
      </c>
      <c r="USZ32" s="28">
        <f t="shared" si="314"/>
        <v>0</v>
      </c>
      <c r="UTA32" s="28">
        <f t="shared" si="314"/>
        <v>0</v>
      </c>
      <c r="UTB32" s="28">
        <f t="shared" si="314"/>
        <v>0</v>
      </c>
      <c r="UTC32" s="28">
        <f t="shared" si="314"/>
        <v>0</v>
      </c>
      <c r="UTD32" s="28">
        <f t="shared" si="314"/>
        <v>0</v>
      </c>
      <c r="UTE32" s="28">
        <f t="shared" si="314"/>
        <v>0</v>
      </c>
      <c r="UTF32" s="28">
        <f t="shared" si="314"/>
        <v>0</v>
      </c>
      <c r="UTG32" s="28">
        <f t="shared" si="314"/>
        <v>0</v>
      </c>
      <c r="UTH32" s="28">
        <f t="shared" si="314"/>
        <v>0</v>
      </c>
      <c r="UTI32" s="28">
        <f t="shared" si="314"/>
        <v>0</v>
      </c>
      <c r="UTJ32" s="28">
        <f t="shared" si="314"/>
        <v>0</v>
      </c>
      <c r="UTK32" s="28">
        <f t="shared" si="314"/>
        <v>0</v>
      </c>
      <c r="UTL32" s="28">
        <f t="shared" si="314"/>
        <v>0</v>
      </c>
      <c r="UTM32" s="28">
        <f t="shared" ref="UTM32:UVX32" si="315">IFERROR(UTM31/UTM$4,0)</f>
        <v>0</v>
      </c>
      <c r="UTN32" s="28">
        <f t="shared" si="315"/>
        <v>0</v>
      </c>
      <c r="UTO32" s="28">
        <f t="shared" si="315"/>
        <v>0</v>
      </c>
      <c r="UTP32" s="28">
        <f t="shared" si="315"/>
        <v>0</v>
      </c>
      <c r="UTQ32" s="28">
        <f t="shared" si="315"/>
        <v>0</v>
      </c>
      <c r="UTR32" s="28">
        <f t="shared" si="315"/>
        <v>0</v>
      </c>
      <c r="UTS32" s="28">
        <f t="shared" si="315"/>
        <v>0</v>
      </c>
      <c r="UTT32" s="28">
        <f t="shared" si="315"/>
        <v>0</v>
      </c>
      <c r="UTU32" s="28">
        <f t="shared" si="315"/>
        <v>0</v>
      </c>
      <c r="UTV32" s="28">
        <f t="shared" si="315"/>
        <v>0</v>
      </c>
      <c r="UTW32" s="28">
        <f t="shared" si="315"/>
        <v>0</v>
      </c>
      <c r="UTX32" s="28">
        <f t="shared" si="315"/>
        <v>0</v>
      </c>
      <c r="UTY32" s="28">
        <f t="shared" si="315"/>
        <v>0</v>
      </c>
      <c r="UTZ32" s="28">
        <f t="shared" si="315"/>
        <v>0</v>
      </c>
      <c r="UUA32" s="28">
        <f t="shared" si="315"/>
        <v>0</v>
      </c>
      <c r="UUB32" s="28">
        <f t="shared" si="315"/>
        <v>0</v>
      </c>
      <c r="UUC32" s="28">
        <f t="shared" si="315"/>
        <v>0</v>
      </c>
      <c r="UUD32" s="28">
        <f t="shared" si="315"/>
        <v>0</v>
      </c>
      <c r="UUE32" s="28">
        <f t="shared" si="315"/>
        <v>0</v>
      </c>
      <c r="UUF32" s="28">
        <f t="shared" si="315"/>
        <v>0</v>
      </c>
      <c r="UUG32" s="28">
        <f t="shared" si="315"/>
        <v>0</v>
      </c>
      <c r="UUH32" s="28">
        <f t="shared" si="315"/>
        <v>0</v>
      </c>
      <c r="UUI32" s="28">
        <f t="shared" si="315"/>
        <v>0</v>
      </c>
      <c r="UUJ32" s="28">
        <f t="shared" si="315"/>
        <v>0</v>
      </c>
      <c r="UUK32" s="28">
        <f t="shared" si="315"/>
        <v>0</v>
      </c>
      <c r="UUL32" s="28">
        <f t="shared" si="315"/>
        <v>0</v>
      </c>
      <c r="UUM32" s="28">
        <f t="shared" si="315"/>
        <v>0</v>
      </c>
      <c r="UUN32" s="28">
        <f t="shared" si="315"/>
        <v>0</v>
      </c>
      <c r="UUO32" s="28">
        <f t="shared" si="315"/>
        <v>0</v>
      </c>
      <c r="UUP32" s="28">
        <f t="shared" si="315"/>
        <v>0</v>
      </c>
      <c r="UUQ32" s="28">
        <f t="shared" si="315"/>
        <v>0</v>
      </c>
      <c r="UUR32" s="28">
        <f t="shared" si="315"/>
        <v>0</v>
      </c>
      <c r="UUS32" s="28">
        <f t="shared" si="315"/>
        <v>0</v>
      </c>
      <c r="UUT32" s="28">
        <f t="shared" si="315"/>
        <v>0</v>
      </c>
      <c r="UUU32" s="28">
        <f t="shared" si="315"/>
        <v>0</v>
      </c>
      <c r="UUV32" s="28">
        <f t="shared" si="315"/>
        <v>0</v>
      </c>
      <c r="UUW32" s="28">
        <f t="shared" si="315"/>
        <v>0</v>
      </c>
      <c r="UUX32" s="28">
        <f t="shared" si="315"/>
        <v>0</v>
      </c>
      <c r="UUY32" s="28">
        <f t="shared" si="315"/>
        <v>0</v>
      </c>
      <c r="UUZ32" s="28">
        <f t="shared" si="315"/>
        <v>0</v>
      </c>
      <c r="UVA32" s="28">
        <f t="shared" si="315"/>
        <v>0</v>
      </c>
      <c r="UVB32" s="28">
        <f t="shared" si="315"/>
        <v>0</v>
      </c>
      <c r="UVC32" s="28">
        <f t="shared" si="315"/>
        <v>0</v>
      </c>
      <c r="UVD32" s="28">
        <f t="shared" si="315"/>
        <v>0</v>
      </c>
      <c r="UVE32" s="28">
        <f t="shared" si="315"/>
        <v>0</v>
      </c>
      <c r="UVF32" s="28">
        <f t="shared" si="315"/>
        <v>0</v>
      </c>
      <c r="UVG32" s="28">
        <f t="shared" si="315"/>
        <v>0</v>
      </c>
      <c r="UVH32" s="28">
        <f t="shared" si="315"/>
        <v>0</v>
      </c>
      <c r="UVI32" s="28">
        <f t="shared" si="315"/>
        <v>0</v>
      </c>
      <c r="UVJ32" s="28">
        <f t="shared" si="315"/>
        <v>0</v>
      </c>
      <c r="UVK32" s="28">
        <f t="shared" si="315"/>
        <v>0</v>
      </c>
      <c r="UVL32" s="28">
        <f t="shared" si="315"/>
        <v>0</v>
      </c>
      <c r="UVM32" s="28">
        <f t="shared" si="315"/>
        <v>0</v>
      </c>
      <c r="UVN32" s="28">
        <f t="shared" si="315"/>
        <v>0</v>
      </c>
      <c r="UVO32" s="28">
        <f t="shared" si="315"/>
        <v>0</v>
      </c>
      <c r="UVP32" s="28">
        <f t="shared" si="315"/>
        <v>0</v>
      </c>
      <c r="UVQ32" s="28">
        <f t="shared" si="315"/>
        <v>0</v>
      </c>
      <c r="UVR32" s="28">
        <f t="shared" si="315"/>
        <v>0</v>
      </c>
      <c r="UVS32" s="28">
        <f t="shared" si="315"/>
        <v>0</v>
      </c>
      <c r="UVT32" s="28">
        <f t="shared" si="315"/>
        <v>0</v>
      </c>
      <c r="UVU32" s="28">
        <f t="shared" si="315"/>
        <v>0</v>
      </c>
      <c r="UVV32" s="28">
        <f t="shared" si="315"/>
        <v>0</v>
      </c>
      <c r="UVW32" s="28">
        <f t="shared" si="315"/>
        <v>0</v>
      </c>
      <c r="UVX32" s="28">
        <f t="shared" si="315"/>
        <v>0</v>
      </c>
      <c r="UVY32" s="28">
        <f t="shared" ref="UVY32:UYJ32" si="316">IFERROR(UVY31/UVY$4,0)</f>
        <v>0</v>
      </c>
      <c r="UVZ32" s="28">
        <f t="shared" si="316"/>
        <v>0</v>
      </c>
      <c r="UWA32" s="28">
        <f t="shared" si="316"/>
        <v>0</v>
      </c>
      <c r="UWB32" s="28">
        <f t="shared" si="316"/>
        <v>0</v>
      </c>
      <c r="UWC32" s="28">
        <f t="shared" si="316"/>
        <v>0</v>
      </c>
      <c r="UWD32" s="28">
        <f t="shared" si="316"/>
        <v>0</v>
      </c>
      <c r="UWE32" s="28">
        <f t="shared" si="316"/>
        <v>0</v>
      </c>
      <c r="UWF32" s="28">
        <f t="shared" si="316"/>
        <v>0</v>
      </c>
      <c r="UWG32" s="28">
        <f t="shared" si="316"/>
        <v>0</v>
      </c>
      <c r="UWH32" s="28">
        <f t="shared" si="316"/>
        <v>0</v>
      </c>
      <c r="UWI32" s="28">
        <f t="shared" si="316"/>
        <v>0</v>
      </c>
      <c r="UWJ32" s="28">
        <f t="shared" si="316"/>
        <v>0</v>
      </c>
      <c r="UWK32" s="28">
        <f t="shared" si="316"/>
        <v>0</v>
      </c>
      <c r="UWL32" s="28">
        <f t="shared" si="316"/>
        <v>0</v>
      </c>
      <c r="UWM32" s="28">
        <f t="shared" si="316"/>
        <v>0</v>
      </c>
      <c r="UWN32" s="28">
        <f t="shared" si="316"/>
        <v>0</v>
      </c>
      <c r="UWO32" s="28">
        <f t="shared" si="316"/>
        <v>0</v>
      </c>
      <c r="UWP32" s="28">
        <f t="shared" si="316"/>
        <v>0</v>
      </c>
      <c r="UWQ32" s="28">
        <f t="shared" si="316"/>
        <v>0</v>
      </c>
      <c r="UWR32" s="28">
        <f t="shared" si="316"/>
        <v>0</v>
      </c>
      <c r="UWS32" s="28">
        <f t="shared" si="316"/>
        <v>0</v>
      </c>
      <c r="UWT32" s="28">
        <f t="shared" si="316"/>
        <v>0</v>
      </c>
      <c r="UWU32" s="28">
        <f t="shared" si="316"/>
        <v>0</v>
      </c>
      <c r="UWV32" s="28">
        <f t="shared" si="316"/>
        <v>0</v>
      </c>
      <c r="UWW32" s="28">
        <f t="shared" si="316"/>
        <v>0</v>
      </c>
      <c r="UWX32" s="28">
        <f t="shared" si="316"/>
        <v>0</v>
      </c>
      <c r="UWY32" s="28">
        <f t="shared" si="316"/>
        <v>0</v>
      </c>
      <c r="UWZ32" s="28">
        <f t="shared" si="316"/>
        <v>0</v>
      </c>
      <c r="UXA32" s="28">
        <f t="shared" si="316"/>
        <v>0</v>
      </c>
      <c r="UXB32" s="28">
        <f t="shared" si="316"/>
        <v>0</v>
      </c>
      <c r="UXC32" s="28">
        <f t="shared" si="316"/>
        <v>0</v>
      </c>
      <c r="UXD32" s="28">
        <f t="shared" si="316"/>
        <v>0</v>
      </c>
      <c r="UXE32" s="28">
        <f t="shared" si="316"/>
        <v>0</v>
      </c>
      <c r="UXF32" s="28">
        <f t="shared" si="316"/>
        <v>0</v>
      </c>
      <c r="UXG32" s="28">
        <f t="shared" si="316"/>
        <v>0</v>
      </c>
      <c r="UXH32" s="28">
        <f t="shared" si="316"/>
        <v>0</v>
      </c>
      <c r="UXI32" s="28">
        <f t="shared" si="316"/>
        <v>0</v>
      </c>
      <c r="UXJ32" s="28">
        <f t="shared" si="316"/>
        <v>0</v>
      </c>
      <c r="UXK32" s="28">
        <f t="shared" si="316"/>
        <v>0</v>
      </c>
      <c r="UXL32" s="28">
        <f t="shared" si="316"/>
        <v>0</v>
      </c>
      <c r="UXM32" s="28">
        <f t="shared" si="316"/>
        <v>0</v>
      </c>
      <c r="UXN32" s="28">
        <f t="shared" si="316"/>
        <v>0</v>
      </c>
      <c r="UXO32" s="28">
        <f t="shared" si="316"/>
        <v>0</v>
      </c>
      <c r="UXP32" s="28">
        <f t="shared" si="316"/>
        <v>0</v>
      </c>
      <c r="UXQ32" s="28">
        <f t="shared" si="316"/>
        <v>0</v>
      </c>
      <c r="UXR32" s="28">
        <f t="shared" si="316"/>
        <v>0</v>
      </c>
      <c r="UXS32" s="28">
        <f t="shared" si="316"/>
        <v>0</v>
      </c>
      <c r="UXT32" s="28">
        <f t="shared" si="316"/>
        <v>0</v>
      </c>
      <c r="UXU32" s="28">
        <f t="shared" si="316"/>
        <v>0</v>
      </c>
      <c r="UXV32" s="28">
        <f t="shared" si="316"/>
        <v>0</v>
      </c>
      <c r="UXW32" s="28">
        <f t="shared" si="316"/>
        <v>0</v>
      </c>
      <c r="UXX32" s="28">
        <f t="shared" si="316"/>
        <v>0</v>
      </c>
      <c r="UXY32" s="28">
        <f t="shared" si="316"/>
        <v>0</v>
      </c>
      <c r="UXZ32" s="28">
        <f t="shared" si="316"/>
        <v>0</v>
      </c>
      <c r="UYA32" s="28">
        <f t="shared" si="316"/>
        <v>0</v>
      </c>
      <c r="UYB32" s="28">
        <f t="shared" si="316"/>
        <v>0</v>
      </c>
      <c r="UYC32" s="28">
        <f t="shared" si="316"/>
        <v>0</v>
      </c>
      <c r="UYD32" s="28">
        <f t="shared" si="316"/>
        <v>0</v>
      </c>
      <c r="UYE32" s="28">
        <f t="shared" si="316"/>
        <v>0</v>
      </c>
      <c r="UYF32" s="28">
        <f t="shared" si="316"/>
        <v>0</v>
      </c>
      <c r="UYG32" s="28">
        <f t="shared" si="316"/>
        <v>0</v>
      </c>
      <c r="UYH32" s="28">
        <f t="shared" si="316"/>
        <v>0</v>
      </c>
      <c r="UYI32" s="28">
        <f t="shared" si="316"/>
        <v>0</v>
      </c>
      <c r="UYJ32" s="28">
        <f t="shared" si="316"/>
        <v>0</v>
      </c>
      <c r="UYK32" s="28">
        <f t="shared" ref="UYK32:VAV32" si="317">IFERROR(UYK31/UYK$4,0)</f>
        <v>0</v>
      </c>
      <c r="UYL32" s="28">
        <f t="shared" si="317"/>
        <v>0</v>
      </c>
      <c r="UYM32" s="28">
        <f t="shared" si="317"/>
        <v>0</v>
      </c>
      <c r="UYN32" s="28">
        <f t="shared" si="317"/>
        <v>0</v>
      </c>
      <c r="UYO32" s="28">
        <f t="shared" si="317"/>
        <v>0</v>
      </c>
      <c r="UYP32" s="28">
        <f t="shared" si="317"/>
        <v>0</v>
      </c>
      <c r="UYQ32" s="28">
        <f t="shared" si="317"/>
        <v>0</v>
      </c>
      <c r="UYR32" s="28">
        <f t="shared" si="317"/>
        <v>0</v>
      </c>
      <c r="UYS32" s="28">
        <f t="shared" si="317"/>
        <v>0</v>
      </c>
      <c r="UYT32" s="28">
        <f t="shared" si="317"/>
        <v>0</v>
      </c>
      <c r="UYU32" s="28">
        <f t="shared" si="317"/>
        <v>0</v>
      </c>
      <c r="UYV32" s="28">
        <f t="shared" si="317"/>
        <v>0</v>
      </c>
      <c r="UYW32" s="28">
        <f t="shared" si="317"/>
        <v>0</v>
      </c>
      <c r="UYX32" s="28">
        <f t="shared" si="317"/>
        <v>0</v>
      </c>
      <c r="UYY32" s="28">
        <f t="shared" si="317"/>
        <v>0</v>
      </c>
      <c r="UYZ32" s="28">
        <f t="shared" si="317"/>
        <v>0</v>
      </c>
      <c r="UZA32" s="28">
        <f t="shared" si="317"/>
        <v>0</v>
      </c>
      <c r="UZB32" s="28">
        <f t="shared" si="317"/>
        <v>0</v>
      </c>
      <c r="UZC32" s="28">
        <f t="shared" si="317"/>
        <v>0</v>
      </c>
      <c r="UZD32" s="28">
        <f t="shared" si="317"/>
        <v>0</v>
      </c>
      <c r="UZE32" s="28">
        <f t="shared" si="317"/>
        <v>0</v>
      </c>
      <c r="UZF32" s="28">
        <f t="shared" si="317"/>
        <v>0</v>
      </c>
      <c r="UZG32" s="28">
        <f t="shared" si="317"/>
        <v>0</v>
      </c>
      <c r="UZH32" s="28">
        <f t="shared" si="317"/>
        <v>0</v>
      </c>
      <c r="UZI32" s="28">
        <f t="shared" si="317"/>
        <v>0</v>
      </c>
      <c r="UZJ32" s="28">
        <f t="shared" si="317"/>
        <v>0</v>
      </c>
      <c r="UZK32" s="28">
        <f t="shared" si="317"/>
        <v>0</v>
      </c>
      <c r="UZL32" s="28">
        <f t="shared" si="317"/>
        <v>0</v>
      </c>
      <c r="UZM32" s="28">
        <f t="shared" si="317"/>
        <v>0</v>
      </c>
      <c r="UZN32" s="28">
        <f t="shared" si="317"/>
        <v>0</v>
      </c>
      <c r="UZO32" s="28">
        <f t="shared" si="317"/>
        <v>0</v>
      </c>
      <c r="UZP32" s="28">
        <f t="shared" si="317"/>
        <v>0</v>
      </c>
      <c r="UZQ32" s="28">
        <f t="shared" si="317"/>
        <v>0</v>
      </c>
      <c r="UZR32" s="28">
        <f t="shared" si="317"/>
        <v>0</v>
      </c>
      <c r="UZS32" s="28">
        <f t="shared" si="317"/>
        <v>0</v>
      </c>
      <c r="UZT32" s="28">
        <f t="shared" si="317"/>
        <v>0</v>
      </c>
      <c r="UZU32" s="28">
        <f t="shared" si="317"/>
        <v>0</v>
      </c>
      <c r="UZV32" s="28">
        <f t="shared" si="317"/>
        <v>0</v>
      </c>
      <c r="UZW32" s="28">
        <f t="shared" si="317"/>
        <v>0</v>
      </c>
      <c r="UZX32" s="28">
        <f t="shared" si="317"/>
        <v>0</v>
      </c>
      <c r="UZY32" s="28">
        <f t="shared" si="317"/>
        <v>0</v>
      </c>
      <c r="UZZ32" s="28">
        <f t="shared" si="317"/>
        <v>0</v>
      </c>
      <c r="VAA32" s="28">
        <f t="shared" si="317"/>
        <v>0</v>
      </c>
      <c r="VAB32" s="28">
        <f t="shared" si="317"/>
        <v>0</v>
      </c>
      <c r="VAC32" s="28">
        <f t="shared" si="317"/>
        <v>0</v>
      </c>
      <c r="VAD32" s="28">
        <f t="shared" si="317"/>
        <v>0</v>
      </c>
      <c r="VAE32" s="28">
        <f t="shared" si="317"/>
        <v>0</v>
      </c>
      <c r="VAF32" s="28">
        <f t="shared" si="317"/>
        <v>0</v>
      </c>
      <c r="VAG32" s="28">
        <f t="shared" si="317"/>
        <v>0</v>
      </c>
      <c r="VAH32" s="28">
        <f t="shared" si="317"/>
        <v>0</v>
      </c>
      <c r="VAI32" s="28">
        <f t="shared" si="317"/>
        <v>0</v>
      </c>
      <c r="VAJ32" s="28">
        <f t="shared" si="317"/>
        <v>0</v>
      </c>
      <c r="VAK32" s="28">
        <f t="shared" si="317"/>
        <v>0</v>
      </c>
      <c r="VAL32" s="28">
        <f t="shared" si="317"/>
        <v>0</v>
      </c>
      <c r="VAM32" s="28">
        <f t="shared" si="317"/>
        <v>0</v>
      </c>
      <c r="VAN32" s="28">
        <f t="shared" si="317"/>
        <v>0</v>
      </c>
      <c r="VAO32" s="28">
        <f t="shared" si="317"/>
        <v>0</v>
      </c>
      <c r="VAP32" s="28">
        <f t="shared" si="317"/>
        <v>0</v>
      </c>
      <c r="VAQ32" s="28">
        <f t="shared" si="317"/>
        <v>0</v>
      </c>
      <c r="VAR32" s="28">
        <f t="shared" si="317"/>
        <v>0</v>
      </c>
      <c r="VAS32" s="28">
        <f t="shared" si="317"/>
        <v>0</v>
      </c>
      <c r="VAT32" s="28">
        <f t="shared" si="317"/>
        <v>0</v>
      </c>
      <c r="VAU32" s="28">
        <f t="shared" si="317"/>
        <v>0</v>
      </c>
      <c r="VAV32" s="28">
        <f t="shared" si="317"/>
        <v>0</v>
      </c>
      <c r="VAW32" s="28">
        <f t="shared" ref="VAW32:VDH32" si="318">IFERROR(VAW31/VAW$4,0)</f>
        <v>0</v>
      </c>
      <c r="VAX32" s="28">
        <f t="shared" si="318"/>
        <v>0</v>
      </c>
      <c r="VAY32" s="28">
        <f t="shared" si="318"/>
        <v>0</v>
      </c>
      <c r="VAZ32" s="28">
        <f t="shared" si="318"/>
        <v>0</v>
      </c>
      <c r="VBA32" s="28">
        <f t="shared" si="318"/>
        <v>0</v>
      </c>
      <c r="VBB32" s="28">
        <f t="shared" si="318"/>
        <v>0</v>
      </c>
      <c r="VBC32" s="28">
        <f t="shared" si="318"/>
        <v>0</v>
      </c>
      <c r="VBD32" s="28">
        <f t="shared" si="318"/>
        <v>0</v>
      </c>
      <c r="VBE32" s="28">
        <f t="shared" si="318"/>
        <v>0</v>
      </c>
      <c r="VBF32" s="28">
        <f t="shared" si="318"/>
        <v>0</v>
      </c>
      <c r="VBG32" s="28">
        <f t="shared" si="318"/>
        <v>0</v>
      </c>
      <c r="VBH32" s="28">
        <f t="shared" si="318"/>
        <v>0</v>
      </c>
      <c r="VBI32" s="28">
        <f t="shared" si="318"/>
        <v>0</v>
      </c>
      <c r="VBJ32" s="28">
        <f t="shared" si="318"/>
        <v>0</v>
      </c>
      <c r="VBK32" s="28">
        <f t="shared" si="318"/>
        <v>0</v>
      </c>
      <c r="VBL32" s="28">
        <f t="shared" si="318"/>
        <v>0</v>
      </c>
      <c r="VBM32" s="28">
        <f t="shared" si="318"/>
        <v>0</v>
      </c>
      <c r="VBN32" s="28">
        <f t="shared" si="318"/>
        <v>0</v>
      </c>
      <c r="VBO32" s="28">
        <f t="shared" si="318"/>
        <v>0</v>
      </c>
      <c r="VBP32" s="28">
        <f t="shared" si="318"/>
        <v>0</v>
      </c>
      <c r="VBQ32" s="28">
        <f t="shared" si="318"/>
        <v>0</v>
      </c>
      <c r="VBR32" s="28">
        <f t="shared" si="318"/>
        <v>0</v>
      </c>
      <c r="VBS32" s="28">
        <f t="shared" si="318"/>
        <v>0</v>
      </c>
      <c r="VBT32" s="28">
        <f t="shared" si="318"/>
        <v>0</v>
      </c>
      <c r="VBU32" s="28">
        <f t="shared" si="318"/>
        <v>0</v>
      </c>
      <c r="VBV32" s="28">
        <f t="shared" si="318"/>
        <v>0</v>
      </c>
      <c r="VBW32" s="28">
        <f t="shared" si="318"/>
        <v>0</v>
      </c>
      <c r="VBX32" s="28">
        <f t="shared" si="318"/>
        <v>0</v>
      </c>
      <c r="VBY32" s="28">
        <f t="shared" si="318"/>
        <v>0</v>
      </c>
      <c r="VBZ32" s="28">
        <f t="shared" si="318"/>
        <v>0</v>
      </c>
      <c r="VCA32" s="28">
        <f t="shared" si="318"/>
        <v>0</v>
      </c>
      <c r="VCB32" s="28">
        <f t="shared" si="318"/>
        <v>0</v>
      </c>
      <c r="VCC32" s="28">
        <f t="shared" si="318"/>
        <v>0</v>
      </c>
      <c r="VCD32" s="28">
        <f t="shared" si="318"/>
        <v>0</v>
      </c>
      <c r="VCE32" s="28">
        <f t="shared" si="318"/>
        <v>0</v>
      </c>
      <c r="VCF32" s="28">
        <f t="shared" si="318"/>
        <v>0</v>
      </c>
      <c r="VCG32" s="28">
        <f t="shared" si="318"/>
        <v>0</v>
      </c>
      <c r="VCH32" s="28">
        <f t="shared" si="318"/>
        <v>0</v>
      </c>
      <c r="VCI32" s="28">
        <f t="shared" si="318"/>
        <v>0</v>
      </c>
      <c r="VCJ32" s="28">
        <f t="shared" si="318"/>
        <v>0</v>
      </c>
      <c r="VCK32" s="28">
        <f t="shared" si="318"/>
        <v>0</v>
      </c>
      <c r="VCL32" s="28">
        <f t="shared" si="318"/>
        <v>0</v>
      </c>
      <c r="VCM32" s="28">
        <f t="shared" si="318"/>
        <v>0</v>
      </c>
      <c r="VCN32" s="28">
        <f t="shared" si="318"/>
        <v>0</v>
      </c>
      <c r="VCO32" s="28">
        <f t="shared" si="318"/>
        <v>0</v>
      </c>
      <c r="VCP32" s="28">
        <f t="shared" si="318"/>
        <v>0</v>
      </c>
      <c r="VCQ32" s="28">
        <f t="shared" si="318"/>
        <v>0</v>
      </c>
      <c r="VCR32" s="28">
        <f t="shared" si="318"/>
        <v>0</v>
      </c>
      <c r="VCS32" s="28">
        <f t="shared" si="318"/>
        <v>0</v>
      </c>
      <c r="VCT32" s="28">
        <f t="shared" si="318"/>
        <v>0</v>
      </c>
      <c r="VCU32" s="28">
        <f t="shared" si="318"/>
        <v>0</v>
      </c>
      <c r="VCV32" s="28">
        <f t="shared" si="318"/>
        <v>0</v>
      </c>
      <c r="VCW32" s="28">
        <f t="shared" si="318"/>
        <v>0</v>
      </c>
      <c r="VCX32" s="28">
        <f t="shared" si="318"/>
        <v>0</v>
      </c>
      <c r="VCY32" s="28">
        <f t="shared" si="318"/>
        <v>0</v>
      </c>
      <c r="VCZ32" s="28">
        <f t="shared" si="318"/>
        <v>0</v>
      </c>
      <c r="VDA32" s="28">
        <f t="shared" si="318"/>
        <v>0</v>
      </c>
      <c r="VDB32" s="28">
        <f t="shared" si="318"/>
        <v>0</v>
      </c>
      <c r="VDC32" s="28">
        <f t="shared" si="318"/>
        <v>0</v>
      </c>
      <c r="VDD32" s="28">
        <f t="shared" si="318"/>
        <v>0</v>
      </c>
      <c r="VDE32" s="28">
        <f t="shared" si="318"/>
        <v>0</v>
      </c>
      <c r="VDF32" s="28">
        <f t="shared" si="318"/>
        <v>0</v>
      </c>
      <c r="VDG32" s="28">
        <f t="shared" si="318"/>
        <v>0</v>
      </c>
      <c r="VDH32" s="28">
        <f t="shared" si="318"/>
        <v>0</v>
      </c>
      <c r="VDI32" s="28">
        <f t="shared" ref="VDI32:VFT32" si="319">IFERROR(VDI31/VDI$4,0)</f>
        <v>0</v>
      </c>
      <c r="VDJ32" s="28">
        <f t="shared" si="319"/>
        <v>0</v>
      </c>
      <c r="VDK32" s="28">
        <f t="shared" si="319"/>
        <v>0</v>
      </c>
      <c r="VDL32" s="28">
        <f t="shared" si="319"/>
        <v>0</v>
      </c>
      <c r="VDM32" s="28">
        <f t="shared" si="319"/>
        <v>0</v>
      </c>
      <c r="VDN32" s="28">
        <f t="shared" si="319"/>
        <v>0</v>
      </c>
      <c r="VDO32" s="28">
        <f t="shared" si="319"/>
        <v>0</v>
      </c>
      <c r="VDP32" s="28">
        <f t="shared" si="319"/>
        <v>0</v>
      </c>
      <c r="VDQ32" s="28">
        <f t="shared" si="319"/>
        <v>0</v>
      </c>
      <c r="VDR32" s="28">
        <f t="shared" si="319"/>
        <v>0</v>
      </c>
      <c r="VDS32" s="28">
        <f t="shared" si="319"/>
        <v>0</v>
      </c>
      <c r="VDT32" s="28">
        <f t="shared" si="319"/>
        <v>0</v>
      </c>
      <c r="VDU32" s="28">
        <f t="shared" si="319"/>
        <v>0</v>
      </c>
      <c r="VDV32" s="28">
        <f t="shared" si="319"/>
        <v>0</v>
      </c>
      <c r="VDW32" s="28">
        <f t="shared" si="319"/>
        <v>0</v>
      </c>
      <c r="VDX32" s="28">
        <f t="shared" si="319"/>
        <v>0</v>
      </c>
      <c r="VDY32" s="28">
        <f t="shared" si="319"/>
        <v>0</v>
      </c>
      <c r="VDZ32" s="28">
        <f t="shared" si="319"/>
        <v>0</v>
      </c>
      <c r="VEA32" s="28">
        <f t="shared" si="319"/>
        <v>0</v>
      </c>
      <c r="VEB32" s="28">
        <f t="shared" si="319"/>
        <v>0</v>
      </c>
      <c r="VEC32" s="28">
        <f t="shared" si="319"/>
        <v>0</v>
      </c>
      <c r="VED32" s="28">
        <f t="shared" si="319"/>
        <v>0</v>
      </c>
      <c r="VEE32" s="28">
        <f t="shared" si="319"/>
        <v>0</v>
      </c>
      <c r="VEF32" s="28">
        <f t="shared" si="319"/>
        <v>0</v>
      </c>
      <c r="VEG32" s="28">
        <f t="shared" si="319"/>
        <v>0</v>
      </c>
      <c r="VEH32" s="28">
        <f t="shared" si="319"/>
        <v>0</v>
      </c>
      <c r="VEI32" s="28">
        <f t="shared" si="319"/>
        <v>0</v>
      </c>
      <c r="VEJ32" s="28">
        <f t="shared" si="319"/>
        <v>0</v>
      </c>
      <c r="VEK32" s="28">
        <f t="shared" si="319"/>
        <v>0</v>
      </c>
      <c r="VEL32" s="28">
        <f t="shared" si="319"/>
        <v>0</v>
      </c>
      <c r="VEM32" s="28">
        <f t="shared" si="319"/>
        <v>0</v>
      </c>
      <c r="VEN32" s="28">
        <f t="shared" si="319"/>
        <v>0</v>
      </c>
      <c r="VEO32" s="28">
        <f t="shared" si="319"/>
        <v>0</v>
      </c>
      <c r="VEP32" s="28">
        <f t="shared" si="319"/>
        <v>0</v>
      </c>
      <c r="VEQ32" s="28">
        <f t="shared" si="319"/>
        <v>0</v>
      </c>
      <c r="VER32" s="28">
        <f t="shared" si="319"/>
        <v>0</v>
      </c>
      <c r="VES32" s="28">
        <f t="shared" si="319"/>
        <v>0</v>
      </c>
      <c r="VET32" s="28">
        <f t="shared" si="319"/>
        <v>0</v>
      </c>
      <c r="VEU32" s="28">
        <f t="shared" si="319"/>
        <v>0</v>
      </c>
      <c r="VEV32" s="28">
        <f t="shared" si="319"/>
        <v>0</v>
      </c>
      <c r="VEW32" s="28">
        <f t="shared" si="319"/>
        <v>0</v>
      </c>
      <c r="VEX32" s="28">
        <f t="shared" si="319"/>
        <v>0</v>
      </c>
      <c r="VEY32" s="28">
        <f t="shared" si="319"/>
        <v>0</v>
      </c>
      <c r="VEZ32" s="28">
        <f t="shared" si="319"/>
        <v>0</v>
      </c>
      <c r="VFA32" s="28">
        <f t="shared" si="319"/>
        <v>0</v>
      </c>
      <c r="VFB32" s="28">
        <f t="shared" si="319"/>
        <v>0</v>
      </c>
      <c r="VFC32" s="28">
        <f t="shared" si="319"/>
        <v>0</v>
      </c>
      <c r="VFD32" s="28">
        <f t="shared" si="319"/>
        <v>0</v>
      </c>
      <c r="VFE32" s="28">
        <f t="shared" si="319"/>
        <v>0</v>
      </c>
      <c r="VFF32" s="28">
        <f t="shared" si="319"/>
        <v>0</v>
      </c>
      <c r="VFG32" s="28">
        <f t="shared" si="319"/>
        <v>0</v>
      </c>
      <c r="VFH32" s="28">
        <f t="shared" si="319"/>
        <v>0</v>
      </c>
      <c r="VFI32" s="28">
        <f t="shared" si="319"/>
        <v>0</v>
      </c>
      <c r="VFJ32" s="28">
        <f t="shared" si="319"/>
        <v>0</v>
      </c>
      <c r="VFK32" s="28">
        <f t="shared" si="319"/>
        <v>0</v>
      </c>
      <c r="VFL32" s="28">
        <f t="shared" si="319"/>
        <v>0</v>
      </c>
      <c r="VFM32" s="28">
        <f t="shared" si="319"/>
        <v>0</v>
      </c>
      <c r="VFN32" s="28">
        <f t="shared" si="319"/>
        <v>0</v>
      </c>
      <c r="VFO32" s="28">
        <f t="shared" si="319"/>
        <v>0</v>
      </c>
      <c r="VFP32" s="28">
        <f t="shared" si="319"/>
        <v>0</v>
      </c>
      <c r="VFQ32" s="28">
        <f t="shared" si="319"/>
        <v>0</v>
      </c>
      <c r="VFR32" s="28">
        <f t="shared" si="319"/>
        <v>0</v>
      </c>
      <c r="VFS32" s="28">
        <f t="shared" si="319"/>
        <v>0</v>
      </c>
      <c r="VFT32" s="28">
        <f t="shared" si="319"/>
        <v>0</v>
      </c>
      <c r="VFU32" s="28">
        <f t="shared" ref="VFU32:VIF32" si="320">IFERROR(VFU31/VFU$4,0)</f>
        <v>0</v>
      </c>
      <c r="VFV32" s="28">
        <f t="shared" si="320"/>
        <v>0</v>
      </c>
      <c r="VFW32" s="28">
        <f t="shared" si="320"/>
        <v>0</v>
      </c>
      <c r="VFX32" s="28">
        <f t="shared" si="320"/>
        <v>0</v>
      </c>
      <c r="VFY32" s="28">
        <f t="shared" si="320"/>
        <v>0</v>
      </c>
      <c r="VFZ32" s="28">
        <f t="shared" si="320"/>
        <v>0</v>
      </c>
      <c r="VGA32" s="28">
        <f t="shared" si="320"/>
        <v>0</v>
      </c>
      <c r="VGB32" s="28">
        <f t="shared" si="320"/>
        <v>0</v>
      </c>
      <c r="VGC32" s="28">
        <f t="shared" si="320"/>
        <v>0</v>
      </c>
      <c r="VGD32" s="28">
        <f t="shared" si="320"/>
        <v>0</v>
      </c>
      <c r="VGE32" s="28">
        <f t="shared" si="320"/>
        <v>0</v>
      </c>
      <c r="VGF32" s="28">
        <f t="shared" si="320"/>
        <v>0</v>
      </c>
      <c r="VGG32" s="28">
        <f t="shared" si="320"/>
        <v>0</v>
      </c>
      <c r="VGH32" s="28">
        <f t="shared" si="320"/>
        <v>0</v>
      </c>
      <c r="VGI32" s="28">
        <f t="shared" si="320"/>
        <v>0</v>
      </c>
      <c r="VGJ32" s="28">
        <f t="shared" si="320"/>
        <v>0</v>
      </c>
      <c r="VGK32" s="28">
        <f t="shared" si="320"/>
        <v>0</v>
      </c>
      <c r="VGL32" s="28">
        <f t="shared" si="320"/>
        <v>0</v>
      </c>
      <c r="VGM32" s="28">
        <f t="shared" si="320"/>
        <v>0</v>
      </c>
      <c r="VGN32" s="28">
        <f t="shared" si="320"/>
        <v>0</v>
      </c>
      <c r="VGO32" s="28">
        <f t="shared" si="320"/>
        <v>0</v>
      </c>
      <c r="VGP32" s="28">
        <f t="shared" si="320"/>
        <v>0</v>
      </c>
      <c r="VGQ32" s="28">
        <f t="shared" si="320"/>
        <v>0</v>
      </c>
      <c r="VGR32" s="28">
        <f t="shared" si="320"/>
        <v>0</v>
      </c>
      <c r="VGS32" s="28">
        <f t="shared" si="320"/>
        <v>0</v>
      </c>
      <c r="VGT32" s="28">
        <f t="shared" si="320"/>
        <v>0</v>
      </c>
      <c r="VGU32" s="28">
        <f t="shared" si="320"/>
        <v>0</v>
      </c>
      <c r="VGV32" s="28">
        <f t="shared" si="320"/>
        <v>0</v>
      </c>
      <c r="VGW32" s="28">
        <f t="shared" si="320"/>
        <v>0</v>
      </c>
      <c r="VGX32" s="28">
        <f t="shared" si="320"/>
        <v>0</v>
      </c>
      <c r="VGY32" s="28">
        <f t="shared" si="320"/>
        <v>0</v>
      </c>
      <c r="VGZ32" s="28">
        <f t="shared" si="320"/>
        <v>0</v>
      </c>
      <c r="VHA32" s="28">
        <f t="shared" si="320"/>
        <v>0</v>
      </c>
      <c r="VHB32" s="28">
        <f t="shared" si="320"/>
        <v>0</v>
      </c>
      <c r="VHC32" s="28">
        <f t="shared" si="320"/>
        <v>0</v>
      </c>
      <c r="VHD32" s="28">
        <f t="shared" si="320"/>
        <v>0</v>
      </c>
      <c r="VHE32" s="28">
        <f t="shared" si="320"/>
        <v>0</v>
      </c>
      <c r="VHF32" s="28">
        <f t="shared" si="320"/>
        <v>0</v>
      </c>
      <c r="VHG32" s="28">
        <f t="shared" si="320"/>
        <v>0</v>
      </c>
      <c r="VHH32" s="28">
        <f t="shared" si="320"/>
        <v>0</v>
      </c>
      <c r="VHI32" s="28">
        <f t="shared" si="320"/>
        <v>0</v>
      </c>
      <c r="VHJ32" s="28">
        <f t="shared" si="320"/>
        <v>0</v>
      </c>
      <c r="VHK32" s="28">
        <f t="shared" si="320"/>
        <v>0</v>
      </c>
      <c r="VHL32" s="28">
        <f t="shared" si="320"/>
        <v>0</v>
      </c>
      <c r="VHM32" s="28">
        <f t="shared" si="320"/>
        <v>0</v>
      </c>
      <c r="VHN32" s="28">
        <f t="shared" si="320"/>
        <v>0</v>
      </c>
      <c r="VHO32" s="28">
        <f t="shared" si="320"/>
        <v>0</v>
      </c>
      <c r="VHP32" s="28">
        <f t="shared" si="320"/>
        <v>0</v>
      </c>
      <c r="VHQ32" s="28">
        <f t="shared" si="320"/>
        <v>0</v>
      </c>
      <c r="VHR32" s="28">
        <f t="shared" si="320"/>
        <v>0</v>
      </c>
      <c r="VHS32" s="28">
        <f t="shared" si="320"/>
        <v>0</v>
      </c>
      <c r="VHT32" s="28">
        <f t="shared" si="320"/>
        <v>0</v>
      </c>
      <c r="VHU32" s="28">
        <f t="shared" si="320"/>
        <v>0</v>
      </c>
      <c r="VHV32" s="28">
        <f t="shared" si="320"/>
        <v>0</v>
      </c>
      <c r="VHW32" s="28">
        <f t="shared" si="320"/>
        <v>0</v>
      </c>
      <c r="VHX32" s="28">
        <f t="shared" si="320"/>
        <v>0</v>
      </c>
      <c r="VHY32" s="28">
        <f t="shared" si="320"/>
        <v>0</v>
      </c>
      <c r="VHZ32" s="28">
        <f t="shared" si="320"/>
        <v>0</v>
      </c>
      <c r="VIA32" s="28">
        <f t="shared" si="320"/>
        <v>0</v>
      </c>
      <c r="VIB32" s="28">
        <f t="shared" si="320"/>
        <v>0</v>
      </c>
      <c r="VIC32" s="28">
        <f t="shared" si="320"/>
        <v>0</v>
      </c>
      <c r="VID32" s="28">
        <f t="shared" si="320"/>
        <v>0</v>
      </c>
      <c r="VIE32" s="28">
        <f t="shared" si="320"/>
        <v>0</v>
      </c>
      <c r="VIF32" s="28">
        <f t="shared" si="320"/>
        <v>0</v>
      </c>
      <c r="VIG32" s="28">
        <f t="shared" ref="VIG32:VKR32" si="321">IFERROR(VIG31/VIG$4,0)</f>
        <v>0</v>
      </c>
      <c r="VIH32" s="28">
        <f t="shared" si="321"/>
        <v>0</v>
      </c>
      <c r="VII32" s="28">
        <f t="shared" si="321"/>
        <v>0</v>
      </c>
      <c r="VIJ32" s="28">
        <f t="shared" si="321"/>
        <v>0</v>
      </c>
      <c r="VIK32" s="28">
        <f t="shared" si="321"/>
        <v>0</v>
      </c>
      <c r="VIL32" s="28">
        <f t="shared" si="321"/>
        <v>0</v>
      </c>
      <c r="VIM32" s="28">
        <f t="shared" si="321"/>
        <v>0</v>
      </c>
      <c r="VIN32" s="28">
        <f t="shared" si="321"/>
        <v>0</v>
      </c>
      <c r="VIO32" s="28">
        <f t="shared" si="321"/>
        <v>0</v>
      </c>
      <c r="VIP32" s="28">
        <f t="shared" si="321"/>
        <v>0</v>
      </c>
      <c r="VIQ32" s="28">
        <f t="shared" si="321"/>
        <v>0</v>
      </c>
      <c r="VIR32" s="28">
        <f t="shared" si="321"/>
        <v>0</v>
      </c>
      <c r="VIS32" s="28">
        <f t="shared" si="321"/>
        <v>0</v>
      </c>
      <c r="VIT32" s="28">
        <f t="shared" si="321"/>
        <v>0</v>
      </c>
      <c r="VIU32" s="28">
        <f t="shared" si="321"/>
        <v>0</v>
      </c>
      <c r="VIV32" s="28">
        <f t="shared" si="321"/>
        <v>0</v>
      </c>
      <c r="VIW32" s="28">
        <f t="shared" si="321"/>
        <v>0</v>
      </c>
      <c r="VIX32" s="28">
        <f t="shared" si="321"/>
        <v>0</v>
      </c>
      <c r="VIY32" s="28">
        <f t="shared" si="321"/>
        <v>0</v>
      </c>
      <c r="VIZ32" s="28">
        <f t="shared" si="321"/>
        <v>0</v>
      </c>
      <c r="VJA32" s="28">
        <f t="shared" si="321"/>
        <v>0</v>
      </c>
      <c r="VJB32" s="28">
        <f t="shared" si="321"/>
        <v>0</v>
      </c>
      <c r="VJC32" s="28">
        <f t="shared" si="321"/>
        <v>0</v>
      </c>
      <c r="VJD32" s="28">
        <f t="shared" si="321"/>
        <v>0</v>
      </c>
      <c r="VJE32" s="28">
        <f t="shared" si="321"/>
        <v>0</v>
      </c>
      <c r="VJF32" s="28">
        <f t="shared" si="321"/>
        <v>0</v>
      </c>
      <c r="VJG32" s="28">
        <f t="shared" si="321"/>
        <v>0</v>
      </c>
      <c r="VJH32" s="28">
        <f t="shared" si="321"/>
        <v>0</v>
      </c>
      <c r="VJI32" s="28">
        <f t="shared" si="321"/>
        <v>0</v>
      </c>
      <c r="VJJ32" s="28">
        <f t="shared" si="321"/>
        <v>0</v>
      </c>
      <c r="VJK32" s="28">
        <f t="shared" si="321"/>
        <v>0</v>
      </c>
      <c r="VJL32" s="28">
        <f t="shared" si="321"/>
        <v>0</v>
      </c>
      <c r="VJM32" s="28">
        <f t="shared" si="321"/>
        <v>0</v>
      </c>
      <c r="VJN32" s="28">
        <f t="shared" si="321"/>
        <v>0</v>
      </c>
      <c r="VJO32" s="28">
        <f t="shared" si="321"/>
        <v>0</v>
      </c>
      <c r="VJP32" s="28">
        <f t="shared" si="321"/>
        <v>0</v>
      </c>
      <c r="VJQ32" s="28">
        <f t="shared" si="321"/>
        <v>0</v>
      </c>
      <c r="VJR32" s="28">
        <f t="shared" si="321"/>
        <v>0</v>
      </c>
      <c r="VJS32" s="28">
        <f t="shared" si="321"/>
        <v>0</v>
      </c>
      <c r="VJT32" s="28">
        <f t="shared" si="321"/>
        <v>0</v>
      </c>
      <c r="VJU32" s="28">
        <f t="shared" si="321"/>
        <v>0</v>
      </c>
      <c r="VJV32" s="28">
        <f t="shared" si="321"/>
        <v>0</v>
      </c>
      <c r="VJW32" s="28">
        <f t="shared" si="321"/>
        <v>0</v>
      </c>
      <c r="VJX32" s="28">
        <f t="shared" si="321"/>
        <v>0</v>
      </c>
      <c r="VJY32" s="28">
        <f t="shared" si="321"/>
        <v>0</v>
      </c>
      <c r="VJZ32" s="28">
        <f t="shared" si="321"/>
        <v>0</v>
      </c>
      <c r="VKA32" s="28">
        <f t="shared" si="321"/>
        <v>0</v>
      </c>
      <c r="VKB32" s="28">
        <f t="shared" si="321"/>
        <v>0</v>
      </c>
      <c r="VKC32" s="28">
        <f t="shared" si="321"/>
        <v>0</v>
      </c>
      <c r="VKD32" s="28">
        <f t="shared" si="321"/>
        <v>0</v>
      </c>
      <c r="VKE32" s="28">
        <f t="shared" si="321"/>
        <v>0</v>
      </c>
      <c r="VKF32" s="28">
        <f t="shared" si="321"/>
        <v>0</v>
      </c>
      <c r="VKG32" s="28">
        <f t="shared" si="321"/>
        <v>0</v>
      </c>
      <c r="VKH32" s="28">
        <f t="shared" si="321"/>
        <v>0</v>
      </c>
      <c r="VKI32" s="28">
        <f t="shared" si="321"/>
        <v>0</v>
      </c>
      <c r="VKJ32" s="28">
        <f t="shared" si="321"/>
        <v>0</v>
      </c>
      <c r="VKK32" s="28">
        <f t="shared" si="321"/>
        <v>0</v>
      </c>
      <c r="VKL32" s="28">
        <f t="shared" si="321"/>
        <v>0</v>
      </c>
      <c r="VKM32" s="28">
        <f t="shared" si="321"/>
        <v>0</v>
      </c>
      <c r="VKN32" s="28">
        <f t="shared" si="321"/>
        <v>0</v>
      </c>
      <c r="VKO32" s="28">
        <f t="shared" si="321"/>
        <v>0</v>
      </c>
      <c r="VKP32" s="28">
        <f t="shared" si="321"/>
        <v>0</v>
      </c>
      <c r="VKQ32" s="28">
        <f t="shared" si="321"/>
        <v>0</v>
      </c>
      <c r="VKR32" s="28">
        <f t="shared" si="321"/>
        <v>0</v>
      </c>
      <c r="VKS32" s="28">
        <f t="shared" ref="VKS32:VND32" si="322">IFERROR(VKS31/VKS$4,0)</f>
        <v>0</v>
      </c>
      <c r="VKT32" s="28">
        <f t="shared" si="322"/>
        <v>0</v>
      </c>
      <c r="VKU32" s="28">
        <f t="shared" si="322"/>
        <v>0</v>
      </c>
      <c r="VKV32" s="28">
        <f t="shared" si="322"/>
        <v>0</v>
      </c>
      <c r="VKW32" s="28">
        <f t="shared" si="322"/>
        <v>0</v>
      </c>
      <c r="VKX32" s="28">
        <f t="shared" si="322"/>
        <v>0</v>
      </c>
      <c r="VKY32" s="28">
        <f t="shared" si="322"/>
        <v>0</v>
      </c>
      <c r="VKZ32" s="28">
        <f t="shared" si="322"/>
        <v>0</v>
      </c>
      <c r="VLA32" s="28">
        <f t="shared" si="322"/>
        <v>0</v>
      </c>
      <c r="VLB32" s="28">
        <f t="shared" si="322"/>
        <v>0</v>
      </c>
      <c r="VLC32" s="28">
        <f t="shared" si="322"/>
        <v>0</v>
      </c>
      <c r="VLD32" s="28">
        <f t="shared" si="322"/>
        <v>0</v>
      </c>
      <c r="VLE32" s="28">
        <f t="shared" si="322"/>
        <v>0</v>
      </c>
      <c r="VLF32" s="28">
        <f t="shared" si="322"/>
        <v>0</v>
      </c>
      <c r="VLG32" s="28">
        <f t="shared" si="322"/>
        <v>0</v>
      </c>
      <c r="VLH32" s="28">
        <f t="shared" si="322"/>
        <v>0</v>
      </c>
      <c r="VLI32" s="28">
        <f t="shared" si="322"/>
        <v>0</v>
      </c>
      <c r="VLJ32" s="28">
        <f t="shared" si="322"/>
        <v>0</v>
      </c>
      <c r="VLK32" s="28">
        <f t="shared" si="322"/>
        <v>0</v>
      </c>
      <c r="VLL32" s="28">
        <f t="shared" si="322"/>
        <v>0</v>
      </c>
      <c r="VLM32" s="28">
        <f t="shared" si="322"/>
        <v>0</v>
      </c>
      <c r="VLN32" s="28">
        <f t="shared" si="322"/>
        <v>0</v>
      </c>
      <c r="VLO32" s="28">
        <f t="shared" si="322"/>
        <v>0</v>
      </c>
      <c r="VLP32" s="28">
        <f t="shared" si="322"/>
        <v>0</v>
      </c>
      <c r="VLQ32" s="28">
        <f t="shared" si="322"/>
        <v>0</v>
      </c>
      <c r="VLR32" s="28">
        <f t="shared" si="322"/>
        <v>0</v>
      </c>
      <c r="VLS32" s="28">
        <f t="shared" si="322"/>
        <v>0</v>
      </c>
      <c r="VLT32" s="28">
        <f t="shared" si="322"/>
        <v>0</v>
      </c>
      <c r="VLU32" s="28">
        <f t="shared" si="322"/>
        <v>0</v>
      </c>
      <c r="VLV32" s="28">
        <f t="shared" si="322"/>
        <v>0</v>
      </c>
      <c r="VLW32" s="28">
        <f t="shared" si="322"/>
        <v>0</v>
      </c>
      <c r="VLX32" s="28">
        <f t="shared" si="322"/>
        <v>0</v>
      </c>
      <c r="VLY32" s="28">
        <f t="shared" si="322"/>
        <v>0</v>
      </c>
      <c r="VLZ32" s="28">
        <f t="shared" si="322"/>
        <v>0</v>
      </c>
      <c r="VMA32" s="28">
        <f t="shared" si="322"/>
        <v>0</v>
      </c>
      <c r="VMB32" s="28">
        <f t="shared" si="322"/>
        <v>0</v>
      </c>
      <c r="VMC32" s="28">
        <f t="shared" si="322"/>
        <v>0</v>
      </c>
      <c r="VMD32" s="28">
        <f t="shared" si="322"/>
        <v>0</v>
      </c>
      <c r="VME32" s="28">
        <f t="shared" si="322"/>
        <v>0</v>
      </c>
      <c r="VMF32" s="28">
        <f t="shared" si="322"/>
        <v>0</v>
      </c>
      <c r="VMG32" s="28">
        <f t="shared" si="322"/>
        <v>0</v>
      </c>
      <c r="VMH32" s="28">
        <f t="shared" si="322"/>
        <v>0</v>
      </c>
      <c r="VMI32" s="28">
        <f t="shared" si="322"/>
        <v>0</v>
      </c>
      <c r="VMJ32" s="28">
        <f t="shared" si="322"/>
        <v>0</v>
      </c>
      <c r="VMK32" s="28">
        <f t="shared" si="322"/>
        <v>0</v>
      </c>
      <c r="VML32" s="28">
        <f t="shared" si="322"/>
        <v>0</v>
      </c>
      <c r="VMM32" s="28">
        <f t="shared" si="322"/>
        <v>0</v>
      </c>
      <c r="VMN32" s="28">
        <f t="shared" si="322"/>
        <v>0</v>
      </c>
      <c r="VMO32" s="28">
        <f t="shared" si="322"/>
        <v>0</v>
      </c>
      <c r="VMP32" s="28">
        <f t="shared" si="322"/>
        <v>0</v>
      </c>
      <c r="VMQ32" s="28">
        <f t="shared" si="322"/>
        <v>0</v>
      </c>
      <c r="VMR32" s="28">
        <f t="shared" si="322"/>
        <v>0</v>
      </c>
      <c r="VMS32" s="28">
        <f t="shared" si="322"/>
        <v>0</v>
      </c>
      <c r="VMT32" s="28">
        <f t="shared" si="322"/>
        <v>0</v>
      </c>
      <c r="VMU32" s="28">
        <f t="shared" si="322"/>
        <v>0</v>
      </c>
      <c r="VMV32" s="28">
        <f t="shared" si="322"/>
        <v>0</v>
      </c>
      <c r="VMW32" s="28">
        <f t="shared" si="322"/>
        <v>0</v>
      </c>
      <c r="VMX32" s="28">
        <f t="shared" si="322"/>
        <v>0</v>
      </c>
      <c r="VMY32" s="28">
        <f t="shared" si="322"/>
        <v>0</v>
      </c>
      <c r="VMZ32" s="28">
        <f t="shared" si="322"/>
        <v>0</v>
      </c>
      <c r="VNA32" s="28">
        <f t="shared" si="322"/>
        <v>0</v>
      </c>
      <c r="VNB32" s="28">
        <f t="shared" si="322"/>
        <v>0</v>
      </c>
      <c r="VNC32" s="28">
        <f t="shared" si="322"/>
        <v>0</v>
      </c>
      <c r="VND32" s="28">
        <f t="shared" si="322"/>
        <v>0</v>
      </c>
      <c r="VNE32" s="28">
        <f t="shared" ref="VNE32:VPP32" si="323">IFERROR(VNE31/VNE$4,0)</f>
        <v>0</v>
      </c>
      <c r="VNF32" s="28">
        <f t="shared" si="323"/>
        <v>0</v>
      </c>
      <c r="VNG32" s="28">
        <f t="shared" si="323"/>
        <v>0</v>
      </c>
      <c r="VNH32" s="28">
        <f t="shared" si="323"/>
        <v>0</v>
      </c>
      <c r="VNI32" s="28">
        <f t="shared" si="323"/>
        <v>0</v>
      </c>
      <c r="VNJ32" s="28">
        <f t="shared" si="323"/>
        <v>0</v>
      </c>
      <c r="VNK32" s="28">
        <f t="shared" si="323"/>
        <v>0</v>
      </c>
      <c r="VNL32" s="28">
        <f t="shared" si="323"/>
        <v>0</v>
      </c>
      <c r="VNM32" s="28">
        <f t="shared" si="323"/>
        <v>0</v>
      </c>
      <c r="VNN32" s="28">
        <f t="shared" si="323"/>
        <v>0</v>
      </c>
      <c r="VNO32" s="28">
        <f t="shared" si="323"/>
        <v>0</v>
      </c>
      <c r="VNP32" s="28">
        <f t="shared" si="323"/>
        <v>0</v>
      </c>
      <c r="VNQ32" s="28">
        <f t="shared" si="323"/>
        <v>0</v>
      </c>
      <c r="VNR32" s="28">
        <f t="shared" si="323"/>
        <v>0</v>
      </c>
      <c r="VNS32" s="28">
        <f t="shared" si="323"/>
        <v>0</v>
      </c>
      <c r="VNT32" s="28">
        <f t="shared" si="323"/>
        <v>0</v>
      </c>
      <c r="VNU32" s="28">
        <f t="shared" si="323"/>
        <v>0</v>
      </c>
      <c r="VNV32" s="28">
        <f t="shared" si="323"/>
        <v>0</v>
      </c>
      <c r="VNW32" s="28">
        <f t="shared" si="323"/>
        <v>0</v>
      </c>
      <c r="VNX32" s="28">
        <f t="shared" si="323"/>
        <v>0</v>
      </c>
      <c r="VNY32" s="28">
        <f t="shared" si="323"/>
        <v>0</v>
      </c>
      <c r="VNZ32" s="28">
        <f t="shared" si="323"/>
        <v>0</v>
      </c>
      <c r="VOA32" s="28">
        <f t="shared" si="323"/>
        <v>0</v>
      </c>
      <c r="VOB32" s="28">
        <f t="shared" si="323"/>
        <v>0</v>
      </c>
      <c r="VOC32" s="28">
        <f t="shared" si="323"/>
        <v>0</v>
      </c>
      <c r="VOD32" s="28">
        <f t="shared" si="323"/>
        <v>0</v>
      </c>
      <c r="VOE32" s="28">
        <f t="shared" si="323"/>
        <v>0</v>
      </c>
      <c r="VOF32" s="28">
        <f t="shared" si="323"/>
        <v>0</v>
      </c>
      <c r="VOG32" s="28">
        <f t="shared" si="323"/>
        <v>0</v>
      </c>
      <c r="VOH32" s="28">
        <f t="shared" si="323"/>
        <v>0</v>
      </c>
      <c r="VOI32" s="28">
        <f t="shared" si="323"/>
        <v>0</v>
      </c>
      <c r="VOJ32" s="28">
        <f t="shared" si="323"/>
        <v>0</v>
      </c>
      <c r="VOK32" s="28">
        <f t="shared" si="323"/>
        <v>0</v>
      </c>
      <c r="VOL32" s="28">
        <f t="shared" si="323"/>
        <v>0</v>
      </c>
      <c r="VOM32" s="28">
        <f t="shared" si="323"/>
        <v>0</v>
      </c>
      <c r="VON32" s="28">
        <f t="shared" si="323"/>
        <v>0</v>
      </c>
      <c r="VOO32" s="28">
        <f t="shared" si="323"/>
        <v>0</v>
      </c>
      <c r="VOP32" s="28">
        <f t="shared" si="323"/>
        <v>0</v>
      </c>
      <c r="VOQ32" s="28">
        <f t="shared" si="323"/>
        <v>0</v>
      </c>
      <c r="VOR32" s="28">
        <f t="shared" si="323"/>
        <v>0</v>
      </c>
      <c r="VOS32" s="28">
        <f t="shared" si="323"/>
        <v>0</v>
      </c>
      <c r="VOT32" s="28">
        <f t="shared" si="323"/>
        <v>0</v>
      </c>
      <c r="VOU32" s="28">
        <f t="shared" si="323"/>
        <v>0</v>
      </c>
      <c r="VOV32" s="28">
        <f t="shared" si="323"/>
        <v>0</v>
      </c>
      <c r="VOW32" s="28">
        <f t="shared" si="323"/>
        <v>0</v>
      </c>
      <c r="VOX32" s="28">
        <f t="shared" si="323"/>
        <v>0</v>
      </c>
      <c r="VOY32" s="28">
        <f t="shared" si="323"/>
        <v>0</v>
      </c>
      <c r="VOZ32" s="28">
        <f t="shared" si="323"/>
        <v>0</v>
      </c>
      <c r="VPA32" s="28">
        <f t="shared" si="323"/>
        <v>0</v>
      </c>
      <c r="VPB32" s="28">
        <f t="shared" si="323"/>
        <v>0</v>
      </c>
      <c r="VPC32" s="28">
        <f t="shared" si="323"/>
        <v>0</v>
      </c>
      <c r="VPD32" s="28">
        <f t="shared" si="323"/>
        <v>0</v>
      </c>
      <c r="VPE32" s="28">
        <f t="shared" si="323"/>
        <v>0</v>
      </c>
      <c r="VPF32" s="28">
        <f t="shared" si="323"/>
        <v>0</v>
      </c>
      <c r="VPG32" s="28">
        <f t="shared" si="323"/>
        <v>0</v>
      </c>
      <c r="VPH32" s="28">
        <f t="shared" si="323"/>
        <v>0</v>
      </c>
      <c r="VPI32" s="28">
        <f t="shared" si="323"/>
        <v>0</v>
      </c>
      <c r="VPJ32" s="28">
        <f t="shared" si="323"/>
        <v>0</v>
      </c>
      <c r="VPK32" s="28">
        <f t="shared" si="323"/>
        <v>0</v>
      </c>
      <c r="VPL32" s="28">
        <f t="shared" si="323"/>
        <v>0</v>
      </c>
      <c r="VPM32" s="28">
        <f t="shared" si="323"/>
        <v>0</v>
      </c>
      <c r="VPN32" s="28">
        <f t="shared" si="323"/>
        <v>0</v>
      </c>
      <c r="VPO32" s="28">
        <f t="shared" si="323"/>
        <v>0</v>
      </c>
      <c r="VPP32" s="28">
        <f t="shared" si="323"/>
        <v>0</v>
      </c>
      <c r="VPQ32" s="28">
        <f t="shared" ref="VPQ32:VSB32" si="324">IFERROR(VPQ31/VPQ$4,0)</f>
        <v>0</v>
      </c>
      <c r="VPR32" s="28">
        <f t="shared" si="324"/>
        <v>0</v>
      </c>
      <c r="VPS32" s="28">
        <f t="shared" si="324"/>
        <v>0</v>
      </c>
      <c r="VPT32" s="28">
        <f t="shared" si="324"/>
        <v>0</v>
      </c>
      <c r="VPU32" s="28">
        <f t="shared" si="324"/>
        <v>0</v>
      </c>
      <c r="VPV32" s="28">
        <f t="shared" si="324"/>
        <v>0</v>
      </c>
      <c r="VPW32" s="28">
        <f t="shared" si="324"/>
        <v>0</v>
      </c>
      <c r="VPX32" s="28">
        <f t="shared" si="324"/>
        <v>0</v>
      </c>
      <c r="VPY32" s="28">
        <f t="shared" si="324"/>
        <v>0</v>
      </c>
      <c r="VPZ32" s="28">
        <f t="shared" si="324"/>
        <v>0</v>
      </c>
      <c r="VQA32" s="28">
        <f t="shared" si="324"/>
        <v>0</v>
      </c>
      <c r="VQB32" s="28">
        <f t="shared" si="324"/>
        <v>0</v>
      </c>
      <c r="VQC32" s="28">
        <f t="shared" si="324"/>
        <v>0</v>
      </c>
      <c r="VQD32" s="28">
        <f t="shared" si="324"/>
        <v>0</v>
      </c>
      <c r="VQE32" s="28">
        <f t="shared" si="324"/>
        <v>0</v>
      </c>
      <c r="VQF32" s="28">
        <f t="shared" si="324"/>
        <v>0</v>
      </c>
      <c r="VQG32" s="28">
        <f t="shared" si="324"/>
        <v>0</v>
      </c>
      <c r="VQH32" s="28">
        <f t="shared" si="324"/>
        <v>0</v>
      </c>
      <c r="VQI32" s="28">
        <f t="shared" si="324"/>
        <v>0</v>
      </c>
      <c r="VQJ32" s="28">
        <f t="shared" si="324"/>
        <v>0</v>
      </c>
      <c r="VQK32" s="28">
        <f t="shared" si="324"/>
        <v>0</v>
      </c>
      <c r="VQL32" s="28">
        <f t="shared" si="324"/>
        <v>0</v>
      </c>
      <c r="VQM32" s="28">
        <f t="shared" si="324"/>
        <v>0</v>
      </c>
      <c r="VQN32" s="28">
        <f t="shared" si="324"/>
        <v>0</v>
      </c>
      <c r="VQO32" s="28">
        <f t="shared" si="324"/>
        <v>0</v>
      </c>
      <c r="VQP32" s="28">
        <f t="shared" si="324"/>
        <v>0</v>
      </c>
      <c r="VQQ32" s="28">
        <f t="shared" si="324"/>
        <v>0</v>
      </c>
      <c r="VQR32" s="28">
        <f t="shared" si="324"/>
        <v>0</v>
      </c>
      <c r="VQS32" s="28">
        <f t="shared" si="324"/>
        <v>0</v>
      </c>
      <c r="VQT32" s="28">
        <f t="shared" si="324"/>
        <v>0</v>
      </c>
      <c r="VQU32" s="28">
        <f t="shared" si="324"/>
        <v>0</v>
      </c>
      <c r="VQV32" s="28">
        <f t="shared" si="324"/>
        <v>0</v>
      </c>
      <c r="VQW32" s="28">
        <f t="shared" si="324"/>
        <v>0</v>
      </c>
      <c r="VQX32" s="28">
        <f t="shared" si="324"/>
        <v>0</v>
      </c>
      <c r="VQY32" s="28">
        <f t="shared" si="324"/>
        <v>0</v>
      </c>
      <c r="VQZ32" s="28">
        <f t="shared" si="324"/>
        <v>0</v>
      </c>
      <c r="VRA32" s="28">
        <f t="shared" si="324"/>
        <v>0</v>
      </c>
      <c r="VRB32" s="28">
        <f t="shared" si="324"/>
        <v>0</v>
      </c>
      <c r="VRC32" s="28">
        <f t="shared" si="324"/>
        <v>0</v>
      </c>
      <c r="VRD32" s="28">
        <f t="shared" si="324"/>
        <v>0</v>
      </c>
      <c r="VRE32" s="28">
        <f t="shared" si="324"/>
        <v>0</v>
      </c>
      <c r="VRF32" s="28">
        <f t="shared" si="324"/>
        <v>0</v>
      </c>
      <c r="VRG32" s="28">
        <f t="shared" si="324"/>
        <v>0</v>
      </c>
      <c r="VRH32" s="28">
        <f t="shared" si="324"/>
        <v>0</v>
      </c>
      <c r="VRI32" s="28">
        <f t="shared" si="324"/>
        <v>0</v>
      </c>
      <c r="VRJ32" s="28">
        <f t="shared" si="324"/>
        <v>0</v>
      </c>
      <c r="VRK32" s="28">
        <f t="shared" si="324"/>
        <v>0</v>
      </c>
      <c r="VRL32" s="28">
        <f t="shared" si="324"/>
        <v>0</v>
      </c>
      <c r="VRM32" s="28">
        <f t="shared" si="324"/>
        <v>0</v>
      </c>
      <c r="VRN32" s="28">
        <f t="shared" si="324"/>
        <v>0</v>
      </c>
      <c r="VRO32" s="28">
        <f t="shared" si="324"/>
        <v>0</v>
      </c>
      <c r="VRP32" s="28">
        <f t="shared" si="324"/>
        <v>0</v>
      </c>
      <c r="VRQ32" s="28">
        <f t="shared" si="324"/>
        <v>0</v>
      </c>
      <c r="VRR32" s="28">
        <f t="shared" si="324"/>
        <v>0</v>
      </c>
      <c r="VRS32" s="28">
        <f t="shared" si="324"/>
        <v>0</v>
      </c>
      <c r="VRT32" s="28">
        <f t="shared" si="324"/>
        <v>0</v>
      </c>
      <c r="VRU32" s="28">
        <f t="shared" si="324"/>
        <v>0</v>
      </c>
      <c r="VRV32" s="28">
        <f t="shared" si="324"/>
        <v>0</v>
      </c>
      <c r="VRW32" s="28">
        <f t="shared" si="324"/>
        <v>0</v>
      </c>
      <c r="VRX32" s="28">
        <f t="shared" si="324"/>
        <v>0</v>
      </c>
      <c r="VRY32" s="28">
        <f t="shared" si="324"/>
        <v>0</v>
      </c>
      <c r="VRZ32" s="28">
        <f t="shared" si="324"/>
        <v>0</v>
      </c>
      <c r="VSA32" s="28">
        <f t="shared" si="324"/>
        <v>0</v>
      </c>
      <c r="VSB32" s="28">
        <f t="shared" si="324"/>
        <v>0</v>
      </c>
      <c r="VSC32" s="28">
        <f t="shared" ref="VSC32:VUN32" si="325">IFERROR(VSC31/VSC$4,0)</f>
        <v>0</v>
      </c>
      <c r="VSD32" s="28">
        <f t="shared" si="325"/>
        <v>0</v>
      </c>
      <c r="VSE32" s="28">
        <f t="shared" si="325"/>
        <v>0</v>
      </c>
      <c r="VSF32" s="28">
        <f t="shared" si="325"/>
        <v>0</v>
      </c>
      <c r="VSG32" s="28">
        <f t="shared" si="325"/>
        <v>0</v>
      </c>
      <c r="VSH32" s="28">
        <f t="shared" si="325"/>
        <v>0</v>
      </c>
      <c r="VSI32" s="28">
        <f t="shared" si="325"/>
        <v>0</v>
      </c>
      <c r="VSJ32" s="28">
        <f t="shared" si="325"/>
        <v>0</v>
      </c>
      <c r="VSK32" s="28">
        <f t="shared" si="325"/>
        <v>0</v>
      </c>
      <c r="VSL32" s="28">
        <f t="shared" si="325"/>
        <v>0</v>
      </c>
      <c r="VSM32" s="28">
        <f t="shared" si="325"/>
        <v>0</v>
      </c>
      <c r="VSN32" s="28">
        <f t="shared" si="325"/>
        <v>0</v>
      </c>
      <c r="VSO32" s="28">
        <f t="shared" si="325"/>
        <v>0</v>
      </c>
      <c r="VSP32" s="28">
        <f t="shared" si="325"/>
        <v>0</v>
      </c>
      <c r="VSQ32" s="28">
        <f t="shared" si="325"/>
        <v>0</v>
      </c>
      <c r="VSR32" s="28">
        <f t="shared" si="325"/>
        <v>0</v>
      </c>
      <c r="VSS32" s="28">
        <f t="shared" si="325"/>
        <v>0</v>
      </c>
      <c r="VST32" s="28">
        <f t="shared" si="325"/>
        <v>0</v>
      </c>
      <c r="VSU32" s="28">
        <f t="shared" si="325"/>
        <v>0</v>
      </c>
      <c r="VSV32" s="28">
        <f t="shared" si="325"/>
        <v>0</v>
      </c>
      <c r="VSW32" s="28">
        <f t="shared" si="325"/>
        <v>0</v>
      </c>
      <c r="VSX32" s="28">
        <f t="shared" si="325"/>
        <v>0</v>
      </c>
      <c r="VSY32" s="28">
        <f t="shared" si="325"/>
        <v>0</v>
      </c>
      <c r="VSZ32" s="28">
        <f t="shared" si="325"/>
        <v>0</v>
      </c>
      <c r="VTA32" s="28">
        <f t="shared" si="325"/>
        <v>0</v>
      </c>
      <c r="VTB32" s="28">
        <f t="shared" si="325"/>
        <v>0</v>
      </c>
      <c r="VTC32" s="28">
        <f t="shared" si="325"/>
        <v>0</v>
      </c>
      <c r="VTD32" s="28">
        <f t="shared" si="325"/>
        <v>0</v>
      </c>
      <c r="VTE32" s="28">
        <f t="shared" si="325"/>
        <v>0</v>
      </c>
      <c r="VTF32" s="28">
        <f t="shared" si="325"/>
        <v>0</v>
      </c>
      <c r="VTG32" s="28">
        <f t="shared" si="325"/>
        <v>0</v>
      </c>
      <c r="VTH32" s="28">
        <f t="shared" si="325"/>
        <v>0</v>
      </c>
      <c r="VTI32" s="28">
        <f t="shared" si="325"/>
        <v>0</v>
      </c>
      <c r="VTJ32" s="28">
        <f t="shared" si="325"/>
        <v>0</v>
      </c>
      <c r="VTK32" s="28">
        <f t="shared" si="325"/>
        <v>0</v>
      </c>
      <c r="VTL32" s="28">
        <f t="shared" si="325"/>
        <v>0</v>
      </c>
      <c r="VTM32" s="28">
        <f t="shared" si="325"/>
        <v>0</v>
      </c>
      <c r="VTN32" s="28">
        <f t="shared" si="325"/>
        <v>0</v>
      </c>
      <c r="VTO32" s="28">
        <f t="shared" si="325"/>
        <v>0</v>
      </c>
      <c r="VTP32" s="28">
        <f t="shared" si="325"/>
        <v>0</v>
      </c>
      <c r="VTQ32" s="28">
        <f t="shared" si="325"/>
        <v>0</v>
      </c>
      <c r="VTR32" s="28">
        <f t="shared" si="325"/>
        <v>0</v>
      </c>
      <c r="VTS32" s="28">
        <f t="shared" si="325"/>
        <v>0</v>
      </c>
      <c r="VTT32" s="28">
        <f t="shared" si="325"/>
        <v>0</v>
      </c>
      <c r="VTU32" s="28">
        <f t="shared" si="325"/>
        <v>0</v>
      </c>
      <c r="VTV32" s="28">
        <f t="shared" si="325"/>
        <v>0</v>
      </c>
      <c r="VTW32" s="28">
        <f t="shared" si="325"/>
        <v>0</v>
      </c>
      <c r="VTX32" s="28">
        <f t="shared" si="325"/>
        <v>0</v>
      </c>
      <c r="VTY32" s="28">
        <f t="shared" si="325"/>
        <v>0</v>
      </c>
      <c r="VTZ32" s="28">
        <f t="shared" si="325"/>
        <v>0</v>
      </c>
      <c r="VUA32" s="28">
        <f t="shared" si="325"/>
        <v>0</v>
      </c>
      <c r="VUB32" s="28">
        <f t="shared" si="325"/>
        <v>0</v>
      </c>
      <c r="VUC32" s="28">
        <f t="shared" si="325"/>
        <v>0</v>
      </c>
      <c r="VUD32" s="28">
        <f t="shared" si="325"/>
        <v>0</v>
      </c>
      <c r="VUE32" s="28">
        <f t="shared" si="325"/>
        <v>0</v>
      </c>
      <c r="VUF32" s="28">
        <f t="shared" si="325"/>
        <v>0</v>
      </c>
      <c r="VUG32" s="28">
        <f t="shared" si="325"/>
        <v>0</v>
      </c>
      <c r="VUH32" s="28">
        <f t="shared" si="325"/>
        <v>0</v>
      </c>
      <c r="VUI32" s="28">
        <f t="shared" si="325"/>
        <v>0</v>
      </c>
      <c r="VUJ32" s="28">
        <f t="shared" si="325"/>
        <v>0</v>
      </c>
      <c r="VUK32" s="28">
        <f t="shared" si="325"/>
        <v>0</v>
      </c>
      <c r="VUL32" s="28">
        <f t="shared" si="325"/>
        <v>0</v>
      </c>
      <c r="VUM32" s="28">
        <f t="shared" si="325"/>
        <v>0</v>
      </c>
      <c r="VUN32" s="28">
        <f t="shared" si="325"/>
        <v>0</v>
      </c>
      <c r="VUO32" s="28">
        <f t="shared" ref="VUO32:VWZ32" si="326">IFERROR(VUO31/VUO$4,0)</f>
        <v>0</v>
      </c>
      <c r="VUP32" s="28">
        <f t="shared" si="326"/>
        <v>0</v>
      </c>
      <c r="VUQ32" s="28">
        <f t="shared" si="326"/>
        <v>0</v>
      </c>
      <c r="VUR32" s="28">
        <f t="shared" si="326"/>
        <v>0</v>
      </c>
      <c r="VUS32" s="28">
        <f t="shared" si="326"/>
        <v>0</v>
      </c>
      <c r="VUT32" s="28">
        <f t="shared" si="326"/>
        <v>0</v>
      </c>
      <c r="VUU32" s="28">
        <f t="shared" si="326"/>
        <v>0</v>
      </c>
      <c r="VUV32" s="28">
        <f t="shared" si="326"/>
        <v>0</v>
      </c>
      <c r="VUW32" s="28">
        <f t="shared" si="326"/>
        <v>0</v>
      </c>
      <c r="VUX32" s="28">
        <f t="shared" si="326"/>
        <v>0</v>
      </c>
      <c r="VUY32" s="28">
        <f t="shared" si="326"/>
        <v>0</v>
      </c>
      <c r="VUZ32" s="28">
        <f t="shared" si="326"/>
        <v>0</v>
      </c>
      <c r="VVA32" s="28">
        <f t="shared" si="326"/>
        <v>0</v>
      </c>
      <c r="VVB32" s="28">
        <f t="shared" si="326"/>
        <v>0</v>
      </c>
      <c r="VVC32" s="28">
        <f t="shared" si="326"/>
        <v>0</v>
      </c>
      <c r="VVD32" s="28">
        <f t="shared" si="326"/>
        <v>0</v>
      </c>
      <c r="VVE32" s="28">
        <f t="shared" si="326"/>
        <v>0</v>
      </c>
      <c r="VVF32" s="28">
        <f t="shared" si="326"/>
        <v>0</v>
      </c>
      <c r="VVG32" s="28">
        <f t="shared" si="326"/>
        <v>0</v>
      </c>
      <c r="VVH32" s="28">
        <f t="shared" si="326"/>
        <v>0</v>
      </c>
      <c r="VVI32" s="28">
        <f t="shared" si="326"/>
        <v>0</v>
      </c>
      <c r="VVJ32" s="28">
        <f t="shared" si="326"/>
        <v>0</v>
      </c>
      <c r="VVK32" s="28">
        <f t="shared" si="326"/>
        <v>0</v>
      </c>
      <c r="VVL32" s="28">
        <f t="shared" si="326"/>
        <v>0</v>
      </c>
      <c r="VVM32" s="28">
        <f t="shared" si="326"/>
        <v>0</v>
      </c>
      <c r="VVN32" s="28">
        <f t="shared" si="326"/>
        <v>0</v>
      </c>
      <c r="VVO32" s="28">
        <f t="shared" si="326"/>
        <v>0</v>
      </c>
      <c r="VVP32" s="28">
        <f t="shared" si="326"/>
        <v>0</v>
      </c>
      <c r="VVQ32" s="28">
        <f t="shared" si="326"/>
        <v>0</v>
      </c>
      <c r="VVR32" s="28">
        <f t="shared" si="326"/>
        <v>0</v>
      </c>
      <c r="VVS32" s="28">
        <f t="shared" si="326"/>
        <v>0</v>
      </c>
      <c r="VVT32" s="28">
        <f t="shared" si="326"/>
        <v>0</v>
      </c>
      <c r="VVU32" s="28">
        <f t="shared" si="326"/>
        <v>0</v>
      </c>
      <c r="VVV32" s="28">
        <f t="shared" si="326"/>
        <v>0</v>
      </c>
      <c r="VVW32" s="28">
        <f t="shared" si="326"/>
        <v>0</v>
      </c>
      <c r="VVX32" s="28">
        <f t="shared" si="326"/>
        <v>0</v>
      </c>
      <c r="VVY32" s="28">
        <f t="shared" si="326"/>
        <v>0</v>
      </c>
      <c r="VVZ32" s="28">
        <f t="shared" si="326"/>
        <v>0</v>
      </c>
      <c r="VWA32" s="28">
        <f t="shared" si="326"/>
        <v>0</v>
      </c>
      <c r="VWB32" s="28">
        <f t="shared" si="326"/>
        <v>0</v>
      </c>
      <c r="VWC32" s="28">
        <f t="shared" si="326"/>
        <v>0</v>
      </c>
      <c r="VWD32" s="28">
        <f t="shared" si="326"/>
        <v>0</v>
      </c>
      <c r="VWE32" s="28">
        <f t="shared" si="326"/>
        <v>0</v>
      </c>
      <c r="VWF32" s="28">
        <f t="shared" si="326"/>
        <v>0</v>
      </c>
      <c r="VWG32" s="28">
        <f t="shared" si="326"/>
        <v>0</v>
      </c>
      <c r="VWH32" s="28">
        <f t="shared" si="326"/>
        <v>0</v>
      </c>
      <c r="VWI32" s="28">
        <f t="shared" si="326"/>
        <v>0</v>
      </c>
      <c r="VWJ32" s="28">
        <f t="shared" si="326"/>
        <v>0</v>
      </c>
      <c r="VWK32" s="28">
        <f t="shared" si="326"/>
        <v>0</v>
      </c>
      <c r="VWL32" s="28">
        <f t="shared" si="326"/>
        <v>0</v>
      </c>
      <c r="VWM32" s="28">
        <f t="shared" si="326"/>
        <v>0</v>
      </c>
      <c r="VWN32" s="28">
        <f t="shared" si="326"/>
        <v>0</v>
      </c>
      <c r="VWO32" s="28">
        <f t="shared" si="326"/>
        <v>0</v>
      </c>
      <c r="VWP32" s="28">
        <f t="shared" si="326"/>
        <v>0</v>
      </c>
      <c r="VWQ32" s="28">
        <f t="shared" si="326"/>
        <v>0</v>
      </c>
      <c r="VWR32" s="28">
        <f t="shared" si="326"/>
        <v>0</v>
      </c>
      <c r="VWS32" s="28">
        <f t="shared" si="326"/>
        <v>0</v>
      </c>
      <c r="VWT32" s="28">
        <f t="shared" si="326"/>
        <v>0</v>
      </c>
      <c r="VWU32" s="28">
        <f t="shared" si="326"/>
        <v>0</v>
      </c>
      <c r="VWV32" s="28">
        <f t="shared" si="326"/>
        <v>0</v>
      </c>
      <c r="VWW32" s="28">
        <f t="shared" si="326"/>
        <v>0</v>
      </c>
      <c r="VWX32" s="28">
        <f t="shared" si="326"/>
        <v>0</v>
      </c>
      <c r="VWY32" s="28">
        <f t="shared" si="326"/>
        <v>0</v>
      </c>
      <c r="VWZ32" s="28">
        <f t="shared" si="326"/>
        <v>0</v>
      </c>
      <c r="VXA32" s="28">
        <f t="shared" ref="VXA32:VZL32" si="327">IFERROR(VXA31/VXA$4,0)</f>
        <v>0</v>
      </c>
      <c r="VXB32" s="28">
        <f t="shared" si="327"/>
        <v>0</v>
      </c>
      <c r="VXC32" s="28">
        <f t="shared" si="327"/>
        <v>0</v>
      </c>
      <c r="VXD32" s="28">
        <f t="shared" si="327"/>
        <v>0</v>
      </c>
      <c r="VXE32" s="28">
        <f t="shared" si="327"/>
        <v>0</v>
      </c>
      <c r="VXF32" s="28">
        <f t="shared" si="327"/>
        <v>0</v>
      </c>
      <c r="VXG32" s="28">
        <f t="shared" si="327"/>
        <v>0</v>
      </c>
      <c r="VXH32" s="28">
        <f t="shared" si="327"/>
        <v>0</v>
      </c>
      <c r="VXI32" s="28">
        <f t="shared" si="327"/>
        <v>0</v>
      </c>
      <c r="VXJ32" s="28">
        <f t="shared" si="327"/>
        <v>0</v>
      </c>
      <c r="VXK32" s="28">
        <f t="shared" si="327"/>
        <v>0</v>
      </c>
      <c r="VXL32" s="28">
        <f t="shared" si="327"/>
        <v>0</v>
      </c>
      <c r="VXM32" s="28">
        <f t="shared" si="327"/>
        <v>0</v>
      </c>
      <c r="VXN32" s="28">
        <f t="shared" si="327"/>
        <v>0</v>
      </c>
      <c r="VXO32" s="28">
        <f t="shared" si="327"/>
        <v>0</v>
      </c>
      <c r="VXP32" s="28">
        <f t="shared" si="327"/>
        <v>0</v>
      </c>
      <c r="VXQ32" s="28">
        <f t="shared" si="327"/>
        <v>0</v>
      </c>
      <c r="VXR32" s="28">
        <f t="shared" si="327"/>
        <v>0</v>
      </c>
      <c r="VXS32" s="28">
        <f t="shared" si="327"/>
        <v>0</v>
      </c>
      <c r="VXT32" s="28">
        <f t="shared" si="327"/>
        <v>0</v>
      </c>
      <c r="VXU32" s="28">
        <f t="shared" si="327"/>
        <v>0</v>
      </c>
      <c r="VXV32" s="28">
        <f t="shared" si="327"/>
        <v>0</v>
      </c>
      <c r="VXW32" s="28">
        <f t="shared" si="327"/>
        <v>0</v>
      </c>
      <c r="VXX32" s="28">
        <f t="shared" si="327"/>
        <v>0</v>
      </c>
      <c r="VXY32" s="28">
        <f t="shared" si="327"/>
        <v>0</v>
      </c>
      <c r="VXZ32" s="28">
        <f t="shared" si="327"/>
        <v>0</v>
      </c>
      <c r="VYA32" s="28">
        <f t="shared" si="327"/>
        <v>0</v>
      </c>
      <c r="VYB32" s="28">
        <f t="shared" si="327"/>
        <v>0</v>
      </c>
      <c r="VYC32" s="28">
        <f t="shared" si="327"/>
        <v>0</v>
      </c>
      <c r="VYD32" s="28">
        <f t="shared" si="327"/>
        <v>0</v>
      </c>
      <c r="VYE32" s="28">
        <f t="shared" si="327"/>
        <v>0</v>
      </c>
      <c r="VYF32" s="28">
        <f t="shared" si="327"/>
        <v>0</v>
      </c>
      <c r="VYG32" s="28">
        <f t="shared" si="327"/>
        <v>0</v>
      </c>
      <c r="VYH32" s="28">
        <f t="shared" si="327"/>
        <v>0</v>
      </c>
      <c r="VYI32" s="28">
        <f t="shared" si="327"/>
        <v>0</v>
      </c>
      <c r="VYJ32" s="28">
        <f t="shared" si="327"/>
        <v>0</v>
      </c>
      <c r="VYK32" s="28">
        <f t="shared" si="327"/>
        <v>0</v>
      </c>
      <c r="VYL32" s="28">
        <f t="shared" si="327"/>
        <v>0</v>
      </c>
      <c r="VYM32" s="28">
        <f t="shared" si="327"/>
        <v>0</v>
      </c>
      <c r="VYN32" s="28">
        <f t="shared" si="327"/>
        <v>0</v>
      </c>
      <c r="VYO32" s="28">
        <f t="shared" si="327"/>
        <v>0</v>
      </c>
      <c r="VYP32" s="28">
        <f t="shared" si="327"/>
        <v>0</v>
      </c>
      <c r="VYQ32" s="28">
        <f t="shared" si="327"/>
        <v>0</v>
      </c>
      <c r="VYR32" s="28">
        <f t="shared" si="327"/>
        <v>0</v>
      </c>
      <c r="VYS32" s="28">
        <f t="shared" si="327"/>
        <v>0</v>
      </c>
      <c r="VYT32" s="28">
        <f t="shared" si="327"/>
        <v>0</v>
      </c>
      <c r="VYU32" s="28">
        <f t="shared" si="327"/>
        <v>0</v>
      </c>
      <c r="VYV32" s="28">
        <f t="shared" si="327"/>
        <v>0</v>
      </c>
      <c r="VYW32" s="28">
        <f t="shared" si="327"/>
        <v>0</v>
      </c>
      <c r="VYX32" s="28">
        <f t="shared" si="327"/>
        <v>0</v>
      </c>
      <c r="VYY32" s="28">
        <f t="shared" si="327"/>
        <v>0</v>
      </c>
      <c r="VYZ32" s="28">
        <f t="shared" si="327"/>
        <v>0</v>
      </c>
      <c r="VZA32" s="28">
        <f t="shared" si="327"/>
        <v>0</v>
      </c>
      <c r="VZB32" s="28">
        <f t="shared" si="327"/>
        <v>0</v>
      </c>
      <c r="VZC32" s="28">
        <f t="shared" si="327"/>
        <v>0</v>
      </c>
      <c r="VZD32" s="28">
        <f t="shared" si="327"/>
        <v>0</v>
      </c>
      <c r="VZE32" s="28">
        <f t="shared" si="327"/>
        <v>0</v>
      </c>
      <c r="VZF32" s="28">
        <f t="shared" si="327"/>
        <v>0</v>
      </c>
      <c r="VZG32" s="28">
        <f t="shared" si="327"/>
        <v>0</v>
      </c>
      <c r="VZH32" s="28">
        <f t="shared" si="327"/>
        <v>0</v>
      </c>
      <c r="VZI32" s="28">
        <f t="shared" si="327"/>
        <v>0</v>
      </c>
      <c r="VZJ32" s="28">
        <f t="shared" si="327"/>
        <v>0</v>
      </c>
      <c r="VZK32" s="28">
        <f t="shared" si="327"/>
        <v>0</v>
      </c>
      <c r="VZL32" s="28">
        <f t="shared" si="327"/>
        <v>0</v>
      </c>
      <c r="VZM32" s="28">
        <f t="shared" ref="VZM32:WBX32" si="328">IFERROR(VZM31/VZM$4,0)</f>
        <v>0</v>
      </c>
      <c r="VZN32" s="28">
        <f t="shared" si="328"/>
        <v>0</v>
      </c>
      <c r="VZO32" s="28">
        <f t="shared" si="328"/>
        <v>0</v>
      </c>
      <c r="VZP32" s="28">
        <f t="shared" si="328"/>
        <v>0</v>
      </c>
      <c r="VZQ32" s="28">
        <f t="shared" si="328"/>
        <v>0</v>
      </c>
      <c r="VZR32" s="28">
        <f t="shared" si="328"/>
        <v>0</v>
      </c>
      <c r="VZS32" s="28">
        <f t="shared" si="328"/>
        <v>0</v>
      </c>
      <c r="VZT32" s="28">
        <f t="shared" si="328"/>
        <v>0</v>
      </c>
      <c r="VZU32" s="28">
        <f t="shared" si="328"/>
        <v>0</v>
      </c>
      <c r="VZV32" s="28">
        <f t="shared" si="328"/>
        <v>0</v>
      </c>
      <c r="VZW32" s="28">
        <f t="shared" si="328"/>
        <v>0</v>
      </c>
      <c r="VZX32" s="28">
        <f t="shared" si="328"/>
        <v>0</v>
      </c>
      <c r="VZY32" s="28">
        <f t="shared" si="328"/>
        <v>0</v>
      </c>
      <c r="VZZ32" s="28">
        <f t="shared" si="328"/>
        <v>0</v>
      </c>
      <c r="WAA32" s="28">
        <f t="shared" si="328"/>
        <v>0</v>
      </c>
      <c r="WAB32" s="28">
        <f t="shared" si="328"/>
        <v>0</v>
      </c>
      <c r="WAC32" s="28">
        <f t="shared" si="328"/>
        <v>0</v>
      </c>
      <c r="WAD32" s="28">
        <f t="shared" si="328"/>
        <v>0</v>
      </c>
      <c r="WAE32" s="28">
        <f t="shared" si="328"/>
        <v>0</v>
      </c>
      <c r="WAF32" s="28">
        <f t="shared" si="328"/>
        <v>0</v>
      </c>
      <c r="WAG32" s="28">
        <f t="shared" si="328"/>
        <v>0</v>
      </c>
      <c r="WAH32" s="28">
        <f t="shared" si="328"/>
        <v>0</v>
      </c>
      <c r="WAI32" s="28">
        <f t="shared" si="328"/>
        <v>0</v>
      </c>
      <c r="WAJ32" s="28">
        <f t="shared" si="328"/>
        <v>0</v>
      </c>
      <c r="WAK32" s="28">
        <f t="shared" si="328"/>
        <v>0</v>
      </c>
      <c r="WAL32" s="28">
        <f t="shared" si="328"/>
        <v>0</v>
      </c>
      <c r="WAM32" s="28">
        <f t="shared" si="328"/>
        <v>0</v>
      </c>
      <c r="WAN32" s="28">
        <f t="shared" si="328"/>
        <v>0</v>
      </c>
      <c r="WAO32" s="28">
        <f t="shared" si="328"/>
        <v>0</v>
      </c>
      <c r="WAP32" s="28">
        <f t="shared" si="328"/>
        <v>0</v>
      </c>
      <c r="WAQ32" s="28">
        <f t="shared" si="328"/>
        <v>0</v>
      </c>
      <c r="WAR32" s="28">
        <f t="shared" si="328"/>
        <v>0</v>
      </c>
      <c r="WAS32" s="28">
        <f t="shared" si="328"/>
        <v>0</v>
      </c>
      <c r="WAT32" s="28">
        <f t="shared" si="328"/>
        <v>0</v>
      </c>
      <c r="WAU32" s="28">
        <f t="shared" si="328"/>
        <v>0</v>
      </c>
      <c r="WAV32" s="28">
        <f t="shared" si="328"/>
        <v>0</v>
      </c>
      <c r="WAW32" s="28">
        <f t="shared" si="328"/>
        <v>0</v>
      </c>
      <c r="WAX32" s="28">
        <f t="shared" si="328"/>
        <v>0</v>
      </c>
      <c r="WAY32" s="28">
        <f t="shared" si="328"/>
        <v>0</v>
      </c>
      <c r="WAZ32" s="28">
        <f t="shared" si="328"/>
        <v>0</v>
      </c>
      <c r="WBA32" s="28">
        <f t="shared" si="328"/>
        <v>0</v>
      </c>
      <c r="WBB32" s="28">
        <f t="shared" si="328"/>
        <v>0</v>
      </c>
      <c r="WBC32" s="28">
        <f t="shared" si="328"/>
        <v>0</v>
      </c>
      <c r="WBD32" s="28">
        <f t="shared" si="328"/>
        <v>0</v>
      </c>
      <c r="WBE32" s="28">
        <f t="shared" si="328"/>
        <v>0</v>
      </c>
      <c r="WBF32" s="28">
        <f t="shared" si="328"/>
        <v>0</v>
      </c>
      <c r="WBG32" s="28">
        <f t="shared" si="328"/>
        <v>0</v>
      </c>
      <c r="WBH32" s="28">
        <f t="shared" si="328"/>
        <v>0</v>
      </c>
      <c r="WBI32" s="28">
        <f t="shared" si="328"/>
        <v>0</v>
      </c>
      <c r="WBJ32" s="28">
        <f t="shared" si="328"/>
        <v>0</v>
      </c>
      <c r="WBK32" s="28">
        <f t="shared" si="328"/>
        <v>0</v>
      </c>
      <c r="WBL32" s="28">
        <f t="shared" si="328"/>
        <v>0</v>
      </c>
      <c r="WBM32" s="28">
        <f t="shared" si="328"/>
        <v>0</v>
      </c>
      <c r="WBN32" s="28">
        <f t="shared" si="328"/>
        <v>0</v>
      </c>
      <c r="WBO32" s="28">
        <f t="shared" si="328"/>
        <v>0</v>
      </c>
      <c r="WBP32" s="28">
        <f t="shared" si="328"/>
        <v>0</v>
      </c>
      <c r="WBQ32" s="28">
        <f t="shared" si="328"/>
        <v>0</v>
      </c>
      <c r="WBR32" s="28">
        <f t="shared" si="328"/>
        <v>0</v>
      </c>
      <c r="WBS32" s="28">
        <f t="shared" si="328"/>
        <v>0</v>
      </c>
      <c r="WBT32" s="28">
        <f t="shared" si="328"/>
        <v>0</v>
      </c>
      <c r="WBU32" s="28">
        <f t="shared" si="328"/>
        <v>0</v>
      </c>
      <c r="WBV32" s="28">
        <f t="shared" si="328"/>
        <v>0</v>
      </c>
      <c r="WBW32" s="28">
        <f t="shared" si="328"/>
        <v>0</v>
      </c>
      <c r="WBX32" s="28">
        <f t="shared" si="328"/>
        <v>0</v>
      </c>
      <c r="WBY32" s="28">
        <f t="shared" ref="WBY32:WEJ32" si="329">IFERROR(WBY31/WBY$4,0)</f>
        <v>0</v>
      </c>
      <c r="WBZ32" s="28">
        <f t="shared" si="329"/>
        <v>0</v>
      </c>
      <c r="WCA32" s="28">
        <f t="shared" si="329"/>
        <v>0</v>
      </c>
      <c r="WCB32" s="28">
        <f t="shared" si="329"/>
        <v>0</v>
      </c>
      <c r="WCC32" s="28">
        <f t="shared" si="329"/>
        <v>0</v>
      </c>
      <c r="WCD32" s="28">
        <f t="shared" si="329"/>
        <v>0</v>
      </c>
      <c r="WCE32" s="28">
        <f t="shared" si="329"/>
        <v>0</v>
      </c>
      <c r="WCF32" s="28">
        <f t="shared" si="329"/>
        <v>0</v>
      </c>
      <c r="WCG32" s="28">
        <f t="shared" si="329"/>
        <v>0</v>
      </c>
      <c r="WCH32" s="28">
        <f t="shared" si="329"/>
        <v>0</v>
      </c>
      <c r="WCI32" s="28">
        <f t="shared" si="329"/>
        <v>0</v>
      </c>
      <c r="WCJ32" s="28">
        <f t="shared" si="329"/>
        <v>0</v>
      </c>
      <c r="WCK32" s="28">
        <f t="shared" si="329"/>
        <v>0</v>
      </c>
      <c r="WCL32" s="28">
        <f t="shared" si="329"/>
        <v>0</v>
      </c>
      <c r="WCM32" s="28">
        <f t="shared" si="329"/>
        <v>0</v>
      </c>
      <c r="WCN32" s="28">
        <f t="shared" si="329"/>
        <v>0</v>
      </c>
      <c r="WCO32" s="28">
        <f t="shared" si="329"/>
        <v>0</v>
      </c>
      <c r="WCP32" s="28">
        <f t="shared" si="329"/>
        <v>0</v>
      </c>
      <c r="WCQ32" s="28">
        <f t="shared" si="329"/>
        <v>0</v>
      </c>
      <c r="WCR32" s="28">
        <f t="shared" si="329"/>
        <v>0</v>
      </c>
      <c r="WCS32" s="28">
        <f t="shared" si="329"/>
        <v>0</v>
      </c>
      <c r="WCT32" s="28">
        <f t="shared" si="329"/>
        <v>0</v>
      </c>
      <c r="WCU32" s="28">
        <f t="shared" si="329"/>
        <v>0</v>
      </c>
      <c r="WCV32" s="28">
        <f t="shared" si="329"/>
        <v>0</v>
      </c>
      <c r="WCW32" s="28">
        <f t="shared" si="329"/>
        <v>0</v>
      </c>
      <c r="WCX32" s="28">
        <f t="shared" si="329"/>
        <v>0</v>
      </c>
      <c r="WCY32" s="28">
        <f t="shared" si="329"/>
        <v>0</v>
      </c>
      <c r="WCZ32" s="28">
        <f t="shared" si="329"/>
        <v>0</v>
      </c>
      <c r="WDA32" s="28">
        <f t="shared" si="329"/>
        <v>0</v>
      </c>
      <c r="WDB32" s="28">
        <f t="shared" si="329"/>
        <v>0</v>
      </c>
      <c r="WDC32" s="28">
        <f t="shared" si="329"/>
        <v>0</v>
      </c>
      <c r="WDD32" s="28">
        <f t="shared" si="329"/>
        <v>0</v>
      </c>
      <c r="WDE32" s="28">
        <f t="shared" si="329"/>
        <v>0</v>
      </c>
      <c r="WDF32" s="28">
        <f t="shared" si="329"/>
        <v>0</v>
      </c>
      <c r="WDG32" s="28">
        <f t="shared" si="329"/>
        <v>0</v>
      </c>
      <c r="WDH32" s="28">
        <f t="shared" si="329"/>
        <v>0</v>
      </c>
      <c r="WDI32" s="28">
        <f t="shared" si="329"/>
        <v>0</v>
      </c>
      <c r="WDJ32" s="28">
        <f t="shared" si="329"/>
        <v>0</v>
      </c>
      <c r="WDK32" s="28">
        <f t="shared" si="329"/>
        <v>0</v>
      </c>
      <c r="WDL32" s="28">
        <f t="shared" si="329"/>
        <v>0</v>
      </c>
      <c r="WDM32" s="28">
        <f t="shared" si="329"/>
        <v>0</v>
      </c>
      <c r="WDN32" s="28">
        <f t="shared" si="329"/>
        <v>0</v>
      </c>
      <c r="WDO32" s="28">
        <f t="shared" si="329"/>
        <v>0</v>
      </c>
      <c r="WDP32" s="28">
        <f t="shared" si="329"/>
        <v>0</v>
      </c>
      <c r="WDQ32" s="28">
        <f t="shared" si="329"/>
        <v>0</v>
      </c>
      <c r="WDR32" s="28">
        <f t="shared" si="329"/>
        <v>0</v>
      </c>
      <c r="WDS32" s="28">
        <f t="shared" si="329"/>
        <v>0</v>
      </c>
      <c r="WDT32" s="28">
        <f t="shared" si="329"/>
        <v>0</v>
      </c>
      <c r="WDU32" s="28">
        <f t="shared" si="329"/>
        <v>0</v>
      </c>
      <c r="WDV32" s="28">
        <f t="shared" si="329"/>
        <v>0</v>
      </c>
      <c r="WDW32" s="28">
        <f t="shared" si="329"/>
        <v>0</v>
      </c>
      <c r="WDX32" s="28">
        <f t="shared" si="329"/>
        <v>0</v>
      </c>
      <c r="WDY32" s="28">
        <f t="shared" si="329"/>
        <v>0</v>
      </c>
      <c r="WDZ32" s="28">
        <f t="shared" si="329"/>
        <v>0</v>
      </c>
      <c r="WEA32" s="28">
        <f t="shared" si="329"/>
        <v>0</v>
      </c>
      <c r="WEB32" s="28">
        <f t="shared" si="329"/>
        <v>0</v>
      </c>
      <c r="WEC32" s="28">
        <f t="shared" si="329"/>
        <v>0</v>
      </c>
      <c r="WED32" s="28">
        <f t="shared" si="329"/>
        <v>0</v>
      </c>
      <c r="WEE32" s="28">
        <f t="shared" si="329"/>
        <v>0</v>
      </c>
      <c r="WEF32" s="28">
        <f t="shared" si="329"/>
        <v>0</v>
      </c>
      <c r="WEG32" s="28">
        <f t="shared" si="329"/>
        <v>0</v>
      </c>
      <c r="WEH32" s="28">
        <f t="shared" si="329"/>
        <v>0</v>
      </c>
      <c r="WEI32" s="28">
        <f t="shared" si="329"/>
        <v>0</v>
      </c>
      <c r="WEJ32" s="28">
        <f t="shared" si="329"/>
        <v>0</v>
      </c>
      <c r="WEK32" s="28">
        <f t="shared" ref="WEK32:WGV32" si="330">IFERROR(WEK31/WEK$4,0)</f>
        <v>0</v>
      </c>
      <c r="WEL32" s="28">
        <f t="shared" si="330"/>
        <v>0</v>
      </c>
      <c r="WEM32" s="28">
        <f t="shared" si="330"/>
        <v>0</v>
      </c>
      <c r="WEN32" s="28">
        <f t="shared" si="330"/>
        <v>0</v>
      </c>
      <c r="WEO32" s="28">
        <f t="shared" si="330"/>
        <v>0</v>
      </c>
      <c r="WEP32" s="28">
        <f t="shared" si="330"/>
        <v>0</v>
      </c>
      <c r="WEQ32" s="28">
        <f t="shared" si="330"/>
        <v>0</v>
      </c>
      <c r="WER32" s="28">
        <f t="shared" si="330"/>
        <v>0</v>
      </c>
      <c r="WES32" s="28">
        <f t="shared" si="330"/>
        <v>0</v>
      </c>
      <c r="WET32" s="28">
        <f t="shared" si="330"/>
        <v>0</v>
      </c>
      <c r="WEU32" s="28">
        <f t="shared" si="330"/>
        <v>0</v>
      </c>
      <c r="WEV32" s="28">
        <f t="shared" si="330"/>
        <v>0</v>
      </c>
      <c r="WEW32" s="28">
        <f t="shared" si="330"/>
        <v>0</v>
      </c>
      <c r="WEX32" s="28">
        <f t="shared" si="330"/>
        <v>0</v>
      </c>
      <c r="WEY32" s="28">
        <f t="shared" si="330"/>
        <v>0</v>
      </c>
      <c r="WEZ32" s="28">
        <f t="shared" si="330"/>
        <v>0</v>
      </c>
      <c r="WFA32" s="28">
        <f t="shared" si="330"/>
        <v>0</v>
      </c>
      <c r="WFB32" s="28">
        <f t="shared" si="330"/>
        <v>0</v>
      </c>
      <c r="WFC32" s="28">
        <f t="shared" si="330"/>
        <v>0</v>
      </c>
      <c r="WFD32" s="28">
        <f t="shared" si="330"/>
        <v>0</v>
      </c>
      <c r="WFE32" s="28">
        <f t="shared" si="330"/>
        <v>0</v>
      </c>
      <c r="WFF32" s="28">
        <f t="shared" si="330"/>
        <v>0</v>
      </c>
      <c r="WFG32" s="28">
        <f t="shared" si="330"/>
        <v>0</v>
      </c>
      <c r="WFH32" s="28">
        <f t="shared" si="330"/>
        <v>0</v>
      </c>
      <c r="WFI32" s="28">
        <f t="shared" si="330"/>
        <v>0</v>
      </c>
      <c r="WFJ32" s="28">
        <f t="shared" si="330"/>
        <v>0</v>
      </c>
      <c r="WFK32" s="28">
        <f t="shared" si="330"/>
        <v>0</v>
      </c>
      <c r="WFL32" s="28">
        <f t="shared" si="330"/>
        <v>0</v>
      </c>
      <c r="WFM32" s="28">
        <f t="shared" si="330"/>
        <v>0</v>
      </c>
      <c r="WFN32" s="28">
        <f t="shared" si="330"/>
        <v>0</v>
      </c>
      <c r="WFO32" s="28">
        <f t="shared" si="330"/>
        <v>0</v>
      </c>
      <c r="WFP32" s="28">
        <f t="shared" si="330"/>
        <v>0</v>
      </c>
      <c r="WFQ32" s="28">
        <f t="shared" si="330"/>
        <v>0</v>
      </c>
      <c r="WFR32" s="28">
        <f t="shared" si="330"/>
        <v>0</v>
      </c>
      <c r="WFS32" s="28">
        <f t="shared" si="330"/>
        <v>0</v>
      </c>
      <c r="WFT32" s="28">
        <f t="shared" si="330"/>
        <v>0</v>
      </c>
      <c r="WFU32" s="28">
        <f t="shared" si="330"/>
        <v>0</v>
      </c>
      <c r="WFV32" s="28">
        <f t="shared" si="330"/>
        <v>0</v>
      </c>
      <c r="WFW32" s="28">
        <f t="shared" si="330"/>
        <v>0</v>
      </c>
      <c r="WFX32" s="28">
        <f t="shared" si="330"/>
        <v>0</v>
      </c>
      <c r="WFY32" s="28">
        <f t="shared" si="330"/>
        <v>0</v>
      </c>
      <c r="WFZ32" s="28">
        <f t="shared" si="330"/>
        <v>0</v>
      </c>
      <c r="WGA32" s="28">
        <f t="shared" si="330"/>
        <v>0</v>
      </c>
      <c r="WGB32" s="28">
        <f t="shared" si="330"/>
        <v>0</v>
      </c>
      <c r="WGC32" s="28">
        <f t="shared" si="330"/>
        <v>0</v>
      </c>
      <c r="WGD32" s="28">
        <f t="shared" si="330"/>
        <v>0</v>
      </c>
      <c r="WGE32" s="28">
        <f t="shared" si="330"/>
        <v>0</v>
      </c>
      <c r="WGF32" s="28">
        <f t="shared" si="330"/>
        <v>0</v>
      </c>
      <c r="WGG32" s="28">
        <f t="shared" si="330"/>
        <v>0</v>
      </c>
      <c r="WGH32" s="28">
        <f t="shared" si="330"/>
        <v>0</v>
      </c>
      <c r="WGI32" s="28">
        <f t="shared" si="330"/>
        <v>0</v>
      </c>
      <c r="WGJ32" s="28">
        <f t="shared" si="330"/>
        <v>0</v>
      </c>
      <c r="WGK32" s="28">
        <f t="shared" si="330"/>
        <v>0</v>
      </c>
      <c r="WGL32" s="28">
        <f t="shared" si="330"/>
        <v>0</v>
      </c>
      <c r="WGM32" s="28">
        <f t="shared" si="330"/>
        <v>0</v>
      </c>
      <c r="WGN32" s="28">
        <f t="shared" si="330"/>
        <v>0</v>
      </c>
      <c r="WGO32" s="28">
        <f t="shared" si="330"/>
        <v>0</v>
      </c>
      <c r="WGP32" s="28">
        <f t="shared" si="330"/>
        <v>0</v>
      </c>
      <c r="WGQ32" s="28">
        <f t="shared" si="330"/>
        <v>0</v>
      </c>
      <c r="WGR32" s="28">
        <f t="shared" si="330"/>
        <v>0</v>
      </c>
      <c r="WGS32" s="28">
        <f t="shared" si="330"/>
        <v>0</v>
      </c>
      <c r="WGT32" s="28">
        <f t="shared" si="330"/>
        <v>0</v>
      </c>
      <c r="WGU32" s="28">
        <f t="shared" si="330"/>
        <v>0</v>
      </c>
      <c r="WGV32" s="28">
        <f t="shared" si="330"/>
        <v>0</v>
      </c>
      <c r="WGW32" s="28">
        <f t="shared" ref="WGW32:WJH32" si="331">IFERROR(WGW31/WGW$4,0)</f>
        <v>0</v>
      </c>
      <c r="WGX32" s="28">
        <f t="shared" si="331"/>
        <v>0</v>
      </c>
      <c r="WGY32" s="28">
        <f t="shared" si="331"/>
        <v>0</v>
      </c>
      <c r="WGZ32" s="28">
        <f t="shared" si="331"/>
        <v>0</v>
      </c>
      <c r="WHA32" s="28">
        <f t="shared" si="331"/>
        <v>0</v>
      </c>
      <c r="WHB32" s="28">
        <f t="shared" si="331"/>
        <v>0</v>
      </c>
      <c r="WHC32" s="28">
        <f t="shared" si="331"/>
        <v>0</v>
      </c>
      <c r="WHD32" s="28">
        <f t="shared" si="331"/>
        <v>0</v>
      </c>
      <c r="WHE32" s="28">
        <f t="shared" si="331"/>
        <v>0</v>
      </c>
      <c r="WHF32" s="28">
        <f t="shared" si="331"/>
        <v>0</v>
      </c>
      <c r="WHG32" s="28">
        <f t="shared" si="331"/>
        <v>0</v>
      </c>
      <c r="WHH32" s="28">
        <f t="shared" si="331"/>
        <v>0</v>
      </c>
      <c r="WHI32" s="28">
        <f t="shared" si="331"/>
        <v>0</v>
      </c>
      <c r="WHJ32" s="28">
        <f t="shared" si="331"/>
        <v>0</v>
      </c>
      <c r="WHK32" s="28">
        <f t="shared" si="331"/>
        <v>0</v>
      </c>
      <c r="WHL32" s="28">
        <f t="shared" si="331"/>
        <v>0</v>
      </c>
      <c r="WHM32" s="28">
        <f t="shared" si="331"/>
        <v>0</v>
      </c>
      <c r="WHN32" s="28">
        <f t="shared" si="331"/>
        <v>0</v>
      </c>
      <c r="WHO32" s="28">
        <f t="shared" si="331"/>
        <v>0</v>
      </c>
      <c r="WHP32" s="28">
        <f t="shared" si="331"/>
        <v>0</v>
      </c>
      <c r="WHQ32" s="28">
        <f t="shared" si="331"/>
        <v>0</v>
      </c>
      <c r="WHR32" s="28">
        <f t="shared" si="331"/>
        <v>0</v>
      </c>
      <c r="WHS32" s="28">
        <f t="shared" si="331"/>
        <v>0</v>
      </c>
      <c r="WHT32" s="28">
        <f t="shared" si="331"/>
        <v>0</v>
      </c>
      <c r="WHU32" s="28">
        <f t="shared" si="331"/>
        <v>0</v>
      </c>
      <c r="WHV32" s="28">
        <f t="shared" si="331"/>
        <v>0</v>
      </c>
      <c r="WHW32" s="28">
        <f t="shared" si="331"/>
        <v>0</v>
      </c>
      <c r="WHX32" s="28">
        <f t="shared" si="331"/>
        <v>0</v>
      </c>
      <c r="WHY32" s="28">
        <f t="shared" si="331"/>
        <v>0</v>
      </c>
      <c r="WHZ32" s="28">
        <f t="shared" si="331"/>
        <v>0</v>
      </c>
      <c r="WIA32" s="28">
        <f t="shared" si="331"/>
        <v>0</v>
      </c>
      <c r="WIB32" s="28">
        <f t="shared" si="331"/>
        <v>0</v>
      </c>
      <c r="WIC32" s="28">
        <f t="shared" si="331"/>
        <v>0</v>
      </c>
      <c r="WID32" s="28">
        <f t="shared" si="331"/>
        <v>0</v>
      </c>
      <c r="WIE32" s="28">
        <f t="shared" si="331"/>
        <v>0</v>
      </c>
      <c r="WIF32" s="28">
        <f t="shared" si="331"/>
        <v>0</v>
      </c>
      <c r="WIG32" s="28">
        <f t="shared" si="331"/>
        <v>0</v>
      </c>
      <c r="WIH32" s="28">
        <f t="shared" si="331"/>
        <v>0</v>
      </c>
      <c r="WII32" s="28">
        <f t="shared" si="331"/>
        <v>0</v>
      </c>
      <c r="WIJ32" s="28">
        <f t="shared" si="331"/>
        <v>0</v>
      </c>
      <c r="WIK32" s="28">
        <f t="shared" si="331"/>
        <v>0</v>
      </c>
      <c r="WIL32" s="28">
        <f t="shared" si="331"/>
        <v>0</v>
      </c>
      <c r="WIM32" s="28">
        <f t="shared" si="331"/>
        <v>0</v>
      </c>
      <c r="WIN32" s="28">
        <f t="shared" si="331"/>
        <v>0</v>
      </c>
      <c r="WIO32" s="28">
        <f t="shared" si="331"/>
        <v>0</v>
      </c>
      <c r="WIP32" s="28">
        <f t="shared" si="331"/>
        <v>0</v>
      </c>
      <c r="WIQ32" s="28">
        <f t="shared" si="331"/>
        <v>0</v>
      </c>
      <c r="WIR32" s="28">
        <f t="shared" si="331"/>
        <v>0</v>
      </c>
      <c r="WIS32" s="28">
        <f t="shared" si="331"/>
        <v>0</v>
      </c>
      <c r="WIT32" s="28">
        <f t="shared" si="331"/>
        <v>0</v>
      </c>
      <c r="WIU32" s="28">
        <f t="shared" si="331"/>
        <v>0</v>
      </c>
      <c r="WIV32" s="28">
        <f t="shared" si="331"/>
        <v>0</v>
      </c>
      <c r="WIW32" s="28">
        <f t="shared" si="331"/>
        <v>0</v>
      </c>
      <c r="WIX32" s="28">
        <f t="shared" si="331"/>
        <v>0</v>
      </c>
      <c r="WIY32" s="28">
        <f t="shared" si="331"/>
        <v>0</v>
      </c>
      <c r="WIZ32" s="28">
        <f t="shared" si="331"/>
        <v>0</v>
      </c>
      <c r="WJA32" s="28">
        <f t="shared" si="331"/>
        <v>0</v>
      </c>
      <c r="WJB32" s="28">
        <f t="shared" si="331"/>
        <v>0</v>
      </c>
      <c r="WJC32" s="28">
        <f t="shared" si="331"/>
        <v>0</v>
      </c>
      <c r="WJD32" s="28">
        <f t="shared" si="331"/>
        <v>0</v>
      </c>
      <c r="WJE32" s="28">
        <f t="shared" si="331"/>
        <v>0</v>
      </c>
      <c r="WJF32" s="28">
        <f t="shared" si="331"/>
        <v>0</v>
      </c>
      <c r="WJG32" s="28">
        <f t="shared" si="331"/>
        <v>0</v>
      </c>
      <c r="WJH32" s="28">
        <f t="shared" si="331"/>
        <v>0</v>
      </c>
      <c r="WJI32" s="28">
        <f t="shared" ref="WJI32:WLT32" si="332">IFERROR(WJI31/WJI$4,0)</f>
        <v>0</v>
      </c>
      <c r="WJJ32" s="28">
        <f t="shared" si="332"/>
        <v>0</v>
      </c>
      <c r="WJK32" s="28">
        <f t="shared" si="332"/>
        <v>0</v>
      </c>
      <c r="WJL32" s="28">
        <f t="shared" si="332"/>
        <v>0</v>
      </c>
      <c r="WJM32" s="28">
        <f t="shared" si="332"/>
        <v>0</v>
      </c>
      <c r="WJN32" s="28">
        <f t="shared" si="332"/>
        <v>0</v>
      </c>
      <c r="WJO32" s="28">
        <f t="shared" si="332"/>
        <v>0</v>
      </c>
      <c r="WJP32" s="28">
        <f t="shared" si="332"/>
        <v>0</v>
      </c>
      <c r="WJQ32" s="28">
        <f t="shared" si="332"/>
        <v>0</v>
      </c>
      <c r="WJR32" s="28">
        <f t="shared" si="332"/>
        <v>0</v>
      </c>
      <c r="WJS32" s="28">
        <f t="shared" si="332"/>
        <v>0</v>
      </c>
      <c r="WJT32" s="28">
        <f t="shared" si="332"/>
        <v>0</v>
      </c>
      <c r="WJU32" s="28">
        <f t="shared" si="332"/>
        <v>0</v>
      </c>
      <c r="WJV32" s="28">
        <f t="shared" si="332"/>
        <v>0</v>
      </c>
      <c r="WJW32" s="28">
        <f t="shared" si="332"/>
        <v>0</v>
      </c>
      <c r="WJX32" s="28">
        <f t="shared" si="332"/>
        <v>0</v>
      </c>
      <c r="WJY32" s="28">
        <f t="shared" si="332"/>
        <v>0</v>
      </c>
      <c r="WJZ32" s="28">
        <f t="shared" si="332"/>
        <v>0</v>
      </c>
      <c r="WKA32" s="28">
        <f t="shared" si="332"/>
        <v>0</v>
      </c>
      <c r="WKB32" s="28">
        <f t="shared" si="332"/>
        <v>0</v>
      </c>
      <c r="WKC32" s="28">
        <f t="shared" si="332"/>
        <v>0</v>
      </c>
      <c r="WKD32" s="28">
        <f t="shared" si="332"/>
        <v>0</v>
      </c>
      <c r="WKE32" s="28">
        <f t="shared" si="332"/>
        <v>0</v>
      </c>
      <c r="WKF32" s="28">
        <f t="shared" si="332"/>
        <v>0</v>
      </c>
      <c r="WKG32" s="28">
        <f t="shared" si="332"/>
        <v>0</v>
      </c>
      <c r="WKH32" s="28">
        <f t="shared" si="332"/>
        <v>0</v>
      </c>
      <c r="WKI32" s="28">
        <f t="shared" si="332"/>
        <v>0</v>
      </c>
      <c r="WKJ32" s="28">
        <f t="shared" si="332"/>
        <v>0</v>
      </c>
      <c r="WKK32" s="28">
        <f t="shared" si="332"/>
        <v>0</v>
      </c>
      <c r="WKL32" s="28">
        <f t="shared" si="332"/>
        <v>0</v>
      </c>
      <c r="WKM32" s="28">
        <f t="shared" si="332"/>
        <v>0</v>
      </c>
      <c r="WKN32" s="28">
        <f t="shared" si="332"/>
        <v>0</v>
      </c>
      <c r="WKO32" s="28">
        <f t="shared" si="332"/>
        <v>0</v>
      </c>
      <c r="WKP32" s="28">
        <f t="shared" si="332"/>
        <v>0</v>
      </c>
      <c r="WKQ32" s="28">
        <f t="shared" si="332"/>
        <v>0</v>
      </c>
      <c r="WKR32" s="28">
        <f t="shared" si="332"/>
        <v>0</v>
      </c>
      <c r="WKS32" s="28">
        <f t="shared" si="332"/>
        <v>0</v>
      </c>
      <c r="WKT32" s="28">
        <f t="shared" si="332"/>
        <v>0</v>
      </c>
      <c r="WKU32" s="28">
        <f t="shared" si="332"/>
        <v>0</v>
      </c>
      <c r="WKV32" s="28">
        <f t="shared" si="332"/>
        <v>0</v>
      </c>
      <c r="WKW32" s="28">
        <f t="shared" si="332"/>
        <v>0</v>
      </c>
      <c r="WKX32" s="28">
        <f t="shared" si="332"/>
        <v>0</v>
      </c>
      <c r="WKY32" s="28">
        <f t="shared" si="332"/>
        <v>0</v>
      </c>
      <c r="WKZ32" s="28">
        <f t="shared" si="332"/>
        <v>0</v>
      </c>
      <c r="WLA32" s="28">
        <f t="shared" si="332"/>
        <v>0</v>
      </c>
      <c r="WLB32" s="28">
        <f t="shared" si="332"/>
        <v>0</v>
      </c>
      <c r="WLC32" s="28">
        <f t="shared" si="332"/>
        <v>0</v>
      </c>
      <c r="WLD32" s="28">
        <f t="shared" si="332"/>
        <v>0</v>
      </c>
      <c r="WLE32" s="28">
        <f t="shared" si="332"/>
        <v>0</v>
      </c>
      <c r="WLF32" s="28">
        <f t="shared" si="332"/>
        <v>0</v>
      </c>
      <c r="WLG32" s="28">
        <f t="shared" si="332"/>
        <v>0</v>
      </c>
      <c r="WLH32" s="28">
        <f t="shared" si="332"/>
        <v>0</v>
      </c>
      <c r="WLI32" s="28">
        <f t="shared" si="332"/>
        <v>0</v>
      </c>
      <c r="WLJ32" s="28">
        <f t="shared" si="332"/>
        <v>0</v>
      </c>
      <c r="WLK32" s="28">
        <f t="shared" si="332"/>
        <v>0</v>
      </c>
      <c r="WLL32" s="28">
        <f t="shared" si="332"/>
        <v>0</v>
      </c>
      <c r="WLM32" s="28">
        <f t="shared" si="332"/>
        <v>0</v>
      </c>
      <c r="WLN32" s="28">
        <f t="shared" si="332"/>
        <v>0</v>
      </c>
      <c r="WLO32" s="28">
        <f t="shared" si="332"/>
        <v>0</v>
      </c>
      <c r="WLP32" s="28">
        <f t="shared" si="332"/>
        <v>0</v>
      </c>
      <c r="WLQ32" s="28">
        <f t="shared" si="332"/>
        <v>0</v>
      </c>
      <c r="WLR32" s="28">
        <f t="shared" si="332"/>
        <v>0</v>
      </c>
      <c r="WLS32" s="28">
        <f t="shared" si="332"/>
        <v>0</v>
      </c>
      <c r="WLT32" s="28">
        <f t="shared" si="332"/>
        <v>0</v>
      </c>
      <c r="WLU32" s="28">
        <f t="shared" ref="WLU32:WOF32" si="333">IFERROR(WLU31/WLU$4,0)</f>
        <v>0</v>
      </c>
      <c r="WLV32" s="28">
        <f t="shared" si="333"/>
        <v>0</v>
      </c>
      <c r="WLW32" s="28">
        <f t="shared" si="333"/>
        <v>0</v>
      </c>
      <c r="WLX32" s="28">
        <f t="shared" si="333"/>
        <v>0</v>
      </c>
      <c r="WLY32" s="28">
        <f t="shared" si="333"/>
        <v>0</v>
      </c>
      <c r="WLZ32" s="28">
        <f t="shared" si="333"/>
        <v>0</v>
      </c>
      <c r="WMA32" s="28">
        <f t="shared" si="333"/>
        <v>0</v>
      </c>
      <c r="WMB32" s="28">
        <f t="shared" si="333"/>
        <v>0</v>
      </c>
      <c r="WMC32" s="28">
        <f t="shared" si="333"/>
        <v>0</v>
      </c>
      <c r="WMD32" s="28">
        <f t="shared" si="333"/>
        <v>0</v>
      </c>
      <c r="WME32" s="28">
        <f t="shared" si="333"/>
        <v>0</v>
      </c>
      <c r="WMF32" s="28">
        <f t="shared" si="333"/>
        <v>0</v>
      </c>
      <c r="WMG32" s="28">
        <f t="shared" si="333"/>
        <v>0</v>
      </c>
      <c r="WMH32" s="28">
        <f t="shared" si="333"/>
        <v>0</v>
      </c>
      <c r="WMI32" s="28">
        <f t="shared" si="333"/>
        <v>0</v>
      </c>
      <c r="WMJ32" s="28">
        <f t="shared" si="333"/>
        <v>0</v>
      </c>
      <c r="WMK32" s="28">
        <f t="shared" si="333"/>
        <v>0</v>
      </c>
      <c r="WML32" s="28">
        <f t="shared" si="333"/>
        <v>0</v>
      </c>
      <c r="WMM32" s="28">
        <f t="shared" si="333"/>
        <v>0</v>
      </c>
      <c r="WMN32" s="28">
        <f t="shared" si="333"/>
        <v>0</v>
      </c>
      <c r="WMO32" s="28">
        <f t="shared" si="333"/>
        <v>0</v>
      </c>
      <c r="WMP32" s="28">
        <f t="shared" si="333"/>
        <v>0</v>
      </c>
      <c r="WMQ32" s="28">
        <f t="shared" si="333"/>
        <v>0</v>
      </c>
      <c r="WMR32" s="28">
        <f t="shared" si="333"/>
        <v>0</v>
      </c>
      <c r="WMS32" s="28">
        <f t="shared" si="333"/>
        <v>0</v>
      </c>
      <c r="WMT32" s="28">
        <f t="shared" si="333"/>
        <v>0</v>
      </c>
      <c r="WMU32" s="28">
        <f t="shared" si="333"/>
        <v>0</v>
      </c>
      <c r="WMV32" s="28">
        <f t="shared" si="333"/>
        <v>0</v>
      </c>
      <c r="WMW32" s="28">
        <f t="shared" si="333"/>
        <v>0</v>
      </c>
      <c r="WMX32" s="28">
        <f t="shared" si="333"/>
        <v>0</v>
      </c>
      <c r="WMY32" s="28">
        <f t="shared" si="333"/>
        <v>0</v>
      </c>
      <c r="WMZ32" s="28">
        <f t="shared" si="333"/>
        <v>0</v>
      </c>
      <c r="WNA32" s="28">
        <f t="shared" si="333"/>
        <v>0</v>
      </c>
      <c r="WNB32" s="28">
        <f t="shared" si="333"/>
        <v>0</v>
      </c>
      <c r="WNC32" s="28">
        <f t="shared" si="333"/>
        <v>0</v>
      </c>
      <c r="WND32" s="28">
        <f t="shared" si="333"/>
        <v>0</v>
      </c>
      <c r="WNE32" s="28">
        <f t="shared" si="333"/>
        <v>0</v>
      </c>
      <c r="WNF32" s="28">
        <f t="shared" si="333"/>
        <v>0</v>
      </c>
      <c r="WNG32" s="28">
        <f t="shared" si="333"/>
        <v>0</v>
      </c>
      <c r="WNH32" s="28">
        <f t="shared" si="333"/>
        <v>0</v>
      </c>
      <c r="WNI32" s="28">
        <f t="shared" si="333"/>
        <v>0</v>
      </c>
      <c r="WNJ32" s="28">
        <f t="shared" si="333"/>
        <v>0</v>
      </c>
      <c r="WNK32" s="28">
        <f t="shared" si="333"/>
        <v>0</v>
      </c>
      <c r="WNL32" s="28">
        <f t="shared" si="333"/>
        <v>0</v>
      </c>
      <c r="WNM32" s="28">
        <f t="shared" si="333"/>
        <v>0</v>
      </c>
      <c r="WNN32" s="28">
        <f t="shared" si="333"/>
        <v>0</v>
      </c>
      <c r="WNO32" s="28">
        <f t="shared" si="333"/>
        <v>0</v>
      </c>
      <c r="WNP32" s="28">
        <f t="shared" si="333"/>
        <v>0</v>
      </c>
      <c r="WNQ32" s="28">
        <f t="shared" si="333"/>
        <v>0</v>
      </c>
      <c r="WNR32" s="28">
        <f t="shared" si="333"/>
        <v>0</v>
      </c>
      <c r="WNS32" s="28">
        <f t="shared" si="333"/>
        <v>0</v>
      </c>
      <c r="WNT32" s="28">
        <f t="shared" si="333"/>
        <v>0</v>
      </c>
      <c r="WNU32" s="28">
        <f t="shared" si="333"/>
        <v>0</v>
      </c>
      <c r="WNV32" s="28">
        <f t="shared" si="333"/>
        <v>0</v>
      </c>
      <c r="WNW32" s="28">
        <f t="shared" si="333"/>
        <v>0</v>
      </c>
      <c r="WNX32" s="28">
        <f t="shared" si="333"/>
        <v>0</v>
      </c>
      <c r="WNY32" s="28">
        <f t="shared" si="333"/>
        <v>0</v>
      </c>
      <c r="WNZ32" s="28">
        <f t="shared" si="333"/>
        <v>0</v>
      </c>
      <c r="WOA32" s="28">
        <f t="shared" si="333"/>
        <v>0</v>
      </c>
      <c r="WOB32" s="28">
        <f t="shared" si="333"/>
        <v>0</v>
      </c>
      <c r="WOC32" s="28">
        <f t="shared" si="333"/>
        <v>0</v>
      </c>
      <c r="WOD32" s="28">
        <f t="shared" si="333"/>
        <v>0</v>
      </c>
      <c r="WOE32" s="28">
        <f t="shared" si="333"/>
        <v>0</v>
      </c>
      <c r="WOF32" s="28">
        <f t="shared" si="333"/>
        <v>0</v>
      </c>
      <c r="WOG32" s="28">
        <f t="shared" ref="WOG32:WQR32" si="334">IFERROR(WOG31/WOG$4,0)</f>
        <v>0</v>
      </c>
      <c r="WOH32" s="28">
        <f t="shared" si="334"/>
        <v>0</v>
      </c>
      <c r="WOI32" s="28">
        <f t="shared" si="334"/>
        <v>0</v>
      </c>
      <c r="WOJ32" s="28">
        <f t="shared" si="334"/>
        <v>0</v>
      </c>
      <c r="WOK32" s="28">
        <f t="shared" si="334"/>
        <v>0</v>
      </c>
      <c r="WOL32" s="28">
        <f t="shared" si="334"/>
        <v>0</v>
      </c>
      <c r="WOM32" s="28">
        <f t="shared" si="334"/>
        <v>0</v>
      </c>
      <c r="WON32" s="28">
        <f t="shared" si="334"/>
        <v>0</v>
      </c>
      <c r="WOO32" s="28">
        <f t="shared" si="334"/>
        <v>0</v>
      </c>
      <c r="WOP32" s="28">
        <f t="shared" si="334"/>
        <v>0</v>
      </c>
      <c r="WOQ32" s="28">
        <f t="shared" si="334"/>
        <v>0</v>
      </c>
      <c r="WOR32" s="28">
        <f t="shared" si="334"/>
        <v>0</v>
      </c>
      <c r="WOS32" s="28">
        <f t="shared" si="334"/>
        <v>0</v>
      </c>
      <c r="WOT32" s="28">
        <f t="shared" si="334"/>
        <v>0</v>
      </c>
      <c r="WOU32" s="28">
        <f t="shared" si="334"/>
        <v>0</v>
      </c>
      <c r="WOV32" s="28">
        <f t="shared" si="334"/>
        <v>0</v>
      </c>
      <c r="WOW32" s="28">
        <f t="shared" si="334"/>
        <v>0</v>
      </c>
      <c r="WOX32" s="28">
        <f t="shared" si="334"/>
        <v>0</v>
      </c>
      <c r="WOY32" s="28">
        <f t="shared" si="334"/>
        <v>0</v>
      </c>
      <c r="WOZ32" s="28">
        <f t="shared" si="334"/>
        <v>0</v>
      </c>
      <c r="WPA32" s="28">
        <f t="shared" si="334"/>
        <v>0</v>
      </c>
      <c r="WPB32" s="28">
        <f t="shared" si="334"/>
        <v>0</v>
      </c>
      <c r="WPC32" s="28">
        <f t="shared" si="334"/>
        <v>0</v>
      </c>
      <c r="WPD32" s="28">
        <f t="shared" si="334"/>
        <v>0</v>
      </c>
      <c r="WPE32" s="28">
        <f t="shared" si="334"/>
        <v>0</v>
      </c>
      <c r="WPF32" s="28">
        <f t="shared" si="334"/>
        <v>0</v>
      </c>
      <c r="WPG32" s="28">
        <f t="shared" si="334"/>
        <v>0</v>
      </c>
      <c r="WPH32" s="28">
        <f t="shared" si="334"/>
        <v>0</v>
      </c>
      <c r="WPI32" s="28">
        <f t="shared" si="334"/>
        <v>0</v>
      </c>
      <c r="WPJ32" s="28">
        <f t="shared" si="334"/>
        <v>0</v>
      </c>
      <c r="WPK32" s="28">
        <f t="shared" si="334"/>
        <v>0</v>
      </c>
      <c r="WPL32" s="28">
        <f t="shared" si="334"/>
        <v>0</v>
      </c>
      <c r="WPM32" s="28">
        <f t="shared" si="334"/>
        <v>0</v>
      </c>
      <c r="WPN32" s="28">
        <f t="shared" si="334"/>
        <v>0</v>
      </c>
      <c r="WPO32" s="28">
        <f t="shared" si="334"/>
        <v>0</v>
      </c>
      <c r="WPP32" s="28">
        <f t="shared" si="334"/>
        <v>0</v>
      </c>
      <c r="WPQ32" s="28">
        <f t="shared" si="334"/>
        <v>0</v>
      </c>
      <c r="WPR32" s="28">
        <f t="shared" si="334"/>
        <v>0</v>
      </c>
      <c r="WPS32" s="28">
        <f t="shared" si="334"/>
        <v>0</v>
      </c>
      <c r="WPT32" s="28">
        <f t="shared" si="334"/>
        <v>0</v>
      </c>
      <c r="WPU32" s="28">
        <f t="shared" si="334"/>
        <v>0</v>
      </c>
      <c r="WPV32" s="28">
        <f t="shared" si="334"/>
        <v>0</v>
      </c>
      <c r="WPW32" s="28">
        <f t="shared" si="334"/>
        <v>0</v>
      </c>
      <c r="WPX32" s="28">
        <f t="shared" si="334"/>
        <v>0</v>
      </c>
      <c r="WPY32" s="28">
        <f t="shared" si="334"/>
        <v>0</v>
      </c>
      <c r="WPZ32" s="28">
        <f t="shared" si="334"/>
        <v>0</v>
      </c>
      <c r="WQA32" s="28">
        <f t="shared" si="334"/>
        <v>0</v>
      </c>
      <c r="WQB32" s="28">
        <f t="shared" si="334"/>
        <v>0</v>
      </c>
      <c r="WQC32" s="28">
        <f t="shared" si="334"/>
        <v>0</v>
      </c>
      <c r="WQD32" s="28">
        <f t="shared" si="334"/>
        <v>0</v>
      </c>
      <c r="WQE32" s="28">
        <f t="shared" si="334"/>
        <v>0</v>
      </c>
      <c r="WQF32" s="28">
        <f t="shared" si="334"/>
        <v>0</v>
      </c>
      <c r="WQG32" s="28">
        <f t="shared" si="334"/>
        <v>0</v>
      </c>
      <c r="WQH32" s="28">
        <f t="shared" si="334"/>
        <v>0</v>
      </c>
      <c r="WQI32" s="28">
        <f t="shared" si="334"/>
        <v>0</v>
      </c>
      <c r="WQJ32" s="28">
        <f t="shared" si="334"/>
        <v>0</v>
      </c>
      <c r="WQK32" s="28">
        <f t="shared" si="334"/>
        <v>0</v>
      </c>
      <c r="WQL32" s="28">
        <f t="shared" si="334"/>
        <v>0</v>
      </c>
      <c r="WQM32" s="28">
        <f t="shared" si="334"/>
        <v>0</v>
      </c>
      <c r="WQN32" s="28">
        <f t="shared" si="334"/>
        <v>0</v>
      </c>
      <c r="WQO32" s="28">
        <f t="shared" si="334"/>
        <v>0</v>
      </c>
      <c r="WQP32" s="28">
        <f t="shared" si="334"/>
        <v>0</v>
      </c>
      <c r="WQQ32" s="28">
        <f t="shared" si="334"/>
        <v>0</v>
      </c>
      <c r="WQR32" s="28">
        <f t="shared" si="334"/>
        <v>0</v>
      </c>
      <c r="WQS32" s="28">
        <f t="shared" ref="WQS32:WTD32" si="335">IFERROR(WQS31/WQS$4,0)</f>
        <v>0</v>
      </c>
      <c r="WQT32" s="28">
        <f t="shared" si="335"/>
        <v>0</v>
      </c>
      <c r="WQU32" s="28">
        <f t="shared" si="335"/>
        <v>0</v>
      </c>
      <c r="WQV32" s="28">
        <f t="shared" si="335"/>
        <v>0</v>
      </c>
      <c r="WQW32" s="28">
        <f t="shared" si="335"/>
        <v>0</v>
      </c>
      <c r="WQX32" s="28">
        <f t="shared" si="335"/>
        <v>0</v>
      </c>
      <c r="WQY32" s="28">
        <f t="shared" si="335"/>
        <v>0</v>
      </c>
      <c r="WQZ32" s="28">
        <f t="shared" si="335"/>
        <v>0</v>
      </c>
      <c r="WRA32" s="28">
        <f t="shared" si="335"/>
        <v>0</v>
      </c>
      <c r="WRB32" s="28">
        <f t="shared" si="335"/>
        <v>0</v>
      </c>
      <c r="WRC32" s="28">
        <f t="shared" si="335"/>
        <v>0</v>
      </c>
      <c r="WRD32" s="28">
        <f t="shared" si="335"/>
        <v>0</v>
      </c>
      <c r="WRE32" s="28">
        <f t="shared" si="335"/>
        <v>0</v>
      </c>
      <c r="WRF32" s="28">
        <f t="shared" si="335"/>
        <v>0</v>
      </c>
      <c r="WRG32" s="28">
        <f t="shared" si="335"/>
        <v>0</v>
      </c>
      <c r="WRH32" s="28">
        <f t="shared" si="335"/>
        <v>0</v>
      </c>
      <c r="WRI32" s="28">
        <f t="shared" si="335"/>
        <v>0</v>
      </c>
      <c r="WRJ32" s="28">
        <f t="shared" si="335"/>
        <v>0</v>
      </c>
      <c r="WRK32" s="28">
        <f t="shared" si="335"/>
        <v>0</v>
      </c>
      <c r="WRL32" s="28">
        <f t="shared" si="335"/>
        <v>0</v>
      </c>
      <c r="WRM32" s="28">
        <f t="shared" si="335"/>
        <v>0</v>
      </c>
      <c r="WRN32" s="28">
        <f t="shared" si="335"/>
        <v>0</v>
      </c>
      <c r="WRO32" s="28">
        <f t="shared" si="335"/>
        <v>0</v>
      </c>
      <c r="WRP32" s="28">
        <f t="shared" si="335"/>
        <v>0</v>
      </c>
      <c r="WRQ32" s="28">
        <f t="shared" si="335"/>
        <v>0</v>
      </c>
      <c r="WRR32" s="28">
        <f t="shared" si="335"/>
        <v>0</v>
      </c>
      <c r="WRS32" s="28">
        <f t="shared" si="335"/>
        <v>0</v>
      </c>
      <c r="WRT32" s="28">
        <f t="shared" si="335"/>
        <v>0</v>
      </c>
      <c r="WRU32" s="28">
        <f t="shared" si="335"/>
        <v>0</v>
      </c>
      <c r="WRV32" s="28">
        <f t="shared" si="335"/>
        <v>0</v>
      </c>
      <c r="WRW32" s="28">
        <f t="shared" si="335"/>
        <v>0</v>
      </c>
      <c r="WRX32" s="28">
        <f t="shared" si="335"/>
        <v>0</v>
      </c>
      <c r="WRY32" s="28">
        <f t="shared" si="335"/>
        <v>0</v>
      </c>
      <c r="WRZ32" s="28">
        <f t="shared" si="335"/>
        <v>0</v>
      </c>
      <c r="WSA32" s="28">
        <f t="shared" si="335"/>
        <v>0</v>
      </c>
      <c r="WSB32" s="28">
        <f t="shared" si="335"/>
        <v>0</v>
      </c>
      <c r="WSC32" s="28">
        <f t="shared" si="335"/>
        <v>0</v>
      </c>
      <c r="WSD32" s="28">
        <f t="shared" si="335"/>
        <v>0</v>
      </c>
      <c r="WSE32" s="28">
        <f t="shared" si="335"/>
        <v>0</v>
      </c>
      <c r="WSF32" s="28">
        <f t="shared" si="335"/>
        <v>0</v>
      </c>
      <c r="WSG32" s="28">
        <f t="shared" si="335"/>
        <v>0</v>
      </c>
      <c r="WSH32" s="28">
        <f t="shared" si="335"/>
        <v>0</v>
      </c>
      <c r="WSI32" s="28">
        <f t="shared" si="335"/>
        <v>0</v>
      </c>
      <c r="WSJ32" s="28">
        <f t="shared" si="335"/>
        <v>0</v>
      </c>
      <c r="WSK32" s="28">
        <f t="shared" si="335"/>
        <v>0</v>
      </c>
      <c r="WSL32" s="28">
        <f t="shared" si="335"/>
        <v>0</v>
      </c>
      <c r="WSM32" s="28">
        <f t="shared" si="335"/>
        <v>0</v>
      </c>
      <c r="WSN32" s="28">
        <f t="shared" si="335"/>
        <v>0</v>
      </c>
      <c r="WSO32" s="28">
        <f t="shared" si="335"/>
        <v>0</v>
      </c>
      <c r="WSP32" s="28">
        <f t="shared" si="335"/>
        <v>0</v>
      </c>
      <c r="WSQ32" s="28">
        <f t="shared" si="335"/>
        <v>0</v>
      </c>
      <c r="WSR32" s="28">
        <f t="shared" si="335"/>
        <v>0</v>
      </c>
      <c r="WSS32" s="28">
        <f t="shared" si="335"/>
        <v>0</v>
      </c>
      <c r="WST32" s="28">
        <f t="shared" si="335"/>
        <v>0</v>
      </c>
      <c r="WSU32" s="28">
        <f t="shared" si="335"/>
        <v>0</v>
      </c>
      <c r="WSV32" s="28">
        <f t="shared" si="335"/>
        <v>0</v>
      </c>
      <c r="WSW32" s="28">
        <f t="shared" si="335"/>
        <v>0</v>
      </c>
      <c r="WSX32" s="28">
        <f t="shared" si="335"/>
        <v>0</v>
      </c>
      <c r="WSY32" s="28">
        <f t="shared" si="335"/>
        <v>0</v>
      </c>
      <c r="WSZ32" s="28">
        <f t="shared" si="335"/>
        <v>0</v>
      </c>
      <c r="WTA32" s="28">
        <f t="shared" si="335"/>
        <v>0</v>
      </c>
      <c r="WTB32" s="28">
        <f t="shared" si="335"/>
        <v>0</v>
      </c>
      <c r="WTC32" s="28">
        <f t="shared" si="335"/>
        <v>0</v>
      </c>
      <c r="WTD32" s="28">
        <f t="shared" si="335"/>
        <v>0</v>
      </c>
      <c r="WTE32" s="28">
        <f t="shared" ref="WTE32:WVP32" si="336">IFERROR(WTE31/WTE$4,0)</f>
        <v>0</v>
      </c>
      <c r="WTF32" s="28">
        <f t="shared" si="336"/>
        <v>0</v>
      </c>
      <c r="WTG32" s="28">
        <f t="shared" si="336"/>
        <v>0</v>
      </c>
      <c r="WTH32" s="28">
        <f t="shared" si="336"/>
        <v>0</v>
      </c>
      <c r="WTI32" s="28">
        <f t="shared" si="336"/>
        <v>0</v>
      </c>
      <c r="WTJ32" s="28">
        <f t="shared" si="336"/>
        <v>0</v>
      </c>
      <c r="WTK32" s="28">
        <f t="shared" si="336"/>
        <v>0</v>
      </c>
      <c r="WTL32" s="28">
        <f t="shared" si="336"/>
        <v>0</v>
      </c>
      <c r="WTM32" s="28">
        <f t="shared" si="336"/>
        <v>0</v>
      </c>
      <c r="WTN32" s="28">
        <f t="shared" si="336"/>
        <v>0</v>
      </c>
      <c r="WTO32" s="28">
        <f t="shared" si="336"/>
        <v>0</v>
      </c>
      <c r="WTP32" s="28">
        <f t="shared" si="336"/>
        <v>0</v>
      </c>
      <c r="WTQ32" s="28">
        <f t="shared" si="336"/>
        <v>0</v>
      </c>
      <c r="WTR32" s="28">
        <f t="shared" si="336"/>
        <v>0</v>
      </c>
      <c r="WTS32" s="28">
        <f t="shared" si="336"/>
        <v>0</v>
      </c>
      <c r="WTT32" s="28">
        <f t="shared" si="336"/>
        <v>0</v>
      </c>
      <c r="WTU32" s="28">
        <f t="shared" si="336"/>
        <v>0</v>
      </c>
      <c r="WTV32" s="28">
        <f t="shared" si="336"/>
        <v>0</v>
      </c>
      <c r="WTW32" s="28">
        <f t="shared" si="336"/>
        <v>0</v>
      </c>
      <c r="WTX32" s="28">
        <f t="shared" si="336"/>
        <v>0</v>
      </c>
      <c r="WTY32" s="28">
        <f t="shared" si="336"/>
        <v>0</v>
      </c>
      <c r="WTZ32" s="28">
        <f t="shared" si="336"/>
        <v>0</v>
      </c>
      <c r="WUA32" s="28">
        <f t="shared" si="336"/>
        <v>0</v>
      </c>
      <c r="WUB32" s="28">
        <f t="shared" si="336"/>
        <v>0</v>
      </c>
      <c r="WUC32" s="28">
        <f t="shared" si="336"/>
        <v>0</v>
      </c>
      <c r="WUD32" s="28">
        <f t="shared" si="336"/>
        <v>0</v>
      </c>
      <c r="WUE32" s="28">
        <f t="shared" si="336"/>
        <v>0</v>
      </c>
      <c r="WUF32" s="28">
        <f t="shared" si="336"/>
        <v>0</v>
      </c>
      <c r="WUG32" s="28">
        <f t="shared" si="336"/>
        <v>0</v>
      </c>
      <c r="WUH32" s="28">
        <f t="shared" si="336"/>
        <v>0</v>
      </c>
      <c r="WUI32" s="28">
        <f t="shared" si="336"/>
        <v>0</v>
      </c>
      <c r="WUJ32" s="28">
        <f t="shared" si="336"/>
        <v>0</v>
      </c>
      <c r="WUK32" s="28">
        <f t="shared" si="336"/>
        <v>0</v>
      </c>
      <c r="WUL32" s="28">
        <f t="shared" si="336"/>
        <v>0</v>
      </c>
      <c r="WUM32" s="28">
        <f t="shared" si="336"/>
        <v>0</v>
      </c>
      <c r="WUN32" s="28">
        <f t="shared" si="336"/>
        <v>0</v>
      </c>
      <c r="WUO32" s="28">
        <f t="shared" si="336"/>
        <v>0</v>
      </c>
      <c r="WUP32" s="28">
        <f t="shared" si="336"/>
        <v>0</v>
      </c>
      <c r="WUQ32" s="28">
        <f t="shared" si="336"/>
        <v>0</v>
      </c>
      <c r="WUR32" s="28">
        <f t="shared" si="336"/>
        <v>0</v>
      </c>
      <c r="WUS32" s="28">
        <f t="shared" si="336"/>
        <v>0</v>
      </c>
      <c r="WUT32" s="28">
        <f t="shared" si="336"/>
        <v>0</v>
      </c>
      <c r="WUU32" s="28">
        <f t="shared" si="336"/>
        <v>0</v>
      </c>
      <c r="WUV32" s="28">
        <f t="shared" si="336"/>
        <v>0</v>
      </c>
      <c r="WUW32" s="28">
        <f t="shared" si="336"/>
        <v>0</v>
      </c>
      <c r="WUX32" s="28">
        <f t="shared" si="336"/>
        <v>0</v>
      </c>
      <c r="WUY32" s="28">
        <f t="shared" si="336"/>
        <v>0</v>
      </c>
      <c r="WUZ32" s="28">
        <f t="shared" si="336"/>
        <v>0</v>
      </c>
      <c r="WVA32" s="28">
        <f t="shared" si="336"/>
        <v>0</v>
      </c>
      <c r="WVB32" s="28">
        <f t="shared" si="336"/>
        <v>0</v>
      </c>
      <c r="WVC32" s="28">
        <f t="shared" si="336"/>
        <v>0</v>
      </c>
      <c r="WVD32" s="28">
        <f t="shared" si="336"/>
        <v>0</v>
      </c>
      <c r="WVE32" s="28">
        <f t="shared" si="336"/>
        <v>0</v>
      </c>
      <c r="WVF32" s="28">
        <f t="shared" si="336"/>
        <v>0</v>
      </c>
      <c r="WVG32" s="28">
        <f t="shared" si="336"/>
        <v>0</v>
      </c>
      <c r="WVH32" s="28">
        <f t="shared" si="336"/>
        <v>0</v>
      </c>
      <c r="WVI32" s="28">
        <f t="shared" si="336"/>
        <v>0</v>
      </c>
      <c r="WVJ32" s="28">
        <f t="shared" si="336"/>
        <v>0</v>
      </c>
      <c r="WVK32" s="28">
        <f t="shared" si="336"/>
        <v>0</v>
      </c>
      <c r="WVL32" s="28">
        <f t="shared" si="336"/>
        <v>0</v>
      </c>
      <c r="WVM32" s="28">
        <f t="shared" si="336"/>
        <v>0</v>
      </c>
      <c r="WVN32" s="28">
        <f t="shared" si="336"/>
        <v>0</v>
      </c>
      <c r="WVO32" s="28">
        <f t="shared" si="336"/>
        <v>0</v>
      </c>
      <c r="WVP32" s="28">
        <f t="shared" si="336"/>
        <v>0</v>
      </c>
      <c r="WVQ32" s="28">
        <f t="shared" ref="WVQ32:WYB32" si="337">IFERROR(WVQ31/WVQ$4,0)</f>
        <v>0</v>
      </c>
      <c r="WVR32" s="28">
        <f t="shared" si="337"/>
        <v>0</v>
      </c>
      <c r="WVS32" s="28">
        <f t="shared" si="337"/>
        <v>0</v>
      </c>
      <c r="WVT32" s="28">
        <f t="shared" si="337"/>
        <v>0</v>
      </c>
      <c r="WVU32" s="28">
        <f t="shared" si="337"/>
        <v>0</v>
      </c>
      <c r="WVV32" s="28">
        <f t="shared" si="337"/>
        <v>0</v>
      </c>
      <c r="WVW32" s="28">
        <f t="shared" si="337"/>
        <v>0</v>
      </c>
      <c r="WVX32" s="28">
        <f t="shared" si="337"/>
        <v>0</v>
      </c>
      <c r="WVY32" s="28">
        <f t="shared" si="337"/>
        <v>0</v>
      </c>
      <c r="WVZ32" s="28">
        <f t="shared" si="337"/>
        <v>0</v>
      </c>
      <c r="WWA32" s="28">
        <f t="shared" si="337"/>
        <v>0</v>
      </c>
      <c r="WWB32" s="28">
        <f t="shared" si="337"/>
        <v>0</v>
      </c>
      <c r="WWC32" s="28">
        <f t="shared" si="337"/>
        <v>0</v>
      </c>
      <c r="WWD32" s="28">
        <f t="shared" si="337"/>
        <v>0</v>
      </c>
      <c r="WWE32" s="28">
        <f t="shared" si="337"/>
        <v>0</v>
      </c>
      <c r="WWF32" s="28">
        <f t="shared" si="337"/>
        <v>0</v>
      </c>
      <c r="WWG32" s="28">
        <f t="shared" si="337"/>
        <v>0</v>
      </c>
      <c r="WWH32" s="28">
        <f t="shared" si="337"/>
        <v>0</v>
      </c>
      <c r="WWI32" s="28">
        <f t="shared" si="337"/>
        <v>0</v>
      </c>
      <c r="WWJ32" s="28">
        <f t="shared" si="337"/>
        <v>0</v>
      </c>
      <c r="WWK32" s="28">
        <f t="shared" si="337"/>
        <v>0</v>
      </c>
      <c r="WWL32" s="28">
        <f t="shared" si="337"/>
        <v>0</v>
      </c>
      <c r="WWM32" s="28">
        <f t="shared" si="337"/>
        <v>0</v>
      </c>
      <c r="WWN32" s="28">
        <f t="shared" si="337"/>
        <v>0</v>
      </c>
      <c r="WWO32" s="28">
        <f t="shared" si="337"/>
        <v>0</v>
      </c>
      <c r="WWP32" s="28">
        <f t="shared" si="337"/>
        <v>0</v>
      </c>
      <c r="WWQ32" s="28">
        <f t="shared" si="337"/>
        <v>0</v>
      </c>
      <c r="WWR32" s="28">
        <f t="shared" si="337"/>
        <v>0</v>
      </c>
      <c r="WWS32" s="28">
        <f t="shared" si="337"/>
        <v>0</v>
      </c>
      <c r="WWT32" s="28">
        <f t="shared" si="337"/>
        <v>0</v>
      </c>
      <c r="WWU32" s="28">
        <f t="shared" si="337"/>
        <v>0</v>
      </c>
      <c r="WWV32" s="28">
        <f t="shared" si="337"/>
        <v>0</v>
      </c>
      <c r="WWW32" s="28">
        <f t="shared" si="337"/>
        <v>0</v>
      </c>
      <c r="WWX32" s="28">
        <f t="shared" si="337"/>
        <v>0</v>
      </c>
      <c r="WWY32" s="28">
        <f t="shared" si="337"/>
        <v>0</v>
      </c>
      <c r="WWZ32" s="28">
        <f t="shared" si="337"/>
        <v>0</v>
      </c>
      <c r="WXA32" s="28">
        <f t="shared" si="337"/>
        <v>0</v>
      </c>
      <c r="WXB32" s="28">
        <f t="shared" si="337"/>
        <v>0</v>
      </c>
      <c r="WXC32" s="28">
        <f t="shared" si="337"/>
        <v>0</v>
      </c>
      <c r="WXD32" s="28">
        <f t="shared" si="337"/>
        <v>0</v>
      </c>
      <c r="WXE32" s="28">
        <f t="shared" si="337"/>
        <v>0</v>
      </c>
      <c r="WXF32" s="28">
        <f t="shared" si="337"/>
        <v>0</v>
      </c>
      <c r="WXG32" s="28">
        <f t="shared" si="337"/>
        <v>0</v>
      </c>
      <c r="WXH32" s="28">
        <f t="shared" si="337"/>
        <v>0</v>
      </c>
      <c r="WXI32" s="28">
        <f t="shared" si="337"/>
        <v>0</v>
      </c>
      <c r="WXJ32" s="28">
        <f t="shared" si="337"/>
        <v>0</v>
      </c>
      <c r="WXK32" s="28">
        <f t="shared" si="337"/>
        <v>0</v>
      </c>
      <c r="WXL32" s="28">
        <f t="shared" si="337"/>
        <v>0</v>
      </c>
      <c r="WXM32" s="28">
        <f t="shared" si="337"/>
        <v>0</v>
      </c>
      <c r="WXN32" s="28">
        <f t="shared" si="337"/>
        <v>0</v>
      </c>
      <c r="WXO32" s="28">
        <f t="shared" si="337"/>
        <v>0</v>
      </c>
      <c r="WXP32" s="28">
        <f t="shared" si="337"/>
        <v>0</v>
      </c>
      <c r="WXQ32" s="28">
        <f t="shared" si="337"/>
        <v>0</v>
      </c>
      <c r="WXR32" s="28">
        <f t="shared" si="337"/>
        <v>0</v>
      </c>
      <c r="WXS32" s="28">
        <f t="shared" si="337"/>
        <v>0</v>
      </c>
      <c r="WXT32" s="28">
        <f t="shared" si="337"/>
        <v>0</v>
      </c>
      <c r="WXU32" s="28">
        <f t="shared" si="337"/>
        <v>0</v>
      </c>
      <c r="WXV32" s="28">
        <f t="shared" si="337"/>
        <v>0</v>
      </c>
      <c r="WXW32" s="28">
        <f t="shared" si="337"/>
        <v>0</v>
      </c>
      <c r="WXX32" s="28">
        <f t="shared" si="337"/>
        <v>0</v>
      </c>
      <c r="WXY32" s="28">
        <f t="shared" si="337"/>
        <v>0</v>
      </c>
      <c r="WXZ32" s="28">
        <f t="shared" si="337"/>
        <v>0</v>
      </c>
      <c r="WYA32" s="28">
        <f t="shared" si="337"/>
        <v>0</v>
      </c>
      <c r="WYB32" s="28">
        <f t="shared" si="337"/>
        <v>0</v>
      </c>
      <c r="WYC32" s="28">
        <f t="shared" ref="WYC32:XAN32" si="338">IFERROR(WYC31/WYC$4,0)</f>
        <v>0</v>
      </c>
      <c r="WYD32" s="28">
        <f t="shared" si="338"/>
        <v>0</v>
      </c>
      <c r="WYE32" s="28">
        <f t="shared" si="338"/>
        <v>0</v>
      </c>
      <c r="WYF32" s="28">
        <f t="shared" si="338"/>
        <v>0</v>
      </c>
      <c r="WYG32" s="28">
        <f t="shared" si="338"/>
        <v>0</v>
      </c>
      <c r="WYH32" s="28">
        <f t="shared" si="338"/>
        <v>0</v>
      </c>
      <c r="WYI32" s="28">
        <f t="shared" si="338"/>
        <v>0</v>
      </c>
      <c r="WYJ32" s="28">
        <f t="shared" si="338"/>
        <v>0</v>
      </c>
      <c r="WYK32" s="28">
        <f t="shared" si="338"/>
        <v>0</v>
      </c>
      <c r="WYL32" s="28">
        <f t="shared" si="338"/>
        <v>0</v>
      </c>
      <c r="WYM32" s="28">
        <f t="shared" si="338"/>
        <v>0</v>
      </c>
      <c r="WYN32" s="28">
        <f t="shared" si="338"/>
        <v>0</v>
      </c>
      <c r="WYO32" s="28">
        <f t="shared" si="338"/>
        <v>0</v>
      </c>
      <c r="WYP32" s="28">
        <f t="shared" si="338"/>
        <v>0</v>
      </c>
      <c r="WYQ32" s="28">
        <f t="shared" si="338"/>
        <v>0</v>
      </c>
      <c r="WYR32" s="28">
        <f t="shared" si="338"/>
        <v>0</v>
      </c>
      <c r="WYS32" s="28">
        <f t="shared" si="338"/>
        <v>0</v>
      </c>
      <c r="WYT32" s="28">
        <f t="shared" si="338"/>
        <v>0</v>
      </c>
      <c r="WYU32" s="28">
        <f t="shared" si="338"/>
        <v>0</v>
      </c>
      <c r="WYV32" s="28">
        <f t="shared" si="338"/>
        <v>0</v>
      </c>
      <c r="WYW32" s="28">
        <f t="shared" si="338"/>
        <v>0</v>
      </c>
      <c r="WYX32" s="28">
        <f t="shared" si="338"/>
        <v>0</v>
      </c>
      <c r="WYY32" s="28">
        <f t="shared" si="338"/>
        <v>0</v>
      </c>
      <c r="WYZ32" s="28">
        <f t="shared" si="338"/>
        <v>0</v>
      </c>
      <c r="WZA32" s="28">
        <f t="shared" si="338"/>
        <v>0</v>
      </c>
      <c r="WZB32" s="28">
        <f t="shared" si="338"/>
        <v>0</v>
      </c>
      <c r="WZC32" s="28">
        <f t="shared" si="338"/>
        <v>0</v>
      </c>
      <c r="WZD32" s="28">
        <f t="shared" si="338"/>
        <v>0</v>
      </c>
      <c r="WZE32" s="28">
        <f t="shared" si="338"/>
        <v>0</v>
      </c>
      <c r="WZF32" s="28">
        <f t="shared" si="338"/>
        <v>0</v>
      </c>
      <c r="WZG32" s="28">
        <f t="shared" si="338"/>
        <v>0</v>
      </c>
      <c r="WZH32" s="28">
        <f t="shared" si="338"/>
        <v>0</v>
      </c>
      <c r="WZI32" s="28">
        <f t="shared" si="338"/>
        <v>0</v>
      </c>
      <c r="WZJ32" s="28">
        <f t="shared" si="338"/>
        <v>0</v>
      </c>
      <c r="WZK32" s="28">
        <f t="shared" si="338"/>
        <v>0</v>
      </c>
      <c r="WZL32" s="28">
        <f t="shared" si="338"/>
        <v>0</v>
      </c>
      <c r="WZM32" s="28">
        <f t="shared" si="338"/>
        <v>0</v>
      </c>
      <c r="WZN32" s="28">
        <f t="shared" si="338"/>
        <v>0</v>
      </c>
      <c r="WZO32" s="28">
        <f t="shared" si="338"/>
        <v>0</v>
      </c>
      <c r="WZP32" s="28">
        <f t="shared" si="338"/>
        <v>0</v>
      </c>
      <c r="WZQ32" s="28">
        <f t="shared" si="338"/>
        <v>0</v>
      </c>
      <c r="WZR32" s="28">
        <f t="shared" si="338"/>
        <v>0</v>
      </c>
      <c r="WZS32" s="28">
        <f t="shared" si="338"/>
        <v>0</v>
      </c>
      <c r="WZT32" s="28">
        <f t="shared" si="338"/>
        <v>0</v>
      </c>
      <c r="WZU32" s="28">
        <f t="shared" si="338"/>
        <v>0</v>
      </c>
      <c r="WZV32" s="28">
        <f t="shared" si="338"/>
        <v>0</v>
      </c>
      <c r="WZW32" s="28">
        <f t="shared" si="338"/>
        <v>0</v>
      </c>
      <c r="WZX32" s="28">
        <f t="shared" si="338"/>
        <v>0</v>
      </c>
      <c r="WZY32" s="28">
        <f t="shared" si="338"/>
        <v>0</v>
      </c>
      <c r="WZZ32" s="28">
        <f t="shared" si="338"/>
        <v>0</v>
      </c>
      <c r="XAA32" s="28">
        <f t="shared" si="338"/>
        <v>0</v>
      </c>
      <c r="XAB32" s="28">
        <f t="shared" si="338"/>
        <v>0</v>
      </c>
      <c r="XAC32" s="28">
        <f t="shared" si="338"/>
        <v>0</v>
      </c>
      <c r="XAD32" s="28">
        <f t="shared" si="338"/>
        <v>0</v>
      </c>
      <c r="XAE32" s="28">
        <f t="shared" si="338"/>
        <v>0</v>
      </c>
      <c r="XAF32" s="28">
        <f t="shared" si="338"/>
        <v>0</v>
      </c>
      <c r="XAG32" s="28">
        <f t="shared" si="338"/>
        <v>0</v>
      </c>
      <c r="XAH32" s="28">
        <f t="shared" si="338"/>
        <v>0</v>
      </c>
      <c r="XAI32" s="28">
        <f t="shared" si="338"/>
        <v>0</v>
      </c>
      <c r="XAJ32" s="28">
        <f t="shared" si="338"/>
        <v>0</v>
      </c>
      <c r="XAK32" s="28">
        <f t="shared" si="338"/>
        <v>0</v>
      </c>
      <c r="XAL32" s="28">
        <f t="shared" si="338"/>
        <v>0</v>
      </c>
      <c r="XAM32" s="28">
        <f t="shared" si="338"/>
        <v>0</v>
      </c>
      <c r="XAN32" s="28">
        <f t="shared" si="338"/>
        <v>0</v>
      </c>
      <c r="XAO32" s="28">
        <f t="shared" ref="XAO32:XCZ32" si="339">IFERROR(XAO31/XAO$4,0)</f>
        <v>0</v>
      </c>
      <c r="XAP32" s="28">
        <f t="shared" si="339"/>
        <v>0</v>
      </c>
      <c r="XAQ32" s="28">
        <f t="shared" si="339"/>
        <v>0</v>
      </c>
      <c r="XAR32" s="28">
        <f t="shared" si="339"/>
        <v>0</v>
      </c>
      <c r="XAS32" s="28">
        <f t="shared" si="339"/>
        <v>0</v>
      </c>
      <c r="XAT32" s="28">
        <f t="shared" si="339"/>
        <v>0</v>
      </c>
      <c r="XAU32" s="28">
        <f t="shared" si="339"/>
        <v>0</v>
      </c>
      <c r="XAV32" s="28">
        <f t="shared" si="339"/>
        <v>0</v>
      </c>
      <c r="XAW32" s="28">
        <f t="shared" si="339"/>
        <v>0</v>
      </c>
      <c r="XAX32" s="28">
        <f t="shared" si="339"/>
        <v>0</v>
      </c>
      <c r="XAY32" s="28">
        <f t="shared" si="339"/>
        <v>0</v>
      </c>
      <c r="XAZ32" s="28">
        <f t="shared" si="339"/>
        <v>0</v>
      </c>
      <c r="XBA32" s="28">
        <f t="shared" si="339"/>
        <v>0</v>
      </c>
      <c r="XBB32" s="28">
        <f t="shared" si="339"/>
        <v>0</v>
      </c>
      <c r="XBC32" s="28">
        <f t="shared" si="339"/>
        <v>0</v>
      </c>
      <c r="XBD32" s="28">
        <f t="shared" si="339"/>
        <v>0</v>
      </c>
      <c r="XBE32" s="28">
        <f t="shared" si="339"/>
        <v>0</v>
      </c>
      <c r="XBF32" s="28">
        <f t="shared" si="339"/>
        <v>0</v>
      </c>
      <c r="XBG32" s="28">
        <f t="shared" si="339"/>
        <v>0</v>
      </c>
      <c r="XBH32" s="28">
        <f t="shared" si="339"/>
        <v>0</v>
      </c>
      <c r="XBI32" s="28">
        <f t="shared" si="339"/>
        <v>0</v>
      </c>
      <c r="XBJ32" s="28">
        <f t="shared" si="339"/>
        <v>0</v>
      </c>
      <c r="XBK32" s="28">
        <f t="shared" si="339"/>
        <v>0</v>
      </c>
      <c r="XBL32" s="28">
        <f t="shared" si="339"/>
        <v>0</v>
      </c>
      <c r="XBM32" s="28">
        <f t="shared" si="339"/>
        <v>0</v>
      </c>
      <c r="XBN32" s="28">
        <f t="shared" si="339"/>
        <v>0</v>
      </c>
      <c r="XBO32" s="28">
        <f t="shared" si="339"/>
        <v>0</v>
      </c>
      <c r="XBP32" s="28">
        <f t="shared" si="339"/>
        <v>0</v>
      </c>
      <c r="XBQ32" s="28">
        <f t="shared" si="339"/>
        <v>0</v>
      </c>
      <c r="XBR32" s="28">
        <f t="shared" si="339"/>
        <v>0</v>
      </c>
      <c r="XBS32" s="28">
        <f t="shared" si="339"/>
        <v>0</v>
      </c>
      <c r="XBT32" s="28">
        <f t="shared" si="339"/>
        <v>0</v>
      </c>
      <c r="XBU32" s="28">
        <f t="shared" si="339"/>
        <v>0</v>
      </c>
      <c r="XBV32" s="28">
        <f t="shared" si="339"/>
        <v>0</v>
      </c>
      <c r="XBW32" s="28">
        <f t="shared" si="339"/>
        <v>0</v>
      </c>
      <c r="XBX32" s="28">
        <f t="shared" si="339"/>
        <v>0</v>
      </c>
      <c r="XBY32" s="28">
        <f t="shared" si="339"/>
        <v>0</v>
      </c>
      <c r="XBZ32" s="28">
        <f t="shared" si="339"/>
        <v>0</v>
      </c>
      <c r="XCA32" s="28">
        <f t="shared" si="339"/>
        <v>0</v>
      </c>
      <c r="XCB32" s="28">
        <f t="shared" si="339"/>
        <v>0</v>
      </c>
      <c r="XCC32" s="28">
        <f t="shared" si="339"/>
        <v>0</v>
      </c>
      <c r="XCD32" s="28">
        <f t="shared" si="339"/>
        <v>0</v>
      </c>
      <c r="XCE32" s="28">
        <f t="shared" si="339"/>
        <v>0</v>
      </c>
      <c r="XCF32" s="28">
        <f t="shared" si="339"/>
        <v>0</v>
      </c>
      <c r="XCG32" s="28">
        <f t="shared" si="339"/>
        <v>0</v>
      </c>
      <c r="XCH32" s="28">
        <f t="shared" si="339"/>
        <v>0</v>
      </c>
      <c r="XCI32" s="28">
        <f t="shared" si="339"/>
        <v>0</v>
      </c>
      <c r="XCJ32" s="28">
        <f t="shared" si="339"/>
        <v>0</v>
      </c>
      <c r="XCK32" s="28">
        <f t="shared" si="339"/>
        <v>0</v>
      </c>
      <c r="XCL32" s="28">
        <f t="shared" si="339"/>
        <v>0</v>
      </c>
      <c r="XCM32" s="28">
        <f t="shared" si="339"/>
        <v>0</v>
      </c>
      <c r="XCN32" s="28">
        <f t="shared" si="339"/>
        <v>0</v>
      </c>
      <c r="XCO32" s="28">
        <f t="shared" si="339"/>
        <v>0</v>
      </c>
      <c r="XCP32" s="28">
        <f t="shared" si="339"/>
        <v>0</v>
      </c>
      <c r="XCQ32" s="28">
        <f t="shared" si="339"/>
        <v>0</v>
      </c>
      <c r="XCR32" s="28">
        <f t="shared" si="339"/>
        <v>0</v>
      </c>
      <c r="XCS32" s="28">
        <f t="shared" si="339"/>
        <v>0</v>
      </c>
      <c r="XCT32" s="28">
        <f t="shared" si="339"/>
        <v>0</v>
      </c>
      <c r="XCU32" s="28">
        <f t="shared" si="339"/>
        <v>0</v>
      </c>
      <c r="XCV32" s="28">
        <f t="shared" si="339"/>
        <v>0</v>
      </c>
      <c r="XCW32" s="28">
        <f t="shared" si="339"/>
        <v>0</v>
      </c>
      <c r="XCX32" s="28">
        <f t="shared" si="339"/>
        <v>0</v>
      </c>
      <c r="XCY32" s="28">
        <f t="shared" si="339"/>
        <v>0</v>
      </c>
      <c r="XCZ32" s="28">
        <f t="shared" si="339"/>
        <v>0</v>
      </c>
      <c r="XDA32" s="28">
        <f t="shared" ref="XDA32:XFD32" si="340">IFERROR(XDA31/XDA$4,0)</f>
        <v>0</v>
      </c>
      <c r="XDB32" s="28">
        <f t="shared" si="340"/>
        <v>0</v>
      </c>
      <c r="XDC32" s="28">
        <f t="shared" si="340"/>
        <v>0</v>
      </c>
      <c r="XDD32" s="28">
        <f t="shared" si="340"/>
        <v>0</v>
      </c>
      <c r="XDE32" s="28">
        <f t="shared" si="340"/>
        <v>0</v>
      </c>
      <c r="XDF32" s="28">
        <f t="shared" si="340"/>
        <v>0</v>
      </c>
      <c r="XDG32" s="28">
        <f t="shared" si="340"/>
        <v>0</v>
      </c>
      <c r="XDH32" s="28">
        <f t="shared" si="340"/>
        <v>0</v>
      </c>
      <c r="XDI32" s="28">
        <f t="shared" si="340"/>
        <v>0</v>
      </c>
      <c r="XDJ32" s="28">
        <f t="shared" si="340"/>
        <v>0</v>
      </c>
      <c r="XDK32" s="28">
        <f t="shared" si="340"/>
        <v>0</v>
      </c>
      <c r="XDL32" s="28">
        <f t="shared" si="340"/>
        <v>0</v>
      </c>
      <c r="XDM32" s="28">
        <f t="shared" si="340"/>
        <v>0</v>
      </c>
      <c r="XDN32" s="28">
        <f t="shared" si="340"/>
        <v>0</v>
      </c>
      <c r="XDO32" s="28">
        <f t="shared" si="340"/>
        <v>0</v>
      </c>
      <c r="XDP32" s="28">
        <f t="shared" si="340"/>
        <v>0</v>
      </c>
      <c r="XDQ32" s="28">
        <f t="shared" si="340"/>
        <v>0</v>
      </c>
      <c r="XDR32" s="28">
        <f t="shared" si="340"/>
        <v>0</v>
      </c>
      <c r="XDS32" s="28">
        <f t="shared" si="340"/>
        <v>0</v>
      </c>
      <c r="XDT32" s="28">
        <f t="shared" si="340"/>
        <v>0</v>
      </c>
      <c r="XDU32" s="28">
        <f t="shared" si="340"/>
        <v>0</v>
      </c>
      <c r="XDV32" s="28">
        <f t="shared" si="340"/>
        <v>0</v>
      </c>
      <c r="XDW32" s="28">
        <f t="shared" si="340"/>
        <v>0</v>
      </c>
      <c r="XDX32" s="28">
        <f t="shared" si="340"/>
        <v>0</v>
      </c>
      <c r="XDY32" s="28">
        <f t="shared" si="340"/>
        <v>0</v>
      </c>
      <c r="XDZ32" s="28">
        <f t="shared" si="340"/>
        <v>0</v>
      </c>
      <c r="XEA32" s="28">
        <f t="shared" si="340"/>
        <v>0</v>
      </c>
      <c r="XEB32" s="28">
        <f t="shared" si="340"/>
        <v>0</v>
      </c>
      <c r="XEC32" s="28">
        <f t="shared" si="340"/>
        <v>0</v>
      </c>
      <c r="XED32" s="28">
        <f t="shared" si="340"/>
        <v>0</v>
      </c>
      <c r="XEE32" s="28">
        <f t="shared" si="340"/>
        <v>0</v>
      </c>
      <c r="XEF32" s="28">
        <f t="shared" si="340"/>
        <v>0</v>
      </c>
      <c r="XEG32" s="28">
        <f t="shared" si="340"/>
        <v>0</v>
      </c>
      <c r="XEH32" s="28">
        <f t="shared" si="340"/>
        <v>0</v>
      </c>
      <c r="XEI32" s="28">
        <f t="shared" si="340"/>
        <v>0</v>
      </c>
      <c r="XEJ32" s="28">
        <f t="shared" si="340"/>
        <v>0</v>
      </c>
      <c r="XEK32" s="28">
        <f t="shared" si="340"/>
        <v>0</v>
      </c>
      <c r="XEL32" s="28">
        <f t="shared" si="340"/>
        <v>0</v>
      </c>
      <c r="XEM32" s="28">
        <f t="shared" si="340"/>
        <v>0</v>
      </c>
      <c r="XEN32" s="28">
        <f t="shared" si="340"/>
        <v>0</v>
      </c>
      <c r="XEO32" s="28">
        <f t="shared" si="340"/>
        <v>0</v>
      </c>
      <c r="XEP32" s="28">
        <f t="shared" si="340"/>
        <v>0</v>
      </c>
      <c r="XEQ32" s="28">
        <f t="shared" si="340"/>
        <v>0</v>
      </c>
      <c r="XER32" s="28">
        <f t="shared" si="340"/>
        <v>0</v>
      </c>
      <c r="XES32" s="28">
        <f t="shared" si="340"/>
        <v>0</v>
      </c>
      <c r="XET32" s="28">
        <f t="shared" si="340"/>
        <v>0</v>
      </c>
      <c r="XEU32" s="28">
        <f t="shared" si="340"/>
        <v>0</v>
      </c>
      <c r="XEV32" s="28">
        <f t="shared" si="340"/>
        <v>0</v>
      </c>
      <c r="XEW32" s="28">
        <f t="shared" si="340"/>
        <v>0</v>
      </c>
      <c r="XEX32" s="28">
        <f t="shared" si="340"/>
        <v>0</v>
      </c>
      <c r="XEY32" s="28">
        <f t="shared" si="340"/>
        <v>0</v>
      </c>
      <c r="XEZ32" s="28">
        <f t="shared" si="340"/>
        <v>0</v>
      </c>
      <c r="XFA32" s="28">
        <f t="shared" si="340"/>
        <v>0</v>
      </c>
      <c r="XFB32" s="28">
        <f t="shared" si="340"/>
        <v>0</v>
      </c>
      <c r="XFC32" s="28">
        <f t="shared" si="340"/>
        <v>0</v>
      </c>
      <c r="XFD32" s="28">
        <f t="shared" si="340"/>
        <v>0</v>
      </c>
    </row>
    <row r="33" spans="2:17">
      <c r="B33" s="40"/>
      <c r="C33" s="212"/>
      <c r="D33" s="212"/>
      <c r="E33" s="212"/>
      <c r="F33" s="212"/>
      <c r="G33" s="212"/>
      <c r="H33" s="28"/>
      <c r="I33" s="28"/>
      <c r="J33" s="28"/>
      <c r="K33" s="28"/>
      <c r="L33" s="28"/>
      <c r="M33" s="28"/>
      <c r="N33" s="28"/>
      <c r="O33" s="28"/>
      <c r="P33" s="28"/>
      <c r="Q33" s="28"/>
    </row>
    <row r="34" spans="2:17">
      <c r="B34" s="39" t="str">
        <f>Assumptions!B177</f>
        <v>Miscellaneous After Tax Expenditures</v>
      </c>
      <c r="C34" s="201">
        <f>Assumptions!D177</f>
        <v>13</v>
      </c>
      <c r="D34" s="201">
        <f>Assumptions!E177</f>
        <v>10</v>
      </c>
      <c r="E34" s="201">
        <f>Assumptions!F177</f>
        <v>13</v>
      </c>
      <c r="F34" s="201">
        <f>Assumptions!G177</f>
        <v>11</v>
      </c>
      <c r="G34" s="201">
        <f>Assumptions!H177</f>
        <v>-1</v>
      </c>
      <c r="H34" s="18">
        <f>H$4*H35</f>
        <v>10.703064312850453</v>
      </c>
      <c r="I34" s="18">
        <f t="shared" ref="I34" si="341">I$4*I35</f>
        <v>10.810094955978958</v>
      </c>
      <c r="J34" s="18">
        <f t="shared" ref="J34" si="342">J$4*J35</f>
        <v>10.918195905538747</v>
      </c>
      <c r="K34" s="18">
        <f t="shared" ref="K34" si="343">K$4*K35</f>
        <v>11.027377864594136</v>
      </c>
      <c r="L34" s="18">
        <f t="shared" ref="L34" si="344">L$4*L35</f>
        <v>11.137651643240078</v>
      </c>
      <c r="M34" s="18">
        <f t="shared" ref="M34" si="345">M$4*M35</f>
        <v>0</v>
      </c>
      <c r="N34" s="18">
        <f t="shared" ref="N34" si="346">N$4*N35</f>
        <v>0</v>
      </c>
      <c r="O34" s="18">
        <f t="shared" ref="O34" si="347">O$4*O35</f>
        <v>0</v>
      </c>
      <c r="P34" s="18">
        <f t="shared" ref="P34" si="348">P$4*P35</f>
        <v>0</v>
      </c>
      <c r="Q34" s="18">
        <f t="shared" ref="Q34" si="349">Q$4*Q35</f>
        <v>0</v>
      </c>
    </row>
    <row r="35" spans="2:17">
      <c r="B35" s="40" t="str">
        <f>"% of "&amp;$B$4</f>
        <v>% of Revenue</v>
      </c>
      <c r="C35" s="212">
        <f>IFERROR(C34/C$4,0)</f>
        <v>3.0656762174271904E-4</v>
      </c>
      <c r="D35" s="212">
        <f t="shared" ref="D35" si="350">D34/D$4</f>
        <v>2.3156188491374319E-4</v>
      </c>
      <c r="E35" s="212">
        <f t="shared" ref="E35" si="351">E34/E$4</f>
        <v>2.7630767922803883E-4</v>
      </c>
      <c r="F35" s="212">
        <f t="shared" ref="F35" si="352">F34/F$4</f>
        <v>2.0644870688037235E-4</v>
      </c>
      <c r="G35" s="212">
        <f t="shared" ref="G35" si="353">G34/G$4</f>
        <v>-1.8910383691685104E-5</v>
      </c>
      <c r="H35" s="28">
        <f>Assumptions!I178</f>
        <v>2.0039510181463766E-4</v>
      </c>
      <c r="I35" s="28">
        <f>Assumptions!J178</f>
        <v>2.0039510181463766E-4</v>
      </c>
      <c r="J35" s="28">
        <f>Assumptions!K178</f>
        <v>2.0039510181463766E-4</v>
      </c>
      <c r="K35" s="28">
        <f>Assumptions!L178</f>
        <v>2.0039510181463766E-4</v>
      </c>
      <c r="L35" s="28">
        <f>Assumptions!M178</f>
        <v>2.0039510181463766E-4</v>
      </c>
      <c r="M35" s="28">
        <f>Assumptions!N178</f>
        <v>0</v>
      </c>
      <c r="N35" s="28">
        <f>Assumptions!O178</f>
        <v>0</v>
      </c>
      <c r="O35" s="28">
        <f>Assumptions!P178</f>
        <v>0</v>
      </c>
      <c r="P35" s="28">
        <f>Assumptions!Q178</f>
        <v>0</v>
      </c>
      <c r="Q35" s="28">
        <f>Assumptions!R178</f>
        <v>0</v>
      </c>
    </row>
    <row r="36" spans="2:17">
      <c r="B36" s="39"/>
      <c r="C36" s="206"/>
      <c r="D36" s="206"/>
      <c r="E36" s="206"/>
      <c r="F36" s="206"/>
      <c r="G36" s="206"/>
    </row>
    <row r="37" spans="2:17">
      <c r="B37" s="24" t="s">
        <v>255</v>
      </c>
      <c r="C37" s="213">
        <f>C28-C31-C34</f>
        <v>2022</v>
      </c>
      <c r="D37" s="213">
        <f t="shared" ref="D37:Q37" si="354">D28-D31-D34</f>
        <v>2061</v>
      </c>
      <c r="E37" s="213">
        <f t="shared" si="354"/>
        <v>3047</v>
      </c>
      <c r="F37" s="213">
        <f t="shared" si="354"/>
        <v>3238</v>
      </c>
      <c r="G37" s="213">
        <f t="shared" si="354"/>
        <v>-648</v>
      </c>
      <c r="H37" s="25">
        <f t="shared" si="354"/>
        <v>2347.5088670365153</v>
      </c>
      <c r="I37" s="25">
        <f t="shared" si="354"/>
        <v>2386.7744070091408</v>
      </c>
      <c r="J37" s="25">
        <f t="shared" si="354"/>
        <v>2412.7160585329598</v>
      </c>
      <c r="K37" s="25">
        <f t="shared" si="354"/>
        <v>2430.1167970080232</v>
      </c>
      <c r="L37" s="25">
        <f t="shared" si="354"/>
        <v>2451.9483859650727</v>
      </c>
      <c r="M37" s="25">
        <f t="shared" si="354"/>
        <v>0</v>
      </c>
      <c r="N37" s="25">
        <f t="shared" si="354"/>
        <v>0</v>
      </c>
      <c r="O37" s="25">
        <f t="shared" si="354"/>
        <v>0</v>
      </c>
      <c r="P37" s="25">
        <f t="shared" si="354"/>
        <v>0</v>
      </c>
      <c r="Q37" s="25">
        <f t="shared" si="354"/>
        <v>0</v>
      </c>
    </row>
    <row r="38" spans="2:17">
      <c r="B38" s="27" t="str">
        <f>"% of "&amp;$B$4</f>
        <v>% of Revenue</v>
      </c>
      <c r="C38" s="214">
        <f>IFERROR(C37/C$4,0)</f>
        <v>4.7683056243367529E-2</v>
      </c>
      <c r="D38" s="214">
        <f t="shared" ref="D38:G38" si="355">D37/D$4</f>
        <v>4.7724904480722474E-2</v>
      </c>
      <c r="E38" s="214">
        <f t="shared" si="355"/>
        <v>6.4762269123679564E-2</v>
      </c>
      <c r="F38" s="214">
        <f t="shared" si="355"/>
        <v>6.0770992079876879E-2</v>
      </c>
      <c r="G38" s="214">
        <f t="shared" si="355"/>
        <v>-1.2253928632211947E-2</v>
      </c>
      <c r="H38" s="149">
        <f>IFERROR(H37/H$4,0)</f>
        <v>4.3952765737914352E-2</v>
      </c>
      <c r="I38" s="149">
        <f t="shared" ref="I38:Q38" si="356">IFERROR(I37/I$4,0)</f>
        <v>4.4245485562236092E-2</v>
      </c>
      <c r="J38" s="149">
        <f t="shared" si="356"/>
        <v>4.428355054100544E-2</v>
      </c>
      <c r="K38" s="149">
        <f t="shared" si="356"/>
        <v>4.4161314587890702E-2</v>
      </c>
      <c r="L38" s="149">
        <f t="shared" si="356"/>
        <v>4.4116880486914305E-2</v>
      </c>
      <c r="M38" s="149">
        <f t="shared" si="356"/>
        <v>0</v>
      </c>
      <c r="N38" s="149">
        <f t="shared" si="356"/>
        <v>0</v>
      </c>
      <c r="O38" s="149">
        <f t="shared" si="356"/>
        <v>0</v>
      </c>
      <c r="P38" s="149">
        <f t="shared" si="356"/>
        <v>0</v>
      </c>
      <c r="Q38" s="149">
        <f t="shared" si="356"/>
        <v>0</v>
      </c>
    </row>
    <row r="39" spans="2:17" ht="12" thickBot="1">
      <c r="B39" s="33" t="s">
        <v>251</v>
      </c>
      <c r="C39" s="216"/>
      <c r="D39" s="216">
        <f>D37/C37-1</f>
        <v>1.928783382789323E-2</v>
      </c>
      <c r="E39" s="216">
        <f t="shared" ref="E39:G39" si="357">E37/D37-1</f>
        <v>0.47840853954391083</v>
      </c>
      <c r="F39" s="216">
        <f t="shared" si="357"/>
        <v>6.2684607810961523E-2</v>
      </c>
      <c r="G39" s="216">
        <f t="shared" si="357"/>
        <v>-1.2001235330450895</v>
      </c>
      <c r="H39" s="34">
        <f>IF(H$3="",0,H37/G37-1)</f>
        <v>-4.6226988688835107</v>
      </c>
      <c r="I39" s="34">
        <f t="shared" ref="I39:Q39" si="358">IF(I$3="",0,I37/H37-1)</f>
        <v>1.6726471419975519E-2</v>
      </c>
      <c r="J39" s="34">
        <f t="shared" si="358"/>
        <v>1.0868916411889362E-2</v>
      </c>
      <c r="K39" s="34">
        <f t="shared" si="358"/>
        <v>7.2120954363954493E-3</v>
      </c>
      <c r="L39" s="34">
        <f t="shared" si="358"/>
        <v>8.983761185441308E-3</v>
      </c>
      <c r="M39" s="34">
        <f t="shared" si="358"/>
        <v>0</v>
      </c>
      <c r="N39" s="34">
        <f t="shared" si="358"/>
        <v>0</v>
      </c>
      <c r="O39" s="34">
        <f t="shared" si="358"/>
        <v>0</v>
      </c>
      <c r="P39" s="34">
        <f t="shared" si="358"/>
        <v>0</v>
      </c>
      <c r="Q39" s="34">
        <f t="shared" si="358"/>
        <v>0</v>
      </c>
    </row>
    <row r="40" spans="2:17" ht="12" thickTop="1"/>
    <row r="42" spans="2:17">
      <c r="B42" s="42" t="s">
        <v>256</v>
      </c>
      <c r="C42" s="42"/>
      <c r="D42" s="42"/>
      <c r="E42" s="42"/>
      <c r="F42" s="42"/>
      <c r="G42" s="42"/>
      <c r="H42" s="42"/>
      <c r="I42" s="42"/>
      <c r="J42" s="42"/>
      <c r="K42" s="42"/>
      <c r="L42" s="42"/>
      <c r="M42" s="42"/>
      <c r="N42" s="42"/>
      <c r="O42" s="42"/>
      <c r="P42" s="42"/>
      <c r="Q42" s="42"/>
    </row>
    <row r="43" spans="2:17">
      <c r="B43" s="14" t="str">
        <f>B$22</f>
        <v>Operating Income (Loss) ~ EBIT</v>
      </c>
      <c r="C43" s="19">
        <f>C$22</f>
        <v>3063</v>
      </c>
      <c r="D43" s="19">
        <f t="shared" ref="D43:Q43" si="359">D$22</f>
        <v>2903</v>
      </c>
      <c r="E43" s="19">
        <f t="shared" si="359"/>
        <v>4248</v>
      </c>
      <c r="F43" s="19">
        <f t="shared" si="359"/>
        <v>4362</v>
      </c>
      <c r="G43" s="19">
        <f t="shared" si="359"/>
        <v>894</v>
      </c>
      <c r="H43" s="19">
        <f t="shared" si="359"/>
        <v>3509.1899851369508</v>
      </c>
      <c r="I43" s="19">
        <f t="shared" si="359"/>
        <v>3544.281884988322</v>
      </c>
      <c r="J43" s="19">
        <f t="shared" si="359"/>
        <v>3579.7247038382056</v>
      </c>
      <c r="K43" s="19">
        <f t="shared" si="359"/>
        <v>3615.5219508765904</v>
      </c>
      <c r="L43" s="19">
        <f t="shared" si="359"/>
        <v>3651.6771703853574</v>
      </c>
      <c r="M43" s="19">
        <f t="shared" si="359"/>
        <v>0</v>
      </c>
      <c r="N43" s="19">
        <f t="shared" si="359"/>
        <v>0</v>
      </c>
      <c r="O43" s="19">
        <f t="shared" si="359"/>
        <v>0</v>
      </c>
      <c r="P43" s="19">
        <f t="shared" si="359"/>
        <v>0</v>
      </c>
      <c r="Q43" s="19">
        <f t="shared" si="359"/>
        <v>0</v>
      </c>
    </row>
    <row r="44" spans="2:17">
      <c r="B44" s="35" t="str">
        <f>Assumptions!B187</f>
        <v>Capital Expenditures</v>
      </c>
      <c r="C44" s="18">
        <f>Assumptions!D187</f>
        <v>1259</v>
      </c>
      <c r="D44" s="18">
        <f>Assumptions!E187</f>
        <v>1199</v>
      </c>
      <c r="E44" s="18">
        <f>Assumptions!F187</f>
        <v>1209</v>
      </c>
      <c r="F44" s="18">
        <f>Assumptions!G187</f>
        <v>1887</v>
      </c>
      <c r="G44" s="18">
        <f>Assumptions!H187</f>
        <v>1939</v>
      </c>
      <c r="H44" s="18">
        <f>H4*H45</f>
        <v>1658.1967508447033</v>
      </c>
      <c r="I44" s="18">
        <f t="shared" ref="I44:Q44" si="360">I4*I45</f>
        <v>1674.7787183531502</v>
      </c>
      <c r="J44" s="18">
        <f t="shared" si="360"/>
        <v>1691.526505536682</v>
      </c>
      <c r="K44" s="18">
        <f t="shared" si="360"/>
        <v>1708.4417705920489</v>
      </c>
      <c r="L44" s="18">
        <f t="shared" si="360"/>
        <v>1725.5261882979694</v>
      </c>
      <c r="M44" s="18">
        <f t="shared" si="360"/>
        <v>0</v>
      </c>
      <c r="N44" s="18">
        <f t="shared" si="360"/>
        <v>0</v>
      </c>
      <c r="O44" s="18">
        <f t="shared" si="360"/>
        <v>0</v>
      </c>
      <c r="P44" s="18">
        <f t="shared" si="360"/>
        <v>0</v>
      </c>
      <c r="Q44" s="18">
        <f t="shared" si="360"/>
        <v>0</v>
      </c>
    </row>
    <row r="45" spans="2:17">
      <c r="B45" s="36" t="str">
        <f>"% of "&amp;$B$4</f>
        <v>% of Revenue</v>
      </c>
      <c r="C45" s="28">
        <f>IFERROR(C44/C$4,0)</f>
        <v>2.9689895059544866E-2</v>
      </c>
      <c r="D45" s="28">
        <f t="shared" ref="D45" si="361">D44/D$4</f>
        <v>2.7764270001157811E-2</v>
      </c>
      <c r="E45" s="28">
        <f t="shared" ref="E45" si="362">E44/E$4</f>
        <v>2.5696614168207614E-2</v>
      </c>
      <c r="F45" s="28">
        <f t="shared" ref="F45" si="363">F44/F$4</f>
        <v>3.5415337262114786E-2</v>
      </c>
      <c r="G45" s="28">
        <f t="shared" ref="G45" si="364">G44/G$4</f>
        <v>3.6667233978177415E-2</v>
      </c>
      <c r="H45" s="28">
        <f>Assumptions!I$188</f>
        <v>3.10466700938405E-2</v>
      </c>
      <c r="I45" s="28">
        <f>Assumptions!J188</f>
        <v>3.10466700938405E-2</v>
      </c>
      <c r="J45" s="28">
        <f>Assumptions!K188</f>
        <v>3.10466700938405E-2</v>
      </c>
      <c r="K45" s="28">
        <f>Assumptions!L188</f>
        <v>3.10466700938405E-2</v>
      </c>
      <c r="L45" s="28">
        <f>Assumptions!M188</f>
        <v>3.10466700938405E-2</v>
      </c>
      <c r="M45" s="28">
        <f>Assumptions!N188</f>
        <v>0</v>
      </c>
      <c r="N45" s="28">
        <f>Assumptions!O188</f>
        <v>0</v>
      </c>
      <c r="O45" s="28">
        <f>Assumptions!P188</f>
        <v>0</v>
      </c>
      <c r="P45" s="28">
        <f>Assumptions!Q188</f>
        <v>0</v>
      </c>
      <c r="Q45" s="28">
        <f>Assumptions!R188</f>
        <v>0</v>
      </c>
    </row>
    <row r="46" spans="2:17">
      <c r="B46" s="35"/>
      <c r="C46" s="18"/>
      <c r="D46" s="18"/>
      <c r="E46" s="18"/>
      <c r="F46" s="18"/>
      <c r="G46" s="18"/>
      <c r="H46" s="18"/>
      <c r="I46" s="18"/>
      <c r="J46" s="18"/>
      <c r="K46" s="18"/>
      <c r="L46" s="18"/>
      <c r="M46" s="18"/>
      <c r="N46" s="18"/>
      <c r="O46" s="18"/>
      <c r="P46" s="18"/>
      <c r="Q46" s="18"/>
    </row>
    <row r="47" spans="2:17">
      <c r="B47" s="35" t="str">
        <f>Assumptions!B191</f>
        <v>Depreciation and Amortization</v>
      </c>
      <c r="C47" s="18">
        <f>Assumptions!D191</f>
        <v>1098</v>
      </c>
      <c r="D47" s="18">
        <f>Assumptions!E191</f>
        <v>1192</v>
      </c>
      <c r="E47" s="18">
        <f>Assumptions!F191</f>
        <v>1214</v>
      </c>
      <c r="F47" s="18">
        <f>Assumptions!G191</f>
        <v>1202</v>
      </c>
      <c r="G47" s="18">
        <f>Assumptions!H191</f>
        <v>1339</v>
      </c>
      <c r="H47" s="18">
        <f>H44*H49</f>
        <v>1392.2121284182713</v>
      </c>
      <c r="I47" s="18">
        <f t="shared" ref="I47:Q47" si="365">I44*I49</f>
        <v>1406.1342497024541</v>
      </c>
      <c r="J47" s="18">
        <f t="shared" si="365"/>
        <v>1420.1955921994788</v>
      </c>
      <c r="K47" s="18">
        <f t="shared" si="365"/>
        <v>1434.3975481214736</v>
      </c>
      <c r="L47" s="18">
        <f>L44*L49</f>
        <v>1448.7415236026884</v>
      </c>
      <c r="M47" s="18">
        <f t="shared" si="365"/>
        <v>0</v>
      </c>
      <c r="N47" s="18">
        <f t="shared" si="365"/>
        <v>0</v>
      </c>
      <c r="O47" s="18">
        <f t="shared" si="365"/>
        <v>0</v>
      </c>
      <c r="P47" s="18">
        <f t="shared" si="365"/>
        <v>0</v>
      </c>
      <c r="Q47" s="18">
        <f t="shared" si="365"/>
        <v>0</v>
      </c>
    </row>
    <row r="48" spans="2:17">
      <c r="B48" s="36" t="str">
        <f>"% of "&amp;$B$4</f>
        <v>% of Revenue</v>
      </c>
      <c r="C48" s="28">
        <f>IFERROR(C47/C$4,0)</f>
        <v>2.5893172974885036E-2</v>
      </c>
      <c r="D48" s="28">
        <f t="shared" ref="D48" si="366">D47/D$4</f>
        <v>2.7602176681718188E-2</v>
      </c>
      <c r="E48" s="28">
        <f t="shared" ref="E48" si="367">E47/E$4</f>
        <v>2.5802886352526089E-2</v>
      </c>
      <c r="F48" s="28">
        <f t="shared" ref="F48" si="368">F47/F$4</f>
        <v>2.2559213242746144E-2</v>
      </c>
      <c r="G48" s="28">
        <f t="shared" ref="G48" si="369">G47/G$4</f>
        <v>2.5321003763166355E-2</v>
      </c>
      <c r="H48" s="28">
        <f>IFERROR(H47/H$4,0)</f>
        <v>2.6066599533274344E-2</v>
      </c>
      <c r="I48" s="28">
        <f t="shared" ref="I48" si="370">IFERROR(I47/I$4,0)</f>
        <v>2.6066599533274344E-2</v>
      </c>
      <c r="J48" s="28">
        <f t="shared" ref="J48" si="371">IFERROR(J47/J$4,0)</f>
        <v>2.6066599533274344E-2</v>
      </c>
      <c r="K48" s="28">
        <f t="shared" ref="K48" si="372">IFERROR(K47/K$4,0)</f>
        <v>2.6066599533274344E-2</v>
      </c>
      <c r="L48" s="28">
        <f t="shared" ref="L48" si="373">IFERROR(L47/L$4,0)</f>
        <v>2.6066599533274344E-2</v>
      </c>
      <c r="M48" s="28">
        <f t="shared" ref="M48" si="374">IFERROR(M47/M$4,0)</f>
        <v>0</v>
      </c>
      <c r="N48" s="28">
        <f t="shared" ref="N48" si="375">IFERROR(N47/N$4,0)</f>
        <v>0</v>
      </c>
      <c r="O48" s="28">
        <f t="shared" ref="O48" si="376">IFERROR(O47/O$4,0)</f>
        <v>0</v>
      </c>
      <c r="P48" s="28">
        <f t="shared" ref="P48" si="377">IFERROR(P47/P$4,0)</f>
        <v>0</v>
      </c>
      <c r="Q48" s="28">
        <f t="shared" ref="Q48" si="378">IFERROR(Q47/Q$4,0)</f>
        <v>0</v>
      </c>
    </row>
    <row r="49" spans="2:17">
      <c r="B49" s="36" t="str">
        <f>"% of "&amp;B44</f>
        <v>% of Capital Expenditures</v>
      </c>
      <c r="C49" s="28">
        <f>IFERROR(C47/C44,0)</f>
        <v>0.87212073073868146</v>
      </c>
      <c r="D49" s="28">
        <f t="shared" ref="D49:G49" si="379">IFERROR(D47/D44,0)</f>
        <v>0.994161801501251</v>
      </c>
      <c r="E49" s="28">
        <f t="shared" si="379"/>
        <v>1.0041356492969395</v>
      </c>
      <c r="F49" s="28">
        <f t="shared" si="379"/>
        <v>0.63698993110757818</v>
      </c>
      <c r="G49" s="28">
        <f t="shared" si="379"/>
        <v>0.69056214543579164</v>
      </c>
      <c r="H49" s="28">
        <f>Assumptions!I$192</f>
        <v>0.83959405161604828</v>
      </c>
      <c r="I49" s="28">
        <f>Assumptions!J$192</f>
        <v>0.83959405161604828</v>
      </c>
      <c r="J49" s="28">
        <f>Assumptions!K$192</f>
        <v>0.83959405161604828</v>
      </c>
      <c r="K49" s="28">
        <f>Assumptions!L$192</f>
        <v>0.83959405161604828</v>
      </c>
      <c r="L49" s="28">
        <f>Assumptions!M$192</f>
        <v>0.83959405161604828</v>
      </c>
      <c r="M49" s="28">
        <f>Assumptions!N$192</f>
        <v>0</v>
      </c>
      <c r="N49" s="28">
        <f>Assumptions!O$192</f>
        <v>0</v>
      </c>
      <c r="O49" s="28">
        <f>Assumptions!P$192</f>
        <v>0</v>
      </c>
      <c r="P49" s="28">
        <f>Assumptions!Q$192</f>
        <v>0</v>
      </c>
      <c r="Q49" s="28">
        <f>Assumptions!R$192</f>
        <v>0</v>
      </c>
    </row>
    <row r="50" spans="2:17">
      <c r="B50" s="35"/>
      <c r="C50" s="18"/>
      <c r="D50" s="18"/>
      <c r="E50" s="18"/>
      <c r="F50" s="18"/>
      <c r="G50" s="18"/>
      <c r="H50" s="18"/>
      <c r="I50" s="18"/>
      <c r="J50" s="18"/>
      <c r="K50" s="18"/>
      <c r="L50" s="18"/>
      <c r="M50" s="18"/>
      <c r="N50" s="18"/>
      <c r="O50" s="18"/>
      <c r="P50" s="18"/>
      <c r="Q50" s="18"/>
    </row>
    <row r="51" spans="2:17">
      <c r="B51" s="35" t="str">
        <f>_xlfn.TEXTBEFORE(Assumptions!B195," [")</f>
        <v>Cost of Capitalized Leases</v>
      </c>
      <c r="C51" s="18">
        <f>Assumptions!D195</f>
        <v>0</v>
      </c>
      <c r="D51" s="18">
        <f>Assumptions!E195</f>
        <v>0</v>
      </c>
      <c r="E51" s="18">
        <f>Assumptions!F195</f>
        <v>0</v>
      </c>
      <c r="F51" s="18">
        <f>Assumptions!G195</f>
        <v>0</v>
      </c>
      <c r="G51" s="18">
        <f>Assumptions!H195</f>
        <v>0</v>
      </c>
      <c r="H51" s="18">
        <f>H$4*H52</f>
        <v>0</v>
      </c>
      <c r="I51" s="18">
        <f t="shared" ref="I51:Q51" si="380">I$4*I52</f>
        <v>0</v>
      </c>
      <c r="J51" s="18">
        <f t="shared" si="380"/>
        <v>0</v>
      </c>
      <c r="K51" s="18">
        <f t="shared" si="380"/>
        <v>0</v>
      </c>
      <c r="L51" s="18">
        <f t="shared" si="380"/>
        <v>0</v>
      </c>
      <c r="M51" s="18">
        <f t="shared" si="380"/>
        <v>0</v>
      </c>
      <c r="N51" s="18">
        <f t="shared" si="380"/>
        <v>0</v>
      </c>
      <c r="O51" s="18">
        <f t="shared" si="380"/>
        <v>0</v>
      </c>
      <c r="P51" s="18">
        <f t="shared" si="380"/>
        <v>0</v>
      </c>
      <c r="Q51" s="18">
        <f t="shared" si="380"/>
        <v>0</v>
      </c>
    </row>
    <row r="52" spans="2:17">
      <c r="B52" s="36" t="str">
        <f>"% of "&amp;$B$4</f>
        <v>% of Revenue</v>
      </c>
      <c r="C52" s="28">
        <f>IFERROR(C51/C$4,0)</f>
        <v>0</v>
      </c>
      <c r="D52" s="28">
        <f t="shared" ref="D52" si="381">D51/D$4</f>
        <v>0</v>
      </c>
      <c r="E52" s="28">
        <f t="shared" ref="E52" si="382">E51/E$4</f>
        <v>0</v>
      </c>
      <c r="F52" s="28">
        <f t="shared" ref="F52" si="383">F51/F$4</f>
        <v>0</v>
      </c>
      <c r="G52" s="28">
        <f t="shared" ref="G52" si="384">G51/G$4</f>
        <v>0</v>
      </c>
      <c r="H52" s="28">
        <f>+Assumptions!I196</f>
        <v>0</v>
      </c>
      <c r="I52" s="28">
        <f>+Assumptions!J196</f>
        <v>0</v>
      </c>
      <c r="J52" s="28">
        <f>+Assumptions!K196</f>
        <v>0</v>
      </c>
      <c r="K52" s="28">
        <f>+Assumptions!L196</f>
        <v>0</v>
      </c>
      <c r="L52" s="28">
        <f>+Assumptions!M196</f>
        <v>0</v>
      </c>
      <c r="M52" s="28">
        <f>+Assumptions!N196</f>
        <v>0</v>
      </c>
      <c r="N52" s="28">
        <f>+Assumptions!O196</f>
        <v>0</v>
      </c>
      <c r="O52" s="28">
        <f>+Assumptions!P196</f>
        <v>0</v>
      </c>
      <c r="P52" s="28">
        <f>+Assumptions!Q196</f>
        <v>0</v>
      </c>
      <c r="Q52" s="28">
        <f>+Assumptions!R196</f>
        <v>0</v>
      </c>
    </row>
    <row r="53" spans="2:17">
      <c r="B53" s="43" t="s">
        <v>204</v>
      </c>
      <c r="C53" s="44">
        <f t="shared" ref="C53:Q53" si="385">SUM(C43,C47,C51)</f>
        <v>4161</v>
      </c>
      <c r="D53" s="44">
        <f t="shared" si="385"/>
        <v>4095</v>
      </c>
      <c r="E53" s="44">
        <f t="shared" si="385"/>
        <v>5462</v>
      </c>
      <c r="F53" s="44">
        <f t="shared" si="385"/>
        <v>5564</v>
      </c>
      <c r="G53" s="44">
        <f t="shared" si="385"/>
        <v>2233</v>
      </c>
      <c r="H53" s="44">
        <f t="shared" si="385"/>
        <v>4901.4021135552221</v>
      </c>
      <c r="I53" s="44">
        <f t="shared" si="385"/>
        <v>4950.4161346907758</v>
      </c>
      <c r="J53" s="44">
        <f t="shared" si="385"/>
        <v>4999.9202960376842</v>
      </c>
      <c r="K53" s="44">
        <f t="shared" si="385"/>
        <v>5049.9194989980642</v>
      </c>
      <c r="L53" s="44">
        <f t="shared" si="385"/>
        <v>5100.4186939880456</v>
      </c>
      <c r="M53" s="44">
        <f t="shared" si="385"/>
        <v>0</v>
      </c>
      <c r="N53" s="44">
        <f t="shared" si="385"/>
        <v>0</v>
      </c>
      <c r="O53" s="44">
        <f t="shared" si="385"/>
        <v>0</v>
      </c>
      <c r="P53" s="44">
        <f t="shared" si="385"/>
        <v>0</v>
      </c>
      <c r="Q53" s="44">
        <f t="shared" si="385"/>
        <v>0</v>
      </c>
    </row>
    <row r="56" spans="2:17">
      <c r="B56" s="42" t="s">
        <v>257</v>
      </c>
      <c r="C56" s="42"/>
      <c r="D56" s="42"/>
      <c r="E56" s="42"/>
      <c r="F56" s="42"/>
      <c r="G56" s="42"/>
      <c r="H56" s="42"/>
      <c r="I56" s="42"/>
      <c r="J56" s="42"/>
      <c r="K56" s="42"/>
      <c r="L56" s="42"/>
      <c r="M56" s="42"/>
      <c r="N56" s="42"/>
      <c r="O56" s="42"/>
      <c r="P56" s="42"/>
      <c r="Q56" s="42"/>
    </row>
    <row r="57" spans="2:17">
      <c r="B57" s="14" t="str">
        <f>B$22</f>
        <v>Operating Income (Loss) ~ EBIT</v>
      </c>
      <c r="C57" s="19">
        <f>C$22</f>
        <v>3063</v>
      </c>
      <c r="D57" s="19">
        <f t="shared" ref="D57:Q57" si="386">D$22</f>
        <v>2903</v>
      </c>
      <c r="E57" s="19">
        <f t="shared" si="386"/>
        <v>4248</v>
      </c>
      <c r="F57" s="19">
        <f t="shared" si="386"/>
        <v>4362</v>
      </c>
      <c r="G57" s="19">
        <f t="shared" si="386"/>
        <v>894</v>
      </c>
      <c r="H57" s="19">
        <f t="shared" si="386"/>
        <v>3509.1899851369508</v>
      </c>
      <c r="I57" s="19">
        <f t="shared" si="386"/>
        <v>3544.281884988322</v>
      </c>
      <c r="J57" s="19">
        <f t="shared" si="386"/>
        <v>3579.7247038382056</v>
      </c>
      <c r="K57" s="19">
        <f t="shared" si="386"/>
        <v>3615.5219508765904</v>
      </c>
      <c r="L57" s="19">
        <f t="shared" si="386"/>
        <v>3651.6771703853574</v>
      </c>
      <c r="M57" s="19">
        <f t="shared" si="386"/>
        <v>0</v>
      </c>
      <c r="N57" s="19">
        <f t="shared" si="386"/>
        <v>0</v>
      </c>
      <c r="O57" s="19">
        <f t="shared" si="386"/>
        <v>0</v>
      </c>
      <c r="P57" s="19">
        <f t="shared" si="386"/>
        <v>0</v>
      </c>
      <c r="Q57" s="19">
        <f t="shared" si="386"/>
        <v>0</v>
      </c>
    </row>
    <row r="58" spans="2:17">
      <c r="B58" s="35" t="str">
        <f>B$31</f>
        <v>Income Tax Expense (Benefit)</v>
      </c>
      <c r="C58" s="18">
        <f t="shared" ref="C58:Q58" si="387">C$31</f>
        <v>396</v>
      </c>
      <c r="D58" s="18">
        <f t="shared" si="387"/>
        <v>593</v>
      </c>
      <c r="E58" s="18">
        <f t="shared" si="387"/>
        <v>981</v>
      </c>
      <c r="F58" s="18">
        <f t="shared" si="387"/>
        <v>900</v>
      </c>
      <c r="G58" s="18">
        <f t="shared" si="387"/>
        <v>-29</v>
      </c>
      <c r="H58" s="18">
        <f t="shared" si="387"/>
        <v>626.86646276375541</v>
      </c>
      <c r="I58" s="18">
        <f t="shared" si="387"/>
        <v>637.33258912996848</v>
      </c>
      <c r="J58" s="18">
        <f t="shared" si="387"/>
        <v>644.25720687605644</v>
      </c>
      <c r="K58" s="18">
        <f t="shared" si="387"/>
        <v>648.91174268765781</v>
      </c>
      <c r="L58" s="18">
        <f t="shared" si="387"/>
        <v>654.74438974398186</v>
      </c>
      <c r="M58" s="18">
        <f t="shared" si="387"/>
        <v>0</v>
      </c>
      <c r="N58" s="18">
        <f t="shared" si="387"/>
        <v>0</v>
      </c>
      <c r="O58" s="18">
        <f t="shared" si="387"/>
        <v>0</v>
      </c>
      <c r="P58" s="18">
        <f t="shared" si="387"/>
        <v>0</v>
      </c>
      <c r="Q58" s="18">
        <f t="shared" si="387"/>
        <v>0</v>
      </c>
    </row>
    <row r="59" spans="2:17">
      <c r="B59" s="43" t="s">
        <v>258</v>
      </c>
      <c r="C59" s="44">
        <f>C57-C58</f>
        <v>2667</v>
      </c>
      <c r="D59" s="44">
        <f t="shared" ref="D59:Q59" si="388">D57-D58</f>
        <v>2310</v>
      </c>
      <c r="E59" s="44">
        <f t="shared" si="388"/>
        <v>3267</v>
      </c>
      <c r="F59" s="44">
        <f t="shared" si="388"/>
        <v>3462</v>
      </c>
      <c r="G59" s="44">
        <f t="shared" si="388"/>
        <v>923</v>
      </c>
      <c r="H59" s="44">
        <f t="shared" si="388"/>
        <v>2882.3235223731954</v>
      </c>
      <c r="I59" s="44">
        <f t="shared" si="388"/>
        <v>2906.9492958583533</v>
      </c>
      <c r="J59" s="44">
        <f t="shared" si="388"/>
        <v>2935.4674969621492</v>
      </c>
      <c r="K59" s="44">
        <f t="shared" si="388"/>
        <v>2966.6102081889326</v>
      </c>
      <c r="L59" s="44">
        <f t="shared" si="388"/>
        <v>2996.9327806413758</v>
      </c>
      <c r="M59" s="44">
        <f t="shared" si="388"/>
        <v>0</v>
      </c>
      <c r="N59" s="44">
        <f t="shared" si="388"/>
        <v>0</v>
      </c>
      <c r="O59" s="44">
        <f t="shared" si="388"/>
        <v>0</v>
      </c>
      <c r="P59" s="44">
        <f t="shared" si="388"/>
        <v>0</v>
      </c>
      <c r="Q59" s="44">
        <f t="shared" si="38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EE949-740F-4DBE-8445-F9CDB5BC754F}">
  <sheetPr>
    <tabColor theme="4" tint="0.79998168889431442"/>
  </sheetPr>
  <dimension ref="A2:Q59"/>
  <sheetViews>
    <sheetView zoomScaleNormal="100" workbookViewId="0">
      <pane xSplit="1" ySplit="3" topLeftCell="B4" activePane="bottomRight" state="frozen"/>
      <selection pane="topRight" activeCell="B1" sqref="B1"/>
      <selection pane="bottomLeft" activeCell="A4" sqref="A4"/>
      <selection pane="bottomRight" activeCell="H31" sqref="H31"/>
    </sheetView>
  </sheetViews>
  <sheetFormatPr baseColWidth="10" defaultColWidth="0" defaultRowHeight="11" outlineLevelCol="1"/>
  <cols>
    <col min="1" max="1" width="2.1640625" style="1" customWidth="1"/>
    <col min="2" max="2" width="26.1640625" style="1" bestFit="1" customWidth="1"/>
    <col min="3" max="7" width="8.6640625" style="1" customWidth="1" outlineLevel="1"/>
    <col min="8" max="17" width="8.6640625" style="1" customWidth="1"/>
    <col min="18" max="16384" width="8.6640625" style="1" hidden="1"/>
  </cols>
  <sheetData>
    <row r="2" spans="2:17">
      <c r="B2" s="42" t="s">
        <v>259</v>
      </c>
      <c r="C2" s="42"/>
      <c r="D2" s="42"/>
      <c r="E2" s="42"/>
      <c r="F2" s="42"/>
      <c r="G2" s="42"/>
      <c r="H2" s="42"/>
      <c r="I2" s="42"/>
      <c r="J2" s="42"/>
      <c r="K2" s="42"/>
      <c r="L2" s="42"/>
      <c r="M2" s="42"/>
      <c r="N2" s="42"/>
      <c r="O2" s="42"/>
      <c r="P2" s="42"/>
      <c r="Q2" s="42"/>
    </row>
    <row r="3" spans="2:17">
      <c r="B3" s="22" t="str">
        <f>Assumptions!$B$132</f>
        <v>Year Ending 09/31/2024, In USD Millions</v>
      </c>
      <c r="C3" s="22" cm="1">
        <f t="array" ref="C3:L3">_xlfn.SEQUENCE(1,5+Assumptions!$C$20,(YEAR('Valuation Summary'!$C$4)-5))</f>
        <v>2019</v>
      </c>
      <c r="D3" s="22">
        <v>2020</v>
      </c>
      <c r="E3" s="22">
        <v>2021</v>
      </c>
      <c r="F3" s="22">
        <v>2022</v>
      </c>
      <c r="G3" s="22">
        <v>2023</v>
      </c>
      <c r="H3" s="23">
        <v>2024</v>
      </c>
      <c r="I3" s="23">
        <v>2025</v>
      </c>
      <c r="J3" s="23">
        <v>2026</v>
      </c>
      <c r="K3" s="23">
        <v>2027</v>
      </c>
      <c r="L3" s="23">
        <v>2028</v>
      </c>
      <c r="M3" s="23"/>
      <c r="N3" s="23"/>
      <c r="O3" s="23"/>
      <c r="P3" s="23"/>
      <c r="Q3" s="23"/>
    </row>
    <row r="4" spans="2:17">
      <c r="B4" s="14" t="str">
        <f>Assumptions!B136</f>
        <v>Revenue</v>
      </c>
      <c r="C4" s="202">
        <f>Assumptions!D136</f>
        <v>42405</v>
      </c>
      <c r="D4" s="202">
        <f>Assumptions!E136</f>
        <v>43185</v>
      </c>
      <c r="E4" s="202">
        <f>Assumptions!F136</f>
        <v>47049</v>
      </c>
      <c r="F4" s="202">
        <f>Assumptions!G136</f>
        <v>53282</v>
      </c>
      <c r="G4" s="202">
        <f>Assumptions!H136</f>
        <v>52881</v>
      </c>
      <c r="H4" s="19">
        <f>IF(H3="",0,G4*(1+H6))</f>
        <v>52352.19</v>
      </c>
      <c r="I4" s="19">
        <f t="shared" ref="I4:Q4" si="0">IF(I3="",0,H4*(1+I6))</f>
        <v>51828.668100000003</v>
      </c>
      <c r="J4" s="19">
        <f t="shared" si="0"/>
        <v>51310.381419000005</v>
      </c>
      <c r="K4" s="19">
        <f t="shared" si="0"/>
        <v>50797.277604810006</v>
      </c>
      <c r="L4" s="19">
        <f t="shared" si="0"/>
        <v>50289.304828761902</v>
      </c>
      <c r="M4" s="19">
        <f t="shared" si="0"/>
        <v>0</v>
      </c>
      <c r="N4" s="19">
        <f t="shared" si="0"/>
        <v>0</v>
      </c>
      <c r="O4" s="19">
        <f t="shared" si="0"/>
        <v>0</v>
      </c>
      <c r="P4" s="19">
        <f t="shared" si="0"/>
        <v>0</v>
      </c>
      <c r="Q4" s="19">
        <f t="shared" si="0"/>
        <v>0</v>
      </c>
    </row>
    <row r="5" spans="2:17">
      <c r="B5" s="27" t="str">
        <f>"% of "&amp;$B$4</f>
        <v>% of Revenue</v>
      </c>
      <c r="C5" s="212">
        <f>IFERROR(C4/C$4,0)</f>
        <v>1</v>
      </c>
      <c r="D5" s="212">
        <f t="shared" ref="D5:G5" si="1">D4/D$4</f>
        <v>1</v>
      </c>
      <c r="E5" s="212">
        <f t="shared" si="1"/>
        <v>1</v>
      </c>
      <c r="F5" s="212">
        <f t="shared" si="1"/>
        <v>1</v>
      </c>
      <c r="G5" s="212">
        <f t="shared" si="1"/>
        <v>1</v>
      </c>
      <c r="H5" s="28">
        <f>IFERROR(H4/H$4,0)</f>
        <v>1</v>
      </c>
      <c r="I5" s="28">
        <f t="shared" ref="I5:Q5" si="2">IFERROR(I4/I$4,0)</f>
        <v>1</v>
      </c>
      <c r="J5" s="28">
        <f t="shared" si="2"/>
        <v>1</v>
      </c>
      <c r="K5" s="28">
        <f t="shared" si="2"/>
        <v>1</v>
      </c>
      <c r="L5" s="28">
        <f t="shared" si="2"/>
        <v>1</v>
      </c>
      <c r="M5" s="28">
        <f t="shared" si="2"/>
        <v>0</v>
      </c>
      <c r="N5" s="28">
        <f t="shared" si="2"/>
        <v>0</v>
      </c>
      <c r="O5" s="28">
        <f t="shared" si="2"/>
        <v>0</v>
      </c>
      <c r="P5" s="28">
        <f t="shared" si="2"/>
        <v>0</v>
      </c>
      <c r="Q5" s="28">
        <f t="shared" si="2"/>
        <v>0</v>
      </c>
    </row>
    <row r="6" spans="2:17">
      <c r="B6" s="27" t="s">
        <v>251</v>
      </c>
      <c r="C6" s="212"/>
      <c r="D6" s="212">
        <f>D4/C4-1</f>
        <v>1.8394057304563116E-2</v>
      </c>
      <c r="E6" s="212">
        <f t="shared" ref="E6:G6" si="3">E4/D4-1</f>
        <v>8.9475512330670304E-2</v>
      </c>
      <c r="F6" s="212">
        <f t="shared" si="3"/>
        <v>0.13247890497141279</v>
      </c>
      <c r="G6" s="212">
        <f t="shared" si="3"/>
        <v>-7.5259937690026479E-3</v>
      </c>
      <c r="H6" s="28">
        <f>Assumptions!I$138</f>
        <v>-0.01</v>
      </c>
      <c r="I6" s="28">
        <f>Assumptions!J$138</f>
        <v>-0.01</v>
      </c>
      <c r="J6" s="28">
        <f>Assumptions!K$138</f>
        <v>-0.01</v>
      </c>
      <c r="K6" s="28">
        <f>Assumptions!L$138</f>
        <v>-0.01</v>
      </c>
      <c r="L6" s="28">
        <f>Assumptions!M$138</f>
        <v>-0.01</v>
      </c>
      <c r="M6" s="28">
        <f>Assumptions!N$138</f>
        <v>0</v>
      </c>
      <c r="N6" s="28">
        <f>Assumptions!O$138</f>
        <v>0</v>
      </c>
      <c r="O6" s="28">
        <f>Assumptions!P$138</f>
        <v>0</v>
      </c>
      <c r="P6" s="28">
        <f>Assumptions!Q$138</f>
        <v>0</v>
      </c>
      <c r="Q6" s="28">
        <f>Assumptions!R$138</f>
        <v>0</v>
      </c>
    </row>
    <row r="7" spans="2:17">
      <c r="B7" s="39"/>
      <c r="C7" s="206"/>
      <c r="D7" s="206"/>
      <c r="E7" s="206"/>
      <c r="F7" s="206"/>
      <c r="G7" s="206"/>
    </row>
    <row r="8" spans="2:17">
      <c r="B8" s="39" t="str">
        <f>Assumptions!B142</f>
        <v>Cost of Revenue ~ Cost of Goods Sold</v>
      </c>
      <c r="C8" s="201">
        <f>Assumptions!D142</f>
        <v>37383</v>
      </c>
      <c r="D8" s="201">
        <f>Assumptions!E142</f>
        <v>37801</v>
      </c>
      <c r="E8" s="201">
        <f>Assumptions!F142</f>
        <v>40523</v>
      </c>
      <c r="F8" s="201">
        <f>Assumptions!G142</f>
        <v>46614</v>
      </c>
      <c r="G8" s="201">
        <f>Assumptions!H142</f>
        <v>50250</v>
      </c>
      <c r="H8" s="18">
        <f>H$4*H9</f>
        <v>46523.218885342118</v>
      </c>
      <c r="I8" s="18">
        <f t="shared" ref="I8:Q8" si="4">I$4*I9</f>
        <v>46057.986696488697</v>
      </c>
      <c r="J8" s="18">
        <f t="shared" si="4"/>
        <v>45597.406829523818</v>
      </c>
      <c r="K8" s="18">
        <f t="shared" si="4"/>
        <v>45141.432761228578</v>
      </c>
      <c r="L8" s="18">
        <f t="shared" si="4"/>
        <v>44690.018433616286</v>
      </c>
      <c r="M8" s="18">
        <f t="shared" si="4"/>
        <v>0</v>
      </c>
      <c r="N8" s="18">
        <f t="shared" si="4"/>
        <v>0</v>
      </c>
      <c r="O8" s="18">
        <f t="shared" si="4"/>
        <v>0</v>
      </c>
      <c r="P8" s="18">
        <f t="shared" si="4"/>
        <v>0</v>
      </c>
      <c r="Q8" s="18">
        <f t="shared" si="4"/>
        <v>0</v>
      </c>
    </row>
    <row r="9" spans="2:17">
      <c r="B9" s="40" t="str">
        <f>"% of "&amp;$B$4</f>
        <v>% of Revenue</v>
      </c>
      <c r="C9" s="212">
        <f>IFERROR(C8/C$4,0)</f>
        <v>0.8815705695083127</v>
      </c>
      <c r="D9" s="212">
        <f t="shared" ref="D9:G9" si="5">D8/D$4</f>
        <v>0.87532708116244062</v>
      </c>
      <c r="E9" s="212">
        <f t="shared" si="5"/>
        <v>0.86129354502752453</v>
      </c>
      <c r="F9" s="212">
        <f t="shared" si="5"/>
        <v>0.87485454750197067</v>
      </c>
      <c r="G9" s="212">
        <f t="shared" si="5"/>
        <v>0.95024678050717648</v>
      </c>
      <c r="H9" s="217">
        <f>Assumptions!I$143</f>
        <v>0.88865850474148489</v>
      </c>
      <c r="I9" s="217">
        <f>Assumptions!J$143</f>
        <v>0.88865850474148489</v>
      </c>
      <c r="J9" s="217">
        <f>Assumptions!K$143</f>
        <v>0.88865850474148489</v>
      </c>
      <c r="K9" s="217">
        <f>Assumptions!L$143</f>
        <v>0.88865850474148489</v>
      </c>
      <c r="L9" s="217">
        <f>Assumptions!M$143</f>
        <v>0.88865850474148489</v>
      </c>
      <c r="M9" s="217">
        <f>Assumptions!N$143</f>
        <v>0</v>
      </c>
      <c r="N9" s="217">
        <f>Assumptions!O$143</f>
        <v>0</v>
      </c>
      <c r="O9" s="217">
        <f>Assumptions!P$143</f>
        <v>0</v>
      </c>
      <c r="P9" s="217">
        <f>Assumptions!Q$143</f>
        <v>0</v>
      </c>
      <c r="Q9" s="217">
        <f>Assumptions!R$143</f>
        <v>0</v>
      </c>
    </row>
    <row r="10" spans="2:17">
      <c r="B10" s="40" t="s">
        <v>251</v>
      </c>
      <c r="C10" s="212"/>
      <c r="D10" s="212">
        <f t="array" ref="D10">D8/C8-1</f>
        <v>1.118155311237734E-2</v>
      </c>
      <c r="E10" s="212">
        <f t="array" ref="E10">E8/D8-1</f>
        <v>7.2008677019126388E-2</v>
      </c>
      <c r="F10" s="212">
        <f t="array" ref="F10">F8/E8-1</f>
        <v>0.15030970066382054</v>
      </c>
      <c r="G10" s="212">
        <f t="array" ref="G10">G8/F8-1</f>
        <v>7.8002316900501967E-2</v>
      </c>
      <c r="H10" s="236">
        <f>IF(H$3="",0,H8/G8-1)</f>
        <v>-7.4164798301649348E-2</v>
      </c>
      <c r="I10" s="236">
        <f t="shared" ref="I10:Q10" si="6">IF(I$3="",0,I8/H8-1)</f>
        <v>-1.0000000000000009E-2</v>
      </c>
      <c r="J10" s="236">
        <f t="shared" si="6"/>
        <v>-9.9999999999997868E-3</v>
      </c>
      <c r="K10" s="236">
        <f t="shared" si="6"/>
        <v>-1.0000000000000009E-2</v>
      </c>
      <c r="L10" s="236">
        <f t="shared" si="6"/>
        <v>-1.000000000000012E-2</v>
      </c>
      <c r="M10" s="236">
        <f t="shared" si="6"/>
        <v>0</v>
      </c>
      <c r="N10" s="236">
        <f t="shared" si="6"/>
        <v>0</v>
      </c>
      <c r="O10" s="236">
        <f t="shared" si="6"/>
        <v>0</v>
      </c>
      <c r="P10" s="236">
        <f t="shared" si="6"/>
        <v>0</v>
      </c>
      <c r="Q10" s="236">
        <f t="shared" si="6"/>
        <v>0</v>
      </c>
    </row>
    <row r="11" spans="2:17">
      <c r="B11" s="39"/>
      <c r="C11" s="206"/>
      <c r="D11" s="206"/>
      <c r="E11" s="206"/>
      <c r="F11" s="206"/>
      <c r="G11" s="206"/>
    </row>
    <row r="12" spans="2:17">
      <c r="B12" s="37" t="s">
        <v>252</v>
      </c>
      <c r="C12" s="213">
        <f>C4-C8</f>
        <v>5022</v>
      </c>
      <c r="D12" s="213">
        <f t="shared" ref="D12:H12" si="7">D4-D8</f>
        <v>5384</v>
      </c>
      <c r="E12" s="213">
        <f t="shared" si="7"/>
        <v>6526</v>
      </c>
      <c r="F12" s="213">
        <f t="shared" si="7"/>
        <v>6668</v>
      </c>
      <c r="G12" s="213">
        <f t="shared" si="7"/>
        <v>2631</v>
      </c>
      <c r="H12" s="25">
        <f t="shared" si="7"/>
        <v>5828.9711146578848</v>
      </c>
      <c r="I12" s="25">
        <f t="shared" ref="I12:Q12" si="8">I4-I8</f>
        <v>5770.6814035113057</v>
      </c>
      <c r="J12" s="25">
        <f t="shared" si="8"/>
        <v>5712.9745894761872</v>
      </c>
      <c r="K12" s="25">
        <f t="shared" si="8"/>
        <v>5655.844843581428</v>
      </c>
      <c r="L12" s="25">
        <f t="shared" si="8"/>
        <v>5599.2863951456166</v>
      </c>
      <c r="M12" s="25">
        <f t="shared" si="8"/>
        <v>0</v>
      </c>
      <c r="N12" s="25">
        <f t="shared" si="8"/>
        <v>0</v>
      </c>
      <c r="O12" s="25">
        <f t="shared" si="8"/>
        <v>0</v>
      </c>
      <c r="P12" s="25">
        <f t="shared" si="8"/>
        <v>0</v>
      </c>
      <c r="Q12" s="25">
        <f t="shared" si="8"/>
        <v>0</v>
      </c>
    </row>
    <row r="13" spans="2:17">
      <c r="B13" s="36" t="str">
        <f>"% of "&amp;$B$4</f>
        <v>% of Revenue</v>
      </c>
      <c r="C13" s="214">
        <f>IFERROR(C12/C$4,0)</f>
        <v>0.1184294304916873</v>
      </c>
      <c r="D13" s="214">
        <f t="shared" ref="D13:G13" si="9">D12/D$4</f>
        <v>0.12467291883755934</v>
      </c>
      <c r="E13" s="214">
        <f t="shared" si="9"/>
        <v>0.1387064549724755</v>
      </c>
      <c r="F13" s="214">
        <f t="shared" si="9"/>
        <v>0.12514545249802936</v>
      </c>
      <c r="G13" s="214">
        <f t="shared" si="9"/>
        <v>4.9753219492823512E-2</v>
      </c>
      <c r="H13" s="28">
        <f>IFERROR(H12/H$4,0)</f>
        <v>0.11134149525851515</v>
      </c>
      <c r="I13" s="28">
        <f t="shared" ref="I13:Q13" si="10">IFERROR(I12/I$4,0)</f>
        <v>0.11134149525851515</v>
      </c>
      <c r="J13" s="28">
        <f t="shared" si="10"/>
        <v>0.11134149525851504</v>
      </c>
      <c r="K13" s="28">
        <f t="shared" si="10"/>
        <v>0.11134149525851508</v>
      </c>
      <c r="L13" s="28">
        <f t="shared" si="10"/>
        <v>0.11134149525851515</v>
      </c>
      <c r="M13" s="28">
        <f t="shared" si="10"/>
        <v>0</v>
      </c>
      <c r="N13" s="28">
        <f t="shared" si="10"/>
        <v>0</v>
      </c>
      <c r="O13" s="28">
        <f t="shared" si="10"/>
        <v>0</v>
      </c>
      <c r="P13" s="28">
        <f t="shared" si="10"/>
        <v>0</v>
      </c>
      <c r="Q13" s="28">
        <f t="shared" si="10"/>
        <v>0</v>
      </c>
    </row>
    <row r="14" spans="2:17" ht="12" thickBot="1">
      <c r="B14" s="38" t="s">
        <v>251</v>
      </c>
      <c r="C14" s="215"/>
      <c r="D14" s="215">
        <f>D12/C12-1</f>
        <v>7.2082835523695765E-2</v>
      </c>
      <c r="E14" s="215">
        <f t="shared" ref="E14:G14" si="11">E12/D12-1</f>
        <v>0.21210995542347688</v>
      </c>
      <c r="F14" s="215">
        <f t="shared" si="11"/>
        <v>2.1759117376647152E-2</v>
      </c>
      <c r="G14" s="215">
        <f t="shared" si="11"/>
        <v>-0.6054289142171565</v>
      </c>
      <c r="H14" s="26">
        <f>IF(H3="",0,H12/G12-1)</f>
        <v>1.2154964327852089</v>
      </c>
      <c r="I14" s="26">
        <f t="shared" ref="I14:Q14" si="12">IF(I3="",0,I12/H12-1)</f>
        <v>-1.0000000000000009E-2</v>
      </c>
      <c r="J14" s="26">
        <f t="shared" si="12"/>
        <v>-1.0000000000000897E-2</v>
      </c>
      <c r="K14" s="26">
        <f t="shared" si="12"/>
        <v>-9.9999999999995648E-3</v>
      </c>
      <c r="L14" s="26">
        <f t="shared" si="12"/>
        <v>-9.9999999999994538E-3</v>
      </c>
      <c r="M14" s="26">
        <f t="shared" si="12"/>
        <v>0</v>
      </c>
      <c r="N14" s="26">
        <f t="shared" si="12"/>
        <v>0</v>
      </c>
      <c r="O14" s="26">
        <f t="shared" si="12"/>
        <v>0</v>
      </c>
      <c r="P14" s="26">
        <f t="shared" si="12"/>
        <v>0</v>
      </c>
      <c r="Q14" s="26">
        <f t="shared" si="12"/>
        <v>0</v>
      </c>
    </row>
    <row r="15" spans="2:17">
      <c r="B15" s="39"/>
      <c r="C15" s="206"/>
      <c r="D15" s="206"/>
      <c r="E15" s="206"/>
      <c r="F15" s="206"/>
      <c r="G15" s="206"/>
    </row>
    <row r="16" spans="2:17">
      <c r="B16" s="39" t="str">
        <f>Assumptions!B146</f>
        <v>Other Operating Income</v>
      </c>
      <c r="C16" s="201">
        <f>Assumptions!D146</f>
        <v>0</v>
      </c>
      <c r="D16" s="201">
        <f>Assumptions!E146</f>
        <v>0</v>
      </c>
      <c r="E16" s="201">
        <f>Assumptions!F146</f>
        <v>0</v>
      </c>
      <c r="F16" s="201">
        <f>Assumptions!G146</f>
        <v>0</v>
      </c>
      <c r="G16" s="201">
        <f>Assumptions!H146</f>
        <v>0</v>
      </c>
      <c r="H16" s="18">
        <f>H$4*H17</f>
        <v>0</v>
      </c>
      <c r="I16" s="18">
        <f t="shared" ref="I16:Q16" si="13">I$4*I17</f>
        <v>0</v>
      </c>
      <c r="J16" s="18">
        <f t="shared" si="13"/>
        <v>0</v>
      </c>
      <c r="K16" s="18">
        <f t="shared" si="13"/>
        <v>0</v>
      </c>
      <c r="L16" s="18">
        <f t="shared" si="13"/>
        <v>0</v>
      </c>
      <c r="M16" s="18">
        <f t="shared" si="13"/>
        <v>0</v>
      </c>
      <c r="N16" s="18">
        <f t="shared" si="13"/>
        <v>0</v>
      </c>
      <c r="O16" s="18">
        <f t="shared" si="13"/>
        <v>0</v>
      </c>
      <c r="P16" s="18">
        <f t="shared" si="13"/>
        <v>0</v>
      </c>
      <c r="Q16" s="18">
        <f t="shared" si="13"/>
        <v>0</v>
      </c>
    </row>
    <row r="17" spans="2:17">
      <c r="B17" s="40" t="str">
        <f>"% of "&amp;$B$4</f>
        <v>% of Revenue</v>
      </c>
      <c r="C17" s="212">
        <f>IFERROR(C16/C$4,0)</f>
        <v>0</v>
      </c>
      <c r="D17" s="212">
        <f t="shared" ref="D17:G17" si="14">D16/D$4</f>
        <v>0</v>
      </c>
      <c r="E17" s="212">
        <f t="shared" si="14"/>
        <v>0</v>
      </c>
      <c r="F17" s="212">
        <f t="shared" si="14"/>
        <v>0</v>
      </c>
      <c r="G17" s="212">
        <f t="shared" si="14"/>
        <v>0</v>
      </c>
      <c r="H17" s="28">
        <f>Assumptions!I$147</f>
        <v>0</v>
      </c>
      <c r="I17" s="28">
        <f>Assumptions!J$147</f>
        <v>0</v>
      </c>
      <c r="J17" s="28">
        <f>Assumptions!K$147</f>
        <v>0</v>
      </c>
      <c r="K17" s="28">
        <f>Assumptions!L$147</f>
        <v>0</v>
      </c>
      <c r="L17" s="28">
        <f>Assumptions!M$147</f>
        <v>0</v>
      </c>
      <c r="M17" s="28">
        <f>Assumptions!N$147</f>
        <v>0</v>
      </c>
      <c r="N17" s="28">
        <f>Assumptions!O$147</f>
        <v>0</v>
      </c>
      <c r="O17" s="28">
        <f>Assumptions!P$147</f>
        <v>0</v>
      </c>
      <c r="P17" s="28">
        <f>Assumptions!Q$147</f>
        <v>0</v>
      </c>
      <c r="Q17" s="28">
        <f>Assumptions!R$147</f>
        <v>0</v>
      </c>
    </row>
    <row r="18" spans="2:17">
      <c r="B18" s="39"/>
      <c r="C18" s="201"/>
      <c r="D18" s="201"/>
      <c r="E18" s="201"/>
      <c r="F18" s="201"/>
      <c r="G18" s="201"/>
      <c r="H18" s="18"/>
      <c r="I18" s="18"/>
      <c r="J18" s="18"/>
      <c r="K18" s="18"/>
      <c r="L18" s="18"/>
      <c r="M18" s="18"/>
      <c r="N18" s="18"/>
      <c r="O18" s="18"/>
      <c r="P18" s="18"/>
      <c r="Q18" s="18"/>
    </row>
    <row r="19" spans="2:17">
      <c r="B19" s="39" t="str">
        <f>Assumptions!B150</f>
        <v>Operating Expenses</v>
      </c>
      <c r="C19" s="201">
        <f>Assumptions!D150</f>
        <v>1959</v>
      </c>
      <c r="D19" s="201">
        <f>Assumptions!E150</f>
        <v>2481</v>
      </c>
      <c r="E19" s="201">
        <f>Assumptions!F150</f>
        <v>2278</v>
      </c>
      <c r="F19" s="201">
        <f>Assumptions!G150</f>
        <v>2306</v>
      </c>
      <c r="G19" s="201">
        <f>Assumptions!H150</f>
        <v>1737</v>
      </c>
      <c r="H19" s="18">
        <f>H$4*H20</f>
        <v>2389.2700401176999</v>
      </c>
      <c r="I19" s="18">
        <f t="shared" ref="I19:Q19" si="15">I$4*I20</f>
        <v>2365.3773397165228</v>
      </c>
      <c r="J19" s="18">
        <f t="shared" si="15"/>
        <v>2341.7235663193578</v>
      </c>
      <c r="K19" s="18">
        <f t="shared" si="15"/>
        <v>2318.3063306561644</v>
      </c>
      <c r="L19" s="18">
        <f t="shared" si="15"/>
        <v>2295.1232673496024</v>
      </c>
      <c r="M19" s="18">
        <f t="shared" si="15"/>
        <v>0</v>
      </c>
      <c r="N19" s="18">
        <f t="shared" si="15"/>
        <v>0</v>
      </c>
      <c r="O19" s="18">
        <f t="shared" si="15"/>
        <v>0</v>
      </c>
      <c r="P19" s="18">
        <f t="shared" si="15"/>
        <v>0</v>
      </c>
      <c r="Q19" s="18">
        <f t="shared" si="15"/>
        <v>0</v>
      </c>
    </row>
    <row r="20" spans="2:17">
      <c r="B20" s="40" t="str">
        <f>"% of "&amp;$B$4</f>
        <v>% of Revenue</v>
      </c>
      <c r="C20" s="212">
        <f>IFERROR(C19/C$4,0)</f>
        <v>4.6197382384152809E-2</v>
      </c>
      <c r="D20" s="212">
        <f t="shared" ref="D20:G20" si="16">D19/D$4</f>
        <v>5.7450503647099686E-2</v>
      </c>
      <c r="E20" s="212">
        <f t="shared" si="16"/>
        <v>4.8417607175497888E-2</v>
      </c>
      <c r="F20" s="212">
        <f t="shared" si="16"/>
        <v>4.3279156187830785E-2</v>
      </c>
      <c r="G20" s="212">
        <f t="shared" si="16"/>
        <v>3.2847336472457023E-2</v>
      </c>
      <c r="H20" s="28">
        <f>Assumptions!I$151</f>
        <v>4.563839717340764E-2</v>
      </c>
      <c r="I20" s="28">
        <f>Assumptions!J$151</f>
        <v>4.563839717340764E-2</v>
      </c>
      <c r="J20" s="28">
        <f>Assumptions!K$151</f>
        <v>4.563839717340764E-2</v>
      </c>
      <c r="K20" s="28">
        <f>Assumptions!L$151</f>
        <v>4.563839717340764E-2</v>
      </c>
      <c r="L20" s="28">
        <f>Assumptions!M$151</f>
        <v>4.563839717340764E-2</v>
      </c>
      <c r="M20" s="28">
        <f>Assumptions!N$151</f>
        <v>0</v>
      </c>
      <c r="N20" s="28">
        <f>Assumptions!O$151</f>
        <v>0</v>
      </c>
      <c r="O20" s="28">
        <f>Assumptions!P$151</f>
        <v>0</v>
      </c>
      <c r="P20" s="28">
        <f>Assumptions!Q$151</f>
        <v>0</v>
      </c>
      <c r="Q20" s="28">
        <f>Assumptions!R$151</f>
        <v>0</v>
      </c>
    </row>
    <row r="21" spans="2:17">
      <c r="B21" s="39"/>
      <c r="C21" s="206"/>
      <c r="D21" s="206"/>
      <c r="E21" s="206"/>
      <c r="F21" s="206"/>
      <c r="G21" s="206"/>
    </row>
    <row r="22" spans="2:17">
      <c r="B22" s="37" t="s">
        <v>253</v>
      </c>
      <c r="C22" s="213">
        <f>C12+C16-C19</f>
        <v>3063</v>
      </c>
      <c r="D22" s="213">
        <f t="shared" ref="D22:H22" si="17">D12+D16-D19</f>
        <v>2903</v>
      </c>
      <c r="E22" s="213">
        <f t="shared" si="17"/>
        <v>4248</v>
      </c>
      <c r="F22" s="213">
        <f t="shared" si="17"/>
        <v>4362</v>
      </c>
      <c r="G22" s="213">
        <f t="shared" si="17"/>
        <v>894</v>
      </c>
      <c r="H22" s="25">
        <f t="shared" si="17"/>
        <v>3439.7010745401849</v>
      </c>
      <c r="I22" s="25">
        <f t="shared" ref="I22:Q22" si="18">I12+I16-I19</f>
        <v>3405.3040637947829</v>
      </c>
      <c r="J22" s="25">
        <f t="shared" si="18"/>
        <v>3371.2510231568294</v>
      </c>
      <c r="K22" s="25">
        <f t="shared" si="18"/>
        <v>3337.5385129252636</v>
      </c>
      <c r="L22" s="25">
        <f t="shared" si="18"/>
        <v>3304.1631277960141</v>
      </c>
      <c r="M22" s="25">
        <f t="shared" si="18"/>
        <v>0</v>
      </c>
      <c r="N22" s="25">
        <f t="shared" si="18"/>
        <v>0</v>
      </c>
      <c r="O22" s="25">
        <f t="shared" si="18"/>
        <v>0</v>
      </c>
      <c r="P22" s="25">
        <f t="shared" si="18"/>
        <v>0</v>
      </c>
      <c r="Q22" s="25">
        <f t="shared" si="18"/>
        <v>0</v>
      </c>
    </row>
    <row r="23" spans="2:17" ht="12" thickBot="1">
      <c r="B23" s="38" t="str">
        <f>"% of "&amp;$B$4</f>
        <v>% of Revenue</v>
      </c>
      <c r="C23" s="215">
        <f>IFERROR(C22/C$4,0)</f>
        <v>7.2232048107534488E-2</v>
      </c>
      <c r="D23" s="215">
        <f t="shared" ref="D23:G23" si="19">D22/D$4</f>
        <v>6.7222415190459656E-2</v>
      </c>
      <c r="E23" s="215">
        <f t="shared" si="19"/>
        <v>9.0288847796977614E-2</v>
      </c>
      <c r="F23" s="215">
        <f t="shared" si="19"/>
        <v>8.1866296310198566E-2</v>
      </c>
      <c r="G23" s="215">
        <f t="shared" si="19"/>
        <v>1.6905883020366483E-2</v>
      </c>
      <c r="H23" s="26">
        <f>IFERROR(H22/H$4,0)</f>
        <v>6.570309808510752E-2</v>
      </c>
      <c r="I23" s="26">
        <f t="shared" ref="I23:Q23" si="20">IFERROR(I22/I$4,0)</f>
        <v>6.5703098085107506E-2</v>
      </c>
      <c r="J23" s="26">
        <f t="shared" si="20"/>
        <v>6.5703098085107395E-2</v>
      </c>
      <c r="K23" s="26">
        <f t="shared" si="20"/>
        <v>6.570309808510745E-2</v>
      </c>
      <c r="L23" s="26">
        <f t="shared" si="20"/>
        <v>6.5703098085107506E-2</v>
      </c>
      <c r="M23" s="26">
        <f t="shared" si="20"/>
        <v>0</v>
      </c>
      <c r="N23" s="26">
        <f t="shared" si="20"/>
        <v>0</v>
      </c>
      <c r="O23" s="26">
        <f t="shared" si="20"/>
        <v>0</v>
      </c>
      <c r="P23" s="26">
        <f t="shared" si="20"/>
        <v>0</v>
      </c>
      <c r="Q23" s="26">
        <f t="shared" si="20"/>
        <v>0</v>
      </c>
    </row>
    <row r="24" spans="2:17">
      <c r="B24" s="39"/>
      <c r="C24" s="206"/>
      <c r="D24" s="206"/>
      <c r="E24" s="206"/>
      <c r="F24" s="206"/>
      <c r="G24" s="206"/>
    </row>
    <row r="25" spans="2:17">
      <c r="B25" s="39" t="str">
        <f>Assumptions!B154</f>
        <v>Non-Operating (Income) Loss</v>
      </c>
      <c r="C25" s="201">
        <f>Assumptions!D154</f>
        <v>632</v>
      </c>
      <c r="D25" s="201">
        <f>Assumptions!E154</f>
        <v>239</v>
      </c>
      <c r="E25" s="201">
        <f>Assumptions!F154</f>
        <v>207</v>
      </c>
      <c r="F25" s="201">
        <f>Assumptions!G154</f>
        <v>213</v>
      </c>
      <c r="G25" s="201">
        <f>Assumptions!H154</f>
        <v>1572</v>
      </c>
      <c r="H25" s="18">
        <f>+Assumptions!I$154+H4*Assumptions!$I$167+H4*Assumptions!I$169</f>
        <v>520.87022499303112</v>
      </c>
      <c r="I25" s="18">
        <f>+Assumptions!J$154+I4*Assumptions!$I$167+I4*Assumptions!J$169</f>
        <v>502.88206183163697</v>
      </c>
      <c r="J25" s="18">
        <f>+Assumptions!K$154+J4*Assumptions!$I$167+J4*Assumptions!K$169</f>
        <v>502.10882029465245</v>
      </c>
      <c r="K25" s="18">
        <f>+Assumptions!L$154+K4*Assumptions!$I$167+K4*Assumptions!L$169</f>
        <v>512.49927264670896</v>
      </c>
      <c r="L25" s="18">
        <f>+Assumptions!M$154+L4*Assumptions!$I$167+L4*Assumptions!M$169</f>
        <v>517.63667148062598</v>
      </c>
      <c r="M25" s="18">
        <f>+Assumptions!N$154+M4*Assumptions!$I$167+M4*Assumptions!N$169</f>
        <v>0</v>
      </c>
      <c r="N25" s="18">
        <f>+Assumptions!O$154+N4*Assumptions!$I$167+N4*Assumptions!O$169</f>
        <v>0</v>
      </c>
      <c r="O25" s="18">
        <f>+Assumptions!P$154+O4*Assumptions!$I$167+O4*Assumptions!P$169</f>
        <v>0</v>
      </c>
      <c r="P25" s="18">
        <f>+Assumptions!Q$154+P4*Assumptions!$I$167+P4*Assumptions!Q$169</f>
        <v>0</v>
      </c>
      <c r="Q25" s="18">
        <f>+Assumptions!R$154+Q4*Assumptions!$I$167+Q4*Assumptions!R$169</f>
        <v>0</v>
      </c>
    </row>
    <row r="26" spans="2:17">
      <c r="B26" s="40" t="str">
        <f>"% of "&amp;$B$4</f>
        <v>% of Revenue</v>
      </c>
      <c r="C26" s="212">
        <f>IFERROR(C25/C$4,0)</f>
        <v>1.4903902841646033E-2</v>
      </c>
      <c r="D26" s="212">
        <f t="shared" ref="D26:G26" si="21">D25/D$4</f>
        <v>5.5343290494384622E-3</v>
      </c>
      <c r="E26" s="212">
        <f t="shared" si="21"/>
        <v>4.3996684307849266E-3</v>
      </c>
      <c r="F26" s="212">
        <f t="shared" si="21"/>
        <v>3.9975976877744826E-3</v>
      </c>
      <c r="G26" s="212">
        <f t="shared" si="21"/>
        <v>2.9727123163328983E-2</v>
      </c>
      <c r="H26" s="28">
        <f>IFERROR(H25/H$4,0)</f>
        <v>9.949349301204613E-3</v>
      </c>
      <c r="I26" s="28">
        <f t="shared" ref="I26:Q26" si="22">IFERROR(I25/I$4,0)</f>
        <v>9.702778023571031E-3</v>
      </c>
      <c r="J26" s="28">
        <f t="shared" si="22"/>
        <v>9.7857159975958362E-3</v>
      </c>
      <c r="K26" s="28">
        <f t="shared" si="22"/>
        <v>1.008910903914623E-2</v>
      </c>
      <c r="L26" s="28">
        <f t="shared" si="22"/>
        <v>1.02931761185248E-2</v>
      </c>
      <c r="M26" s="28">
        <f t="shared" si="22"/>
        <v>0</v>
      </c>
      <c r="N26" s="28">
        <f t="shared" si="22"/>
        <v>0</v>
      </c>
      <c r="O26" s="28">
        <f t="shared" si="22"/>
        <v>0</v>
      </c>
      <c r="P26" s="28">
        <f t="shared" si="22"/>
        <v>0</v>
      </c>
      <c r="Q26" s="28">
        <f t="shared" si="22"/>
        <v>0</v>
      </c>
    </row>
    <row r="27" spans="2:17">
      <c r="B27" s="39"/>
      <c r="C27" s="206"/>
      <c r="D27" s="206"/>
      <c r="E27" s="206"/>
      <c r="F27" s="206"/>
      <c r="G27" s="206"/>
    </row>
    <row r="28" spans="2:17">
      <c r="B28" s="37" t="s">
        <v>254</v>
      </c>
      <c r="C28" s="213">
        <f>C22-C25</f>
        <v>2431</v>
      </c>
      <c r="D28" s="213">
        <f t="shared" ref="D28:H28" si="23">D22-D25</f>
        <v>2664</v>
      </c>
      <c r="E28" s="213">
        <f t="shared" si="23"/>
        <v>4041</v>
      </c>
      <c r="F28" s="213">
        <f t="shared" si="23"/>
        <v>4149</v>
      </c>
      <c r="G28" s="213">
        <f t="shared" si="23"/>
        <v>-678</v>
      </c>
      <c r="H28" s="25">
        <f t="shared" si="23"/>
        <v>2918.8308495471538</v>
      </c>
      <c r="I28" s="25">
        <f t="shared" ref="I28:Q28" si="24">I22-I25</f>
        <v>2902.4220019631457</v>
      </c>
      <c r="J28" s="25">
        <f t="shared" si="24"/>
        <v>2869.1422028621769</v>
      </c>
      <c r="K28" s="25">
        <f t="shared" si="24"/>
        <v>2825.0392402785546</v>
      </c>
      <c r="L28" s="25">
        <f t="shared" si="24"/>
        <v>2786.5264563153883</v>
      </c>
      <c r="M28" s="25">
        <f t="shared" si="24"/>
        <v>0</v>
      </c>
      <c r="N28" s="25">
        <f t="shared" si="24"/>
        <v>0</v>
      </c>
      <c r="O28" s="25">
        <f t="shared" si="24"/>
        <v>0</v>
      </c>
      <c r="P28" s="25">
        <f t="shared" si="24"/>
        <v>0</v>
      </c>
      <c r="Q28" s="25">
        <f t="shared" si="24"/>
        <v>0</v>
      </c>
    </row>
    <row r="29" spans="2:17" ht="12" thickBot="1">
      <c r="B29" s="38" t="str">
        <f>"% of "&amp;$B$4</f>
        <v>% of Revenue</v>
      </c>
      <c r="C29" s="215">
        <f>IFERROR(C28/C$4,0)</f>
        <v>5.7328145265888454E-2</v>
      </c>
      <c r="D29" s="215">
        <f t="shared" ref="D29:G29" si="25">D28/D$4</f>
        <v>6.1688086141021191E-2</v>
      </c>
      <c r="E29" s="215">
        <f t="shared" si="25"/>
        <v>8.5889179366192697E-2</v>
      </c>
      <c r="F29" s="215">
        <f t="shared" si="25"/>
        <v>7.7868698622424085E-2</v>
      </c>
      <c r="G29" s="215">
        <f t="shared" si="25"/>
        <v>-1.2821240142962501E-2</v>
      </c>
      <c r="H29" s="26">
        <f>IFERROR(H28/H$4,0)</f>
        <v>5.57537487839029E-2</v>
      </c>
      <c r="I29" s="26">
        <f t="shared" ref="I29:Q29" si="26">IFERROR(I28/I$4,0)</f>
        <v>5.6000320061536477E-2</v>
      </c>
      <c r="J29" s="26">
        <f t="shared" si="26"/>
        <v>5.5917382087511562E-2</v>
      </c>
      <c r="K29" s="26">
        <f t="shared" si="26"/>
        <v>5.5613989045961217E-2</v>
      </c>
      <c r="L29" s="26">
        <f t="shared" si="26"/>
        <v>5.5409921966582711E-2</v>
      </c>
      <c r="M29" s="26">
        <f t="shared" si="26"/>
        <v>0</v>
      </c>
      <c r="N29" s="26">
        <f t="shared" si="26"/>
        <v>0</v>
      </c>
      <c r="O29" s="26">
        <f t="shared" si="26"/>
        <v>0</v>
      </c>
      <c r="P29" s="26">
        <f t="shared" si="26"/>
        <v>0</v>
      </c>
      <c r="Q29" s="26">
        <f t="shared" si="26"/>
        <v>0</v>
      </c>
    </row>
    <row r="30" spans="2:17">
      <c r="B30" s="39"/>
      <c r="C30" s="206"/>
      <c r="D30" s="206"/>
      <c r="E30" s="206"/>
      <c r="F30" s="206"/>
      <c r="G30" s="206"/>
    </row>
    <row r="31" spans="2:17">
      <c r="B31" s="39" t="str">
        <f>Assumptions!B172</f>
        <v>Income Tax Expense (Benefit)</v>
      </c>
      <c r="C31" s="201">
        <f>Assumptions!D172</f>
        <v>396</v>
      </c>
      <c r="D31" s="201">
        <f>Assumptions!E172</f>
        <v>593</v>
      </c>
      <c r="E31" s="201">
        <f>Assumptions!F172</f>
        <v>981</v>
      </c>
      <c r="F31" s="201">
        <f>Assumptions!G172</f>
        <v>900</v>
      </c>
      <c r="G31" s="201">
        <f>Assumptions!H172</f>
        <v>-29</v>
      </c>
      <c r="H31" s="18">
        <f>H28*Assumptions!I174</f>
        <v>612.95447840490226</v>
      </c>
      <c r="I31" s="18">
        <f>I28*Assumptions!J174</f>
        <v>609.5086204122606</v>
      </c>
      <c r="J31" s="18">
        <f>J28*Assumptions!K174</f>
        <v>602.51986260105707</v>
      </c>
      <c r="K31" s="18">
        <f>K28*Assumptions!L174</f>
        <v>593.2582404584964</v>
      </c>
      <c r="L31" s="18">
        <f>L28*Assumptions!M174</f>
        <v>585.17055582623152</v>
      </c>
      <c r="M31" s="18">
        <f>M28*Assumptions!N174</f>
        <v>0</v>
      </c>
      <c r="N31" s="18">
        <f>N28*Assumptions!O174</f>
        <v>0</v>
      </c>
      <c r="O31" s="18">
        <f>O28*Assumptions!P174</f>
        <v>0</v>
      </c>
      <c r="P31" s="18">
        <f>P28*Assumptions!Q174</f>
        <v>0</v>
      </c>
      <c r="Q31" s="18">
        <f>Q28*Assumptions!R174</f>
        <v>0</v>
      </c>
    </row>
    <row r="32" spans="2:17">
      <c r="B32" s="40" t="str">
        <f>"% of "&amp;$B$4</f>
        <v>% of Revenue</v>
      </c>
      <c r="C32" s="212">
        <f>IFERROR(C31/C$4,0)</f>
        <v>9.3385214007782099E-3</v>
      </c>
      <c r="D32" s="212">
        <f t="shared" ref="D32:G32" si="27">D31/D$4</f>
        <v>1.3731619775384972E-2</v>
      </c>
      <c r="E32" s="212">
        <f t="shared" si="27"/>
        <v>2.0850602563285085E-2</v>
      </c>
      <c r="F32" s="212">
        <f t="shared" si="27"/>
        <v>1.6891257835666831E-2</v>
      </c>
      <c r="G32" s="212">
        <f t="shared" si="27"/>
        <v>-5.4840112705886799E-4</v>
      </c>
      <c r="H32" s="28">
        <f>IFERROR(H31/H$4,0)</f>
        <v>1.1708287244619609E-2</v>
      </c>
      <c r="I32" s="28">
        <f t="shared" ref="I32:Q32" si="28">IFERROR(I31/I$4,0)</f>
        <v>1.1760067212922659E-2</v>
      </c>
      <c r="J32" s="28">
        <f t="shared" si="28"/>
        <v>1.1742650238377426E-2</v>
      </c>
      <c r="K32" s="28">
        <f t="shared" si="28"/>
        <v>1.1678937699651854E-2</v>
      </c>
      <c r="L32" s="28">
        <f t="shared" si="28"/>
        <v>1.163608361298237E-2</v>
      </c>
      <c r="M32" s="28">
        <f t="shared" si="28"/>
        <v>0</v>
      </c>
      <c r="N32" s="28">
        <f t="shared" si="28"/>
        <v>0</v>
      </c>
      <c r="O32" s="28">
        <f t="shared" si="28"/>
        <v>0</v>
      </c>
      <c r="P32" s="28">
        <f t="shared" si="28"/>
        <v>0</v>
      </c>
      <c r="Q32" s="28">
        <f t="shared" si="28"/>
        <v>0</v>
      </c>
    </row>
    <row r="33" spans="2:17">
      <c r="B33" s="40"/>
      <c r="C33" s="212"/>
      <c r="D33" s="212"/>
      <c r="E33" s="212"/>
      <c r="F33" s="212"/>
      <c r="G33" s="212"/>
      <c r="H33" s="28"/>
      <c r="I33" s="28"/>
      <c r="J33" s="28"/>
      <c r="K33" s="28"/>
      <c r="L33" s="28"/>
      <c r="M33" s="28"/>
      <c r="N33" s="28"/>
      <c r="O33" s="28"/>
      <c r="P33" s="28"/>
      <c r="Q33" s="28"/>
    </row>
    <row r="34" spans="2:17">
      <c r="B34" s="39" t="str">
        <f>Assumptions!B177</f>
        <v>Miscellaneous After Tax Expenditures</v>
      </c>
      <c r="C34" s="201">
        <f>Assumptions!D177</f>
        <v>13</v>
      </c>
      <c r="D34" s="201">
        <f>Assumptions!E177</f>
        <v>10</v>
      </c>
      <c r="E34" s="201">
        <f>Assumptions!F177</f>
        <v>13</v>
      </c>
      <c r="F34" s="201">
        <f>Assumptions!G177</f>
        <v>11</v>
      </c>
      <c r="G34" s="201">
        <f>Assumptions!H177</f>
        <v>-1</v>
      </c>
      <c r="H34" s="18">
        <f>H$4*H35</f>
        <v>10.491122445269257</v>
      </c>
      <c r="I34" s="18">
        <f t="shared" ref="I34:Q34" si="29">I$4*I35</f>
        <v>10.386211220816564</v>
      </c>
      <c r="J34" s="18">
        <f t="shared" si="29"/>
        <v>10.282349108608399</v>
      </c>
      <c r="K34" s="18">
        <f t="shared" si="29"/>
        <v>10.179525617522314</v>
      </c>
      <c r="L34" s="18">
        <f t="shared" si="29"/>
        <v>10.077730361347092</v>
      </c>
      <c r="M34" s="18">
        <f t="shared" si="29"/>
        <v>0</v>
      </c>
      <c r="N34" s="18">
        <f t="shared" si="29"/>
        <v>0</v>
      </c>
      <c r="O34" s="18">
        <f t="shared" si="29"/>
        <v>0</v>
      </c>
      <c r="P34" s="18">
        <f t="shared" si="29"/>
        <v>0</v>
      </c>
      <c r="Q34" s="18">
        <f t="shared" si="29"/>
        <v>0</v>
      </c>
    </row>
    <row r="35" spans="2:17">
      <c r="B35" s="40" t="str">
        <f>"% of "&amp;$B$4</f>
        <v>% of Revenue</v>
      </c>
      <c r="C35" s="212">
        <f>IFERROR(C34/C$4,0)</f>
        <v>3.0656762174271904E-4</v>
      </c>
      <c r="D35" s="212">
        <f t="shared" ref="D35:G35" si="30">D34/D$4</f>
        <v>2.3156188491374319E-4</v>
      </c>
      <c r="E35" s="212">
        <f t="shared" si="30"/>
        <v>2.7630767922803883E-4</v>
      </c>
      <c r="F35" s="212">
        <f t="shared" si="30"/>
        <v>2.0644870688037235E-4</v>
      </c>
      <c r="G35" s="212">
        <f t="shared" si="30"/>
        <v>-1.8910383691685104E-5</v>
      </c>
      <c r="H35" s="28">
        <f>Assumptions!I178</f>
        <v>2.0039510181463766E-4</v>
      </c>
      <c r="I35" s="28">
        <f>Assumptions!J178</f>
        <v>2.0039510181463766E-4</v>
      </c>
      <c r="J35" s="28">
        <f>Assumptions!K178</f>
        <v>2.0039510181463766E-4</v>
      </c>
      <c r="K35" s="28">
        <f>Assumptions!L178</f>
        <v>2.0039510181463766E-4</v>
      </c>
      <c r="L35" s="28">
        <f>Assumptions!M178</f>
        <v>2.0039510181463766E-4</v>
      </c>
      <c r="M35" s="28">
        <f>Assumptions!N178</f>
        <v>0</v>
      </c>
      <c r="N35" s="28">
        <f>Assumptions!O178</f>
        <v>0</v>
      </c>
      <c r="O35" s="28">
        <f>Assumptions!P178</f>
        <v>0</v>
      </c>
      <c r="P35" s="28">
        <f>Assumptions!Q178</f>
        <v>0</v>
      </c>
      <c r="Q35" s="28">
        <f>Assumptions!R178</f>
        <v>0</v>
      </c>
    </row>
    <row r="36" spans="2:17">
      <c r="B36" s="39"/>
      <c r="C36" s="206"/>
      <c r="D36" s="206"/>
      <c r="E36" s="206"/>
      <c r="F36" s="206"/>
      <c r="G36" s="206"/>
    </row>
    <row r="37" spans="2:17">
      <c r="B37" s="24" t="s">
        <v>255</v>
      </c>
      <c r="C37" s="213">
        <f>C28-C31-C34</f>
        <v>2022</v>
      </c>
      <c r="D37" s="213">
        <f t="shared" ref="D37:H37" si="31">D28-D31-D34</f>
        <v>2061</v>
      </c>
      <c r="E37" s="213">
        <f t="shared" si="31"/>
        <v>3047</v>
      </c>
      <c r="F37" s="213">
        <f t="shared" si="31"/>
        <v>3238</v>
      </c>
      <c r="G37" s="213">
        <f t="shared" si="31"/>
        <v>-648</v>
      </c>
      <c r="H37" s="25">
        <f t="shared" si="31"/>
        <v>2295.3852486969822</v>
      </c>
      <c r="I37" s="25">
        <f t="shared" ref="I37:Q37" si="32">I28-I31-I34</f>
        <v>2282.5271703300682</v>
      </c>
      <c r="J37" s="25">
        <f t="shared" si="32"/>
        <v>2256.3399911525116</v>
      </c>
      <c r="K37" s="25">
        <f t="shared" si="32"/>
        <v>2221.6014742025359</v>
      </c>
      <c r="L37" s="25">
        <f t="shared" si="32"/>
        <v>2191.2781701278095</v>
      </c>
      <c r="M37" s="25">
        <f t="shared" si="32"/>
        <v>0</v>
      </c>
      <c r="N37" s="25">
        <f t="shared" si="32"/>
        <v>0</v>
      </c>
      <c r="O37" s="25">
        <f t="shared" si="32"/>
        <v>0</v>
      </c>
      <c r="P37" s="25">
        <f t="shared" si="32"/>
        <v>0</v>
      </c>
      <c r="Q37" s="25">
        <f t="shared" si="32"/>
        <v>0</v>
      </c>
    </row>
    <row r="38" spans="2:17">
      <c r="B38" s="27" t="str">
        <f>"% of "&amp;$B$4</f>
        <v>% of Revenue</v>
      </c>
      <c r="C38" s="214">
        <f>IFERROR(C37/C$4,0)</f>
        <v>4.7683056243367529E-2</v>
      </c>
      <c r="D38" s="214">
        <f t="shared" ref="D38:G38" si="33">D37/D$4</f>
        <v>4.7724904480722474E-2</v>
      </c>
      <c r="E38" s="214">
        <f t="shared" si="33"/>
        <v>6.4762269123679564E-2</v>
      </c>
      <c r="F38" s="214">
        <f t="shared" si="33"/>
        <v>6.0770992079876879E-2</v>
      </c>
      <c r="G38" s="214">
        <f t="shared" si="33"/>
        <v>-1.2253928632211947E-2</v>
      </c>
      <c r="H38" s="149">
        <f>IFERROR(H37/H$4,0)</f>
        <v>4.3845066437468654E-2</v>
      </c>
      <c r="I38" s="149">
        <f t="shared" ref="I38:Q38" si="34">IFERROR(I37/I$4,0)</f>
        <v>4.4039857746799173E-2</v>
      </c>
      <c r="J38" s="149">
        <f t="shared" si="34"/>
        <v>4.3974336747319501E-2</v>
      </c>
      <c r="K38" s="149">
        <f t="shared" si="34"/>
        <v>4.373465624449472E-2</v>
      </c>
      <c r="L38" s="149">
        <f t="shared" si="34"/>
        <v>4.3573443251785707E-2</v>
      </c>
      <c r="M38" s="149">
        <f t="shared" si="34"/>
        <v>0</v>
      </c>
      <c r="N38" s="149">
        <f t="shared" si="34"/>
        <v>0</v>
      </c>
      <c r="O38" s="149">
        <f t="shared" si="34"/>
        <v>0</v>
      </c>
      <c r="P38" s="149">
        <f t="shared" si="34"/>
        <v>0</v>
      </c>
      <c r="Q38" s="149">
        <f t="shared" si="34"/>
        <v>0</v>
      </c>
    </row>
    <row r="39" spans="2:17" ht="12" thickBot="1">
      <c r="B39" s="33" t="s">
        <v>251</v>
      </c>
      <c r="C39" s="216"/>
      <c r="D39" s="216">
        <f>D37/C37-1</f>
        <v>1.928783382789323E-2</v>
      </c>
      <c r="E39" s="216">
        <f t="shared" ref="E39:G39" si="35">E37/D37-1</f>
        <v>0.47840853954391083</v>
      </c>
      <c r="F39" s="216">
        <f t="shared" si="35"/>
        <v>6.2684607810961523E-2</v>
      </c>
      <c r="G39" s="216">
        <f t="shared" si="35"/>
        <v>-1.2001235330450895</v>
      </c>
      <c r="H39" s="34">
        <f>IF(H$3="",0,H37/G37-1)</f>
        <v>-4.5422611862607756</v>
      </c>
      <c r="I39" s="34">
        <f t="shared" ref="I39:Q39" si="36">IF(I$3="",0,I37/H37-1)</f>
        <v>-5.6017081987492778E-3</v>
      </c>
      <c r="J39" s="34">
        <f t="shared" si="36"/>
        <v>-1.1472888260852465E-2</v>
      </c>
      <c r="K39" s="34">
        <f t="shared" si="36"/>
        <v>-1.5395958537361976E-2</v>
      </c>
      <c r="L39" s="34">
        <f t="shared" si="36"/>
        <v>-1.364929958268557E-2</v>
      </c>
      <c r="M39" s="34">
        <f t="shared" si="36"/>
        <v>0</v>
      </c>
      <c r="N39" s="34">
        <f t="shared" si="36"/>
        <v>0</v>
      </c>
      <c r="O39" s="34">
        <f t="shared" si="36"/>
        <v>0</v>
      </c>
      <c r="P39" s="34">
        <f t="shared" si="36"/>
        <v>0</v>
      </c>
      <c r="Q39" s="34">
        <f t="shared" si="36"/>
        <v>0</v>
      </c>
    </row>
    <row r="40" spans="2:17" ht="12" thickTop="1"/>
    <row r="42" spans="2:17">
      <c r="B42" s="42" t="s">
        <v>256</v>
      </c>
      <c r="C42" s="42"/>
      <c r="D42" s="42"/>
      <c r="E42" s="42"/>
      <c r="F42" s="42"/>
      <c r="G42" s="42"/>
      <c r="H42" s="42"/>
      <c r="I42" s="42"/>
      <c r="J42" s="42"/>
      <c r="K42" s="42"/>
      <c r="L42" s="42"/>
      <c r="M42" s="42"/>
      <c r="N42" s="42"/>
      <c r="O42" s="42"/>
      <c r="P42" s="42"/>
      <c r="Q42" s="42"/>
    </row>
    <row r="43" spans="2:17">
      <c r="B43" s="14" t="str">
        <f>B$22</f>
        <v>Operating Income (Loss) ~ EBIT</v>
      </c>
      <c r="C43" s="19">
        <f>C$22</f>
        <v>3063</v>
      </c>
      <c r="D43" s="19">
        <f t="shared" ref="D43:Q43" si="37">D$22</f>
        <v>2903</v>
      </c>
      <c r="E43" s="19">
        <f t="shared" si="37"/>
        <v>4248</v>
      </c>
      <c r="F43" s="19">
        <f t="shared" si="37"/>
        <v>4362</v>
      </c>
      <c r="G43" s="19">
        <f t="shared" si="37"/>
        <v>894</v>
      </c>
      <c r="H43" s="19">
        <f t="shared" si="37"/>
        <v>3439.7010745401849</v>
      </c>
      <c r="I43" s="19">
        <f t="shared" si="37"/>
        <v>3405.3040637947829</v>
      </c>
      <c r="J43" s="19">
        <f t="shared" si="37"/>
        <v>3371.2510231568294</v>
      </c>
      <c r="K43" s="19">
        <f t="shared" si="37"/>
        <v>3337.5385129252636</v>
      </c>
      <c r="L43" s="19">
        <f t="shared" si="37"/>
        <v>3304.1631277960141</v>
      </c>
      <c r="M43" s="19">
        <f t="shared" si="37"/>
        <v>0</v>
      </c>
      <c r="N43" s="19">
        <f t="shared" si="37"/>
        <v>0</v>
      </c>
      <c r="O43" s="19">
        <f t="shared" si="37"/>
        <v>0</v>
      </c>
      <c r="P43" s="19">
        <f t="shared" si="37"/>
        <v>0</v>
      </c>
      <c r="Q43" s="19">
        <f t="shared" si="37"/>
        <v>0</v>
      </c>
    </row>
    <row r="44" spans="2:17">
      <c r="B44" s="35" t="str">
        <f>Assumptions!B187</f>
        <v>Capital Expenditures</v>
      </c>
      <c r="C44" s="18">
        <f>Assumptions!D187</f>
        <v>1259</v>
      </c>
      <c r="D44" s="18">
        <f>Assumptions!E187</f>
        <v>1199</v>
      </c>
      <c r="E44" s="18">
        <f>Assumptions!F187</f>
        <v>1209</v>
      </c>
      <c r="F44" s="18">
        <f>Assumptions!G187</f>
        <v>1887</v>
      </c>
      <c r="G44" s="18">
        <f>Assumptions!H187</f>
        <v>1939</v>
      </c>
      <c r="H44" s="18">
        <f>H4*H45</f>
        <v>1625.3611716200558</v>
      </c>
      <c r="I44" s="18">
        <f t="shared" ref="I44:Q44" si="38">I4*I45</f>
        <v>1609.1075599038552</v>
      </c>
      <c r="J44" s="18">
        <f t="shared" si="38"/>
        <v>1593.0164843048167</v>
      </c>
      <c r="K44" s="18">
        <f t="shared" si="38"/>
        <v>1577.0863194617687</v>
      </c>
      <c r="L44" s="18">
        <f t="shared" si="38"/>
        <v>1561.3154562671507</v>
      </c>
      <c r="M44" s="18">
        <f t="shared" si="38"/>
        <v>0</v>
      </c>
      <c r="N44" s="18">
        <f t="shared" si="38"/>
        <v>0</v>
      </c>
      <c r="O44" s="18">
        <f t="shared" si="38"/>
        <v>0</v>
      </c>
      <c r="P44" s="18">
        <f t="shared" si="38"/>
        <v>0</v>
      </c>
      <c r="Q44" s="18">
        <f t="shared" si="38"/>
        <v>0</v>
      </c>
    </row>
    <row r="45" spans="2:17">
      <c r="B45" s="36" t="str">
        <f>"% of "&amp;$B$4</f>
        <v>% of Revenue</v>
      </c>
      <c r="C45" s="28">
        <f>IFERROR(C44/C$4,0)</f>
        <v>2.9689895059544866E-2</v>
      </c>
      <c r="D45" s="28">
        <f t="shared" ref="D45:G45" si="39">D44/D$4</f>
        <v>2.7764270001157811E-2</v>
      </c>
      <c r="E45" s="28">
        <f t="shared" si="39"/>
        <v>2.5696614168207614E-2</v>
      </c>
      <c r="F45" s="28">
        <f t="shared" si="39"/>
        <v>3.5415337262114786E-2</v>
      </c>
      <c r="G45" s="28">
        <f t="shared" si="39"/>
        <v>3.6667233978177415E-2</v>
      </c>
      <c r="H45" s="28">
        <f>Assumptions!I$188</f>
        <v>3.10466700938405E-2</v>
      </c>
      <c r="I45" s="28">
        <f>Assumptions!J188</f>
        <v>3.10466700938405E-2</v>
      </c>
      <c r="J45" s="28">
        <f>Assumptions!K188</f>
        <v>3.10466700938405E-2</v>
      </c>
      <c r="K45" s="28">
        <f>Assumptions!L188</f>
        <v>3.10466700938405E-2</v>
      </c>
      <c r="L45" s="28">
        <f>Assumptions!M188</f>
        <v>3.10466700938405E-2</v>
      </c>
      <c r="M45" s="28">
        <f>Assumptions!N188</f>
        <v>0</v>
      </c>
      <c r="N45" s="28">
        <f>Assumptions!O188</f>
        <v>0</v>
      </c>
      <c r="O45" s="28">
        <f>Assumptions!P188</f>
        <v>0</v>
      </c>
      <c r="P45" s="28">
        <f>Assumptions!Q188</f>
        <v>0</v>
      </c>
      <c r="Q45" s="28">
        <f>Assumptions!R188</f>
        <v>0</v>
      </c>
    </row>
    <row r="46" spans="2:17">
      <c r="B46" s="35"/>
      <c r="C46" s="18"/>
      <c r="D46" s="18"/>
      <c r="E46" s="18"/>
      <c r="F46" s="18"/>
      <c r="G46" s="18"/>
      <c r="H46" s="18"/>
      <c r="I46" s="18"/>
      <c r="J46" s="18"/>
      <c r="K46" s="18"/>
      <c r="L46" s="18"/>
      <c r="M46" s="18"/>
      <c r="N46" s="18"/>
      <c r="O46" s="18"/>
      <c r="P46" s="18"/>
      <c r="Q46" s="18"/>
    </row>
    <row r="47" spans="2:17">
      <c r="B47" s="35" t="str">
        <f>Assumptions!B191</f>
        <v>Depreciation and Amortization</v>
      </c>
      <c r="C47" s="18">
        <f>Assumptions!D191</f>
        <v>1098</v>
      </c>
      <c r="D47" s="18">
        <f>Assumptions!E191</f>
        <v>1192</v>
      </c>
      <c r="E47" s="18">
        <f>Assumptions!F191</f>
        <v>1214</v>
      </c>
      <c r="F47" s="18">
        <f>Assumptions!G191</f>
        <v>1202</v>
      </c>
      <c r="G47" s="18">
        <f>Assumptions!H191</f>
        <v>1339</v>
      </c>
      <c r="H47" s="18">
        <f>H44*H49</f>
        <v>1364.6435714198899</v>
      </c>
      <c r="I47" s="18">
        <f t="shared" ref="I47:Q47" si="40">I44*I49</f>
        <v>1350.9971357056909</v>
      </c>
      <c r="J47" s="18">
        <f t="shared" si="40"/>
        <v>1337.487164348634</v>
      </c>
      <c r="K47" s="18">
        <f t="shared" si="40"/>
        <v>1324.1122927051479</v>
      </c>
      <c r="L47" s="18">
        <f>L44*L49</f>
        <v>1310.8711697780961</v>
      </c>
      <c r="M47" s="18">
        <f t="shared" si="40"/>
        <v>0</v>
      </c>
      <c r="N47" s="18">
        <f t="shared" si="40"/>
        <v>0</v>
      </c>
      <c r="O47" s="18">
        <f t="shared" si="40"/>
        <v>0</v>
      </c>
      <c r="P47" s="18">
        <f t="shared" si="40"/>
        <v>0</v>
      </c>
      <c r="Q47" s="18">
        <f t="shared" si="40"/>
        <v>0</v>
      </c>
    </row>
    <row r="48" spans="2:17">
      <c r="B48" s="36" t="str">
        <f>"% of "&amp;$B$4</f>
        <v>% of Revenue</v>
      </c>
      <c r="C48" s="28">
        <f>IFERROR(C47/C$4,0)</f>
        <v>2.5893172974885036E-2</v>
      </c>
      <c r="D48" s="28">
        <f t="shared" ref="D48:G48" si="41">D47/D$4</f>
        <v>2.7602176681718188E-2</v>
      </c>
      <c r="E48" s="28">
        <f t="shared" si="41"/>
        <v>2.5802886352526089E-2</v>
      </c>
      <c r="F48" s="28">
        <f t="shared" si="41"/>
        <v>2.2559213242746144E-2</v>
      </c>
      <c r="G48" s="28">
        <f t="shared" si="41"/>
        <v>2.5321003763166355E-2</v>
      </c>
      <c r="H48" s="28">
        <f>IFERROR(H47/H$4,0)</f>
        <v>2.6066599533274344E-2</v>
      </c>
      <c r="I48" s="28">
        <f t="shared" ref="I48:Q48" si="42">IFERROR(I47/I$4,0)</f>
        <v>2.6066599533274344E-2</v>
      </c>
      <c r="J48" s="28">
        <f t="shared" si="42"/>
        <v>2.6066599533274341E-2</v>
      </c>
      <c r="K48" s="28">
        <f t="shared" si="42"/>
        <v>2.6066599533274344E-2</v>
      </c>
      <c r="L48" s="28">
        <f t="shared" si="42"/>
        <v>2.6066599533274344E-2</v>
      </c>
      <c r="M48" s="28">
        <f t="shared" si="42"/>
        <v>0</v>
      </c>
      <c r="N48" s="28">
        <f t="shared" si="42"/>
        <v>0</v>
      </c>
      <c r="O48" s="28">
        <f t="shared" si="42"/>
        <v>0</v>
      </c>
      <c r="P48" s="28">
        <f t="shared" si="42"/>
        <v>0</v>
      </c>
      <c r="Q48" s="28">
        <f t="shared" si="42"/>
        <v>0</v>
      </c>
    </row>
    <row r="49" spans="2:17">
      <c r="B49" s="36" t="str">
        <f>"% of "&amp;B44</f>
        <v>% of Capital Expenditures</v>
      </c>
      <c r="C49" s="28">
        <f>IFERROR(C47/C44,0)</f>
        <v>0.87212073073868146</v>
      </c>
      <c r="D49" s="28">
        <f t="shared" ref="D49:G49" si="43">IFERROR(D47/D44,0)</f>
        <v>0.994161801501251</v>
      </c>
      <c r="E49" s="28">
        <f t="shared" si="43"/>
        <v>1.0041356492969395</v>
      </c>
      <c r="F49" s="28">
        <f t="shared" si="43"/>
        <v>0.63698993110757818</v>
      </c>
      <c r="G49" s="28">
        <f t="shared" si="43"/>
        <v>0.69056214543579164</v>
      </c>
      <c r="H49" s="28">
        <f>Assumptions!I$192</f>
        <v>0.83959405161604828</v>
      </c>
      <c r="I49" s="28">
        <f>Assumptions!J$192</f>
        <v>0.83959405161604828</v>
      </c>
      <c r="J49" s="28">
        <f>Assumptions!K$192</f>
        <v>0.83959405161604828</v>
      </c>
      <c r="K49" s="28">
        <f>Assumptions!L$192</f>
        <v>0.83959405161604828</v>
      </c>
      <c r="L49" s="28">
        <f>Assumptions!M$192</f>
        <v>0.83959405161604828</v>
      </c>
      <c r="M49" s="28">
        <f>Assumptions!N$192</f>
        <v>0</v>
      </c>
      <c r="N49" s="28">
        <f>Assumptions!O$192</f>
        <v>0</v>
      </c>
      <c r="O49" s="28">
        <f>Assumptions!P$192</f>
        <v>0</v>
      </c>
      <c r="P49" s="28">
        <f>Assumptions!Q$192</f>
        <v>0</v>
      </c>
      <c r="Q49" s="28">
        <f>Assumptions!R$192</f>
        <v>0</v>
      </c>
    </row>
    <row r="50" spans="2:17">
      <c r="B50" s="35"/>
      <c r="C50" s="18"/>
      <c r="D50" s="18"/>
      <c r="E50" s="18"/>
      <c r="F50" s="18"/>
      <c r="G50" s="18"/>
      <c r="H50" s="18"/>
      <c r="I50" s="18"/>
      <c r="J50" s="18"/>
      <c r="K50" s="18"/>
      <c r="L50" s="18"/>
      <c r="M50" s="18"/>
      <c r="N50" s="18"/>
      <c r="O50" s="18"/>
      <c r="P50" s="18"/>
      <c r="Q50" s="18"/>
    </row>
    <row r="51" spans="2:17">
      <c r="B51" s="35" t="str">
        <f>_xlfn.TEXTBEFORE(Assumptions!B195," [")</f>
        <v>Cost of Capitalized Leases</v>
      </c>
      <c r="C51" s="18">
        <f>Assumptions!D195</f>
        <v>0</v>
      </c>
      <c r="D51" s="18">
        <f>Assumptions!E195</f>
        <v>0</v>
      </c>
      <c r="E51" s="18">
        <f>Assumptions!F195</f>
        <v>0</v>
      </c>
      <c r="F51" s="18">
        <f>Assumptions!G195</f>
        <v>0</v>
      </c>
      <c r="G51" s="18">
        <f>Assumptions!H195</f>
        <v>0</v>
      </c>
      <c r="H51" s="18">
        <f>H$4*H52</f>
        <v>0</v>
      </c>
      <c r="I51" s="18">
        <f t="shared" ref="I51:Q51" si="44">I$4*I52</f>
        <v>0</v>
      </c>
      <c r="J51" s="18">
        <f t="shared" si="44"/>
        <v>0</v>
      </c>
      <c r="K51" s="18">
        <f t="shared" si="44"/>
        <v>0</v>
      </c>
      <c r="L51" s="18">
        <f t="shared" si="44"/>
        <v>0</v>
      </c>
      <c r="M51" s="18">
        <f t="shared" si="44"/>
        <v>0</v>
      </c>
      <c r="N51" s="18">
        <f t="shared" si="44"/>
        <v>0</v>
      </c>
      <c r="O51" s="18">
        <f t="shared" si="44"/>
        <v>0</v>
      </c>
      <c r="P51" s="18">
        <f t="shared" si="44"/>
        <v>0</v>
      </c>
      <c r="Q51" s="18">
        <f t="shared" si="44"/>
        <v>0</v>
      </c>
    </row>
    <row r="52" spans="2:17">
      <c r="B52" s="36" t="str">
        <f>"% of "&amp;$B$4</f>
        <v>% of Revenue</v>
      </c>
      <c r="C52" s="28">
        <f>IFERROR(C51/C$4,0)</f>
        <v>0</v>
      </c>
      <c r="D52" s="28">
        <f t="shared" ref="D52:G52" si="45">D51/D$4</f>
        <v>0</v>
      </c>
      <c r="E52" s="28">
        <f t="shared" si="45"/>
        <v>0</v>
      </c>
      <c r="F52" s="28">
        <f t="shared" si="45"/>
        <v>0</v>
      </c>
      <c r="G52" s="28">
        <f t="shared" si="45"/>
        <v>0</v>
      </c>
      <c r="H52" s="28">
        <f>+Assumptions!I196</f>
        <v>0</v>
      </c>
      <c r="I52" s="28">
        <f>+Assumptions!J196</f>
        <v>0</v>
      </c>
      <c r="J52" s="28">
        <f>+Assumptions!K196</f>
        <v>0</v>
      </c>
      <c r="K52" s="28">
        <f>+Assumptions!L196</f>
        <v>0</v>
      </c>
      <c r="L52" s="28">
        <f>+Assumptions!M196</f>
        <v>0</v>
      </c>
      <c r="M52" s="28">
        <f>+Assumptions!N196</f>
        <v>0</v>
      </c>
      <c r="N52" s="28">
        <f>+Assumptions!O196</f>
        <v>0</v>
      </c>
      <c r="O52" s="28">
        <f>+Assumptions!P196</f>
        <v>0</v>
      </c>
      <c r="P52" s="28">
        <f>+Assumptions!Q196</f>
        <v>0</v>
      </c>
      <c r="Q52" s="28">
        <f>+Assumptions!R196</f>
        <v>0</v>
      </c>
    </row>
    <row r="53" spans="2:17">
      <c r="B53" s="43" t="s">
        <v>204</v>
      </c>
      <c r="C53" s="44">
        <f t="shared" ref="C53:Q53" si="46">SUM(C43,C47,C51)</f>
        <v>4161</v>
      </c>
      <c r="D53" s="44">
        <f t="shared" si="46"/>
        <v>4095</v>
      </c>
      <c r="E53" s="44">
        <f t="shared" si="46"/>
        <v>5462</v>
      </c>
      <c r="F53" s="44">
        <f t="shared" si="46"/>
        <v>5564</v>
      </c>
      <c r="G53" s="44">
        <f t="shared" si="46"/>
        <v>2233</v>
      </c>
      <c r="H53" s="44">
        <f t="shared" si="46"/>
        <v>4804.3446459600746</v>
      </c>
      <c r="I53" s="44">
        <f t="shared" si="46"/>
        <v>4756.3011995004736</v>
      </c>
      <c r="J53" s="44">
        <f t="shared" si="46"/>
        <v>4708.7381875054634</v>
      </c>
      <c r="K53" s="44">
        <f t="shared" si="46"/>
        <v>4661.6508056304119</v>
      </c>
      <c r="L53" s="44">
        <f t="shared" si="46"/>
        <v>4615.0342975741105</v>
      </c>
      <c r="M53" s="44">
        <f t="shared" si="46"/>
        <v>0</v>
      </c>
      <c r="N53" s="44">
        <f t="shared" si="46"/>
        <v>0</v>
      </c>
      <c r="O53" s="44">
        <f t="shared" si="46"/>
        <v>0</v>
      </c>
      <c r="P53" s="44">
        <f t="shared" si="46"/>
        <v>0</v>
      </c>
      <c r="Q53" s="44">
        <f t="shared" si="46"/>
        <v>0</v>
      </c>
    </row>
    <row r="56" spans="2:17">
      <c r="B56" s="42" t="s">
        <v>257</v>
      </c>
      <c r="C56" s="42"/>
      <c r="D56" s="42"/>
      <c r="E56" s="42"/>
      <c r="F56" s="42"/>
      <c r="G56" s="42"/>
      <c r="H56" s="42"/>
      <c r="I56" s="42"/>
      <c r="J56" s="42"/>
      <c r="K56" s="42"/>
      <c r="L56" s="42"/>
      <c r="M56" s="42"/>
      <c r="N56" s="42"/>
      <c r="O56" s="42"/>
      <c r="P56" s="42"/>
      <c r="Q56" s="42"/>
    </row>
    <row r="57" spans="2:17">
      <c r="B57" s="14" t="str">
        <f>B$22</f>
        <v>Operating Income (Loss) ~ EBIT</v>
      </c>
      <c r="C57" s="19">
        <f>C$22</f>
        <v>3063</v>
      </c>
      <c r="D57" s="19">
        <f t="shared" ref="D57:Q57" si="47">D$22</f>
        <v>2903</v>
      </c>
      <c r="E57" s="19">
        <f t="shared" si="47"/>
        <v>4248</v>
      </c>
      <c r="F57" s="19">
        <f t="shared" si="47"/>
        <v>4362</v>
      </c>
      <c r="G57" s="19">
        <f t="shared" si="47"/>
        <v>894</v>
      </c>
      <c r="H57" s="19">
        <f t="shared" si="47"/>
        <v>3439.7010745401849</v>
      </c>
      <c r="I57" s="19">
        <f t="shared" si="47"/>
        <v>3405.3040637947829</v>
      </c>
      <c r="J57" s="19">
        <f t="shared" si="47"/>
        <v>3371.2510231568294</v>
      </c>
      <c r="K57" s="19">
        <f t="shared" si="47"/>
        <v>3337.5385129252636</v>
      </c>
      <c r="L57" s="19">
        <f t="shared" si="47"/>
        <v>3304.1631277960141</v>
      </c>
      <c r="M57" s="19">
        <f t="shared" si="47"/>
        <v>0</v>
      </c>
      <c r="N57" s="19">
        <f t="shared" si="47"/>
        <v>0</v>
      </c>
      <c r="O57" s="19">
        <f t="shared" si="47"/>
        <v>0</v>
      </c>
      <c r="P57" s="19">
        <f t="shared" si="47"/>
        <v>0</v>
      </c>
      <c r="Q57" s="19">
        <f t="shared" si="47"/>
        <v>0</v>
      </c>
    </row>
    <row r="58" spans="2:17">
      <c r="B58" s="35" t="str">
        <f>B$31</f>
        <v>Income Tax Expense (Benefit)</v>
      </c>
      <c r="C58" s="18">
        <f t="shared" ref="C58:Q58" si="48">C$31</f>
        <v>396</v>
      </c>
      <c r="D58" s="18">
        <f t="shared" si="48"/>
        <v>593</v>
      </c>
      <c r="E58" s="18">
        <f t="shared" si="48"/>
        <v>981</v>
      </c>
      <c r="F58" s="18">
        <f t="shared" si="48"/>
        <v>900</v>
      </c>
      <c r="G58" s="18">
        <f t="shared" si="48"/>
        <v>-29</v>
      </c>
      <c r="H58" s="18">
        <f t="shared" si="48"/>
        <v>612.95447840490226</v>
      </c>
      <c r="I58" s="18">
        <f t="shared" si="48"/>
        <v>609.5086204122606</v>
      </c>
      <c r="J58" s="18">
        <f t="shared" si="48"/>
        <v>602.51986260105707</v>
      </c>
      <c r="K58" s="18">
        <f t="shared" si="48"/>
        <v>593.2582404584964</v>
      </c>
      <c r="L58" s="18">
        <f t="shared" si="48"/>
        <v>585.17055582623152</v>
      </c>
      <c r="M58" s="18">
        <f t="shared" si="48"/>
        <v>0</v>
      </c>
      <c r="N58" s="18">
        <f t="shared" si="48"/>
        <v>0</v>
      </c>
      <c r="O58" s="18">
        <f t="shared" si="48"/>
        <v>0</v>
      </c>
      <c r="P58" s="18">
        <f t="shared" si="48"/>
        <v>0</v>
      </c>
      <c r="Q58" s="18">
        <f t="shared" si="48"/>
        <v>0</v>
      </c>
    </row>
    <row r="59" spans="2:17">
      <c r="B59" s="43" t="s">
        <v>258</v>
      </c>
      <c r="C59" s="44">
        <f>C57-C58</f>
        <v>2667</v>
      </c>
      <c r="D59" s="44">
        <f t="shared" ref="D59:Q59" si="49">D57-D58</f>
        <v>2310</v>
      </c>
      <c r="E59" s="44">
        <f t="shared" si="49"/>
        <v>3267</v>
      </c>
      <c r="F59" s="44">
        <f t="shared" si="49"/>
        <v>3462</v>
      </c>
      <c r="G59" s="44">
        <f t="shared" si="49"/>
        <v>923</v>
      </c>
      <c r="H59" s="44">
        <f t="shared" si="49"/>
        <v>2826.7465961352827</v>
      </c>
      <c r="I59" s="44">
        <f t="shared" si="49"/>
        <v>2795.7954433825225</v>
      </c>
      <c r="J59" s="44">
        <f t="shared" si="49"/>
        <v>2768.7311605557725</v>
      </c>
      <c r="K59" s="44">
        <f t="shared" si="49"/>
        <v>2744.2802724667672</v>
      </c>
      <c r="L59" s="44">
        <f t="shared" si="49"/>
        <v>2718.9925719697826</v>
      </c>
      <c r="M59" s="44">
        <f t="shared" si="49"/>
        <v>0</v>
      </c>
      <c r="N59" s="44">
        <f t="shared" si="49"/>
        <v>0</v>
      </c>
      <c r="O59" s="44">
        <f t="shared" si="49"/>
        <v>0</v>
      </c>
      <c r="P59" s="44">
        <f t="shared" si="49"/>
        <v>0</v>
      </c>
      <c r="Q59" s="44">
        <f t="shared" si="49"/>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00CE7-CDCC-47EB-9544-C9C0C93338F7}">
  <sheetPr>
    <tabColor theme="4" tint="0.79998168889431442"/>
  </sheetPr>
  <dimension ref="A2:Q59"/>
  <sheetViews>
    <sheetView zoomScaleNormal="100" workbookViewId="0">
      <pane xSplit="1" ySplit="3" topLeftCell="B4" activePane="bottomRight" state="frozen"/>
      <selection pane="topRight" activeCell="B1" sqref="B1"/>
      <selection pane="bottomLeft" activeCell="A4" sqref="A4"/>
      <selection pane="bottomRight" activeCell="H14" sqref="H14"/>
    </sheetView>
  </sheetViews>
  <sheetFormatPr baseColWidth="10" defaultColWidth="0" defaultRowHeight="11" outlineLevelCol="1"/>
  <cols>
    <col min="1" max="1" width="2.1640625" style="1" customWidth="1"/>
    <col min="2" max="2" width="26.1640625" style="1" bestFit="1" customWidth="1"/>
    <col min="3" max="7" width="8.6640625" style="1" customWidth="1" outlineLevel="1"/>
    <col min="8" max="17" width="8.6640625" style="1" customWidth="1"/>
    <col min="18" max="16384" width="8.6640625" style="1" hidden="1"/>
  </cols>
  <sheetData>
    <row r="2" spans="2:17">
      <c r="B2" s="42" t="s">
        <v>259</v>
      </c>
      <c r="C2" s="42"/>
      <c r="D2" s="42"/>
      <c r="E2" s="42"/>
      <c r="F2" s="42"/>
      <c r="G2" s="42"/>
      <c r="H2" s="42"/>
      <c r="I2" s="42"/>
      <c r="J2" s="42"/>
      <c r="K2" s="42"/>
      <c r="L2" s="42"/>
      <c r="M2" s="42"/>
      <c r="N2" s="42"/>
      <c r="O2" s="42"/>
      <c r="P2" s="42"/>
      <c r="Q2" s="42"/>
    </row>
    <row r="3" spans="2:17">
      <c r="B3" s="22" t="str">
        <f>Assumptions!$B$132</f>
        <v>Year Ending 09/31/2024, In USD Millions</v>
      </c>
      <c r="C3" s="22" cm="1">
        <f t="array" ref="C3:L3">_xlfn.SEQUENCE(1,5+Assumptions!$C$20,(YEAR('Valuation Summary'!$C$4)-5))</f>
        <v>2019</v>
      </c>
      <c r="D3" s="22">
        <v>2020</v>
      </c>
      <c r="E3" s="22">
        <v>2021</v>
      </c>
      <c r="F3" s="22">
        <v>2022</v>
      </c>
      <c r="G3" s="22">
        <v>2023</v>
      </c>
      <c r="H3" s="23">
        <v>2024</v>
      </c>
      <c r="I3" s="23">
        <v>2025</v>
      </c>
      <c r="J3" s="23">
        <v>2026</v>
      </c>
      <c r="K3" s="23">
        <v>2027</v>
      </c>
      <c r="L3" s="23">
        <v>2028</v>
      </c>
      <c r="M3" s="23"/>
      <c r="N3" s="23"/>
      <c r="O3" s="23"/>
      <c r="P3" s="23"/>
      <c r="Q3" s="23"/>
    </row>
    <row r="4" spans="2:17">
      <c r="B4" s="14" t="str">
        <f>Assumptions!B136</f>
        <v>Revenue</v>
      </c>
      <c r="C4" s="202">
        <f>Assumptions!D136</f>
        <v>42405</v>
      </c>
      <c r="D4" s="202">
        <f>Assumptions!E136</f>
        <v>43185</v>
      </c>
      <c r="E4" s="202">
        <f>Assumptions!F136</f>
        <v>47049</v>
      </c>
      <c r="F4" s="202">
        <f>Assumptions!G136</f>
        <v>53282</v>
      </c>
      <c r="G4" s="202">
        <f>Assumptions!H136</f>
        <v>52881</v>
      </c>
      <c r="H4" s="19">
        <f>IF(H3="",0,G4*(1+H6))</f>
        <v>54467.43</v>
      </c>
      <c r="I4" s="19">
        <f t="shared" ref="I4:Q4" si="0">IF(I3="",0,H4*(1+I6))</f>
        <v>56101.452900000004</v>
      </c>
      <c r="J4" s="19">
        <f t="shared" si="0"/>
        <v>57784.496487000004</v>
      </c>
      <c r="K4" s="19">
        <f t="shared" si="0"/>
        <v>59518.031381610002</v>
      </c>
      <c r="L4" s="19">
        <f t="shared" si="0"/>
        <v>61303.572323058303</v>
      </c>
      <c r="M4" s="19">
        <f t="shared" si="0"/>
        <v>0</v>
      </c>
      <c r="N4" s="19">
        <f t="shared" si="0"/>
        <v>0</v>
      </c>
      <c r="O4" s="19">
        <f t="shared" si="0"/>
        <v>0</v>
      </c>
      <c r="P4" s="19">
        <f t="shared" si="0"/>
        <v>0</v>
      </c>
      <c r="Q4" s="19">
        <f t="shared" si="0"/>
        <v>0</v>
      </c>
    </row>
    <row r="5" spans="2:17">
      <c r="B5" s="27" t="str">
        <f>"% of "&amp;$B$4</f>
        <v>% of Revenue</v>
      </c>
      <c r="C5" s="212">
        <f>IFERROR(C4/C$4,0)</f>
        <v>1</v>
      </c>
      <c r="D5" s="212">
        <f t="shared" ref="D5:G5" si="1">D4/D$4</f>
        <v>1</v>
      </c>
      <c r="E5" s="212">
        <f t="shared" si="1"/>
        <v>1</v>
      </c>
      <c r="F5" s="212">
        <f t="shared" si="1"/>
        <v>1</v>
      </c>
      <c r="G5" s="212">
        <f t="shared" si="1"/>
        <v>1</v>
      </c>
      <c r="H5" s="28">
        <f>IFERROR(H4/H$4,0)</f>
        <v>1</v>
      </c>
      <c r="I5" s="28">
        <f t="shared" ref="I5:Q5" si="2">IFERROR(I4/I$4,0)</f>
        <v>1</v>
      </c>
      <c r="J5" s="28">
        <f t="shared" si="2"/>
        <v>1</v>
      </c>
      <c r="K5" s="28">
        <f t="shared" si="2"/>
        <v>1</v>
      </c>
      <c r="L5" s="28">
        <f t="shared" si="2"/>
        <v>1</v>
      </c>
      <c r="M5" s="28">
        <f t="shared" si="2"/>
        <v>0</v>
      </c>
      <c r="N5" s="28">
        <f t="shared" si="2"/>
        <v>0</v>
      </c>
      <c r="O5" s="28">
        <f t="shared" si="2"/>
        <v>0</v>
      </c>
      <c r="P5" s="28">
        <f t="shared" si="2"/>
        <v>0</v>
      </c>
      <c r="Q5" s="28">
        <f t="shared" si="2"/>
        <v>0</v>
      </c>
    </row>
    <row r="6" spans="2:17">
      <c r="B6" s="27" t="s">
        <v>251</v>
      </c>
      <c r="C6" s="212"/>
      <c r="D6" s="212">
        <f>D4/C4-1</f>
        <v>1.8394057304563116E-2</v>
      </c>
      <c r="E6" s="212">
        <f t="shared" ref="E6:G6" si="3">E4/D4-1</f>
        <v>8.9475512330670304E-2</v>
      </c>
      <c r="F6" s="212">
        <f t="shared" si="3"/>
        <v>0.13247890497141279</v>
      </c>
      <c r="G6" s="212">
        <f t="shared" si="3"/>
        <v>-7.5259937690026479E-3</v>
      </c>
      <c r="H6" s="28">
        <f>Assumptions!I$139</f>
        <v>0.03</v>
      </c>
      <c r="I6" s="28">
        <f>Assumptions!J$139</f>
        <v>0.03</v>
      </c>
      <c r="J6" s="28">
        <f>Assumptions!K$139</f>
        <v>0.03</v>
      </c>
      <c r="K6" s="28">
        <f>Assumptions!L$139</f>
        <v>0.03</v>
      </c>
      <c r="L6" s="28">
        <f>Assumptions!M$139</f>
        <v>0.03</v>
      </c>
      <c r="M6" s="28">
        <f>Assumptions!N$139</f>
        <v>0</v>
      </c>
      <c r="N6" s="28">
        <f>Assumptions!O$139</f>
        <v>0</v>
      </c>
      <c r="O6" s="28">
        <f>Assumptions!P$139</f>
        <v>0</v>
      </c>
      <c r="P6" s="28">
        <f>Assumptions!Q$139</f>
        <v>0</v>
      </c>
      <c r="Q6" s="28">
        <f>Assumptions!R$139</f>
        <v>0</v>
      </c>
    </row>
    <row r="7" spans="2:17">
      <c r="B7" s="39"/>
      <c r="C7" s="206"/>
      <c r="D7" s="206"/>
      <c r="E7" s="206"/>
      <c r="F7" s="206"/>
      <c r="G7" s="206"/>
    </row>
    <row r="8" spans="2:17">
      <c r="B8" s="39" t="str">
        <f>Assumptions!B142</f>
        <v>Cost of Revenue ~ Cost of Goods Sold</v>
      </c>
      <c r="C8" s="201">
        <f>Assumptions!D142</f>
        <v>37383</v>
      </c>
      <c r="D8" s="201">
        <f>Assumptions!E142</f>
        <v>37801</v>
      </c>
      <c r="E8" s="201">
        <f>Assumptions!F142</f>
        <v>40523</v>
      </c>
      <c r="F8" s="201">
        <f>Assumptions!G142</f>
        <v>46614</v>
      </c>
      <c r="G8" s="201">
        <f>Assumptions!H142</f>
        <v>50250</v>
      </c>
      <c r="H8" s="18">
        <f>H$4*H9</f>
        <v>48402.944900911498</v>
      </c>
      <c r="I8" s="18">
        <f t="shared" ref="I8:Q8" si="4">I$4*I9</f>
        <v>49855.033247938845</v>
      </c>
      <c r="J8" s="18">
        <f t="shared" si="4"/>
        <v>51350.684245377008</v>
      </c>
      <c r="K8" s="18">
        <f t="shared" si="4"/>
        <v>52891.204772738318</v>
      </c>
      <c r="L8" s="18">
        <f t="shared" si="4"/>
        <v>54477.940915920466</v>
      </c>
      <c r="M8" s="18">
        <f t="shared" si="4"/>
        <v>0</v>
      </c>
      <c r="N8" s="18">
        <f t="shared" si="4"/>
        <v>0</v>
      </c>
      <c r="O8" s="18">
        <f t="shared" si="4"/>
        <v>0</v>
      </c>
      <c r="P8" s="18">
        <f t="shared" si="4"/>
        <v>0</v>
      </c>
      <c r="Q8" s="18">
        <f t="shared" si="4"/>
        <v>0</v>
      </c>
    </row>
    <row r="9" spans="2:17">
      <c r="B9" s="40" t="str">
        <f>"% of "&amp;$B$4</f>
        <v>% of Revenue</v>
      </c>
      <c r="C9" s="212">
        <f>IFERROR(C8/C$4,0)</f>
        <v>0.8815705695083127</v>
      </c>
      <c r="D9" s="212">
        <f t="shared" ref="D9:G9" si="5">D8/D$4</f>
        <v>0.87532708116244062</v>
      </c>
      <c r="E9" s="212">
        <f t="shared" si="5"/>
        <v>0.86129354502752453</v>
      </c>
      <c r="F9" s="212">
        <f t="shared" si="5"/>
        <v>0.87485454750197067</v>
      </c>
      <c r="G9" s="212">
        <f t="shared" si="5"/>
        <v>0.95024678050717648</v>
      </c>
      <c r="H9" s="217">
        <f>Assumptions!I$143</f>
        <v>0.88865850474148489</v>
      </c>
      <c r="I9" s="217">
        <f>Assumptions!J$143</f>
        <v>0.88865850474148489</v>
      </c>
      <c r="J9" s="217">
        <f>Assumptions!K$143</f>
        <v>0.88865850474148489</v>
      </c>
      <c r="K9" s="217">
        <f>Assumptions!L$143</f>
        <v>0.88865850474148489</v>
      </c>
      <c r="L9" s="217">
        <f>Assumptions!M$143</f>
        <v>0.88865850474148489</v>
      </c>
      <c r="M9" s="217">
        <f>Assumptions!N$143</f>
        <v>0</v>
      </c>
      <c r="N9" s="217">
        <f>Assumptions!O$143</f>
        <v>0</v>
      </c>
      <c r="O9" s="217">
        <f>Assumptions!P$143</f>
        <v>0</v>
      </c>
      <c r="P9" s="217">
        <f>Assumptions!Q$143</f>
        <v>0</v>
      </c>
      <c r="Q9" s="217">
        <f>Assumptions!R$143</f>
        <v>0</v>
      </c>
    </row>
    <row r="10" spans="2:17">
      <c r="B10" s="40" t="s">
        <v>251</v>
      </c>
      <c r="C10" s="212"/>
      <c r="D10" s="212">
        <f t="array" ref="D10">D8/C8-1</f>
        <v>1.118155311237734E-2</v>
      </c>
      <c r="E10" s="212">
        <f t="array" ref="E10">E8/D8-1</f>
        <v>7.2008677019126388E-2</v>
      </c>
      <c r="F10" s="212">
        <f t="array" ref="F10">F8/E8-1</f>
        <v>0.15030970066382054</v>
      </c>
      <c r="G10" s="212">
        <f t="array" ref="G10">G8/F8-1</f>
        <v>7.8002316900501967E-2</v>
      </c>
      <c r="H10" s="236">
        <f>IF(H$3="",0,H8/G8-1)</f>
        <v>-3.675731540474636E-2</v>
      </c>
      <c r="I10" s="236">
        <f t="shared" ref="I10:Q10" si="6">IF(I$3="",0,I8/H8-1)</f>
        <v>3.0000000000000027E-2</v>
      </c>
      <c r="J10" s="236">
        <f t="shared" si="6"/>
        <v>3.0000000000000027E-2</v>
      </c>
      <c r="K10" s="236">
        <f t="shared" si="6"/>
        <v>3.0000000000000027E-2</v>
      </c>
      <c r="L10" s="236">
        <f t="shared" si="6"/>
        <v>3.0000000000000027E-2</v>
      </c>
      <c r="M10" s="236">
        <f t="shared" si="6"/>
        <v>0</v>
      </c>
      <c r="N10" s="236">
        <f t="shared" si="6"/>
        <v>0</v>
      </c>
      <c r="O10" s="236">
        <f t="shared" si="6"/>
        <v>0</v>
      </c>
      <c r="P10" s="236">
        <f t="shared" si="6"/>
        <v>0</v>
      </c>
      <c r="Q10" s="236">
        <f t="shared" si="6"/>
        <v>0</v>
      </c>
    </row>
    <row r="11" spans="2:17">
      <c r="B11" s="39"/>
      <c r="C11" s="206"/>
      <c r="D11" s="206"/>
      <c r="E11" s="206"/>
      <c r="F11" s="206"/>
      <c r="G11" s="206"/>
    </row>
    <row r="12" spans="2:17">
      <c r="B12" s="37" t="s">
        <v>252</v>
      </c>
      <c r="C12" s="213">
        <f>C4-C8</f>
        <v>5022</v>
      </c>
      <c r="D12" s="213">
        <f t="shared" ref="D12:Q12" si="7">D4-D8</f>
        <v>5384</v>
      </c>
      <c r="E12" s="213">
        <f t="shared" si="7"/>
        <v>6526</v>
      </c>
      <c r="F12" s="213">
        <f t="shared" si="7"/>
        <v>6668</v>
      </c>
      <c r="G12" s="213">
        <f t="shared" si="7"/>
        <v>2631</v>
      </c>
      <c r="H12" s="25">
        <f t="shared" si="7"/>
        <v>6064.4850990885025</v>
      </c>
      <c r="I12" s="25">
        <f t="shared" si="7"/>
        <v>6246.4196520611586</v>
      </c>
      <c r="J12" s="25">
        <f t="shared" si="7"/>
        <v>6433.8122416229962</v>
      </c>
      <c r="K12" s="25">
        <f t="shared" si="7"/>
        <v>6626.8266088716846</v>
      </c>
      <c r="L12" s="25">
        <f t="shared" si="7"/>
        <v>6825.6314071378365</v>
      </c>
      <c r="M12" s="25">
        <f t="shared" si="7"/>
        <v>0</v>
      </c>
      <c r="N12" s="25">
        <f t="shared" si="7"/>
        <v>0</v>
      </c>
      <c r="O12" s="25">
        <f t="shared" si="7"/>
        <v>0</v>
      </c>
      <c r="P12" s="25">
        <f t="shared" si="7"/>
        <v>0</v>
      </c>
      <c r="Q12" s="25">
        <f t="shared" si="7"/>
        <v>0</v>
      </c>
    </row>
    <row r="13" spans="2:17">
      <c r="B13" s="36" t="str">
        <f>"% of "&amp;$B$4</f>
        <v>% of Revenue</v>
      </c>
      <c r="C13" s="214">
        <f>IFERROR(C12/C$4,0)</f>
        <v>0.1184294304916873</v>
      </c>
      <c r="D13" s="214">
        <f t="shared" ref="D13:G13" si="8">D12/D$4</f>
        <v>0.12467291883755934</v>
      </c>
      <c r="E13" s="214">
        <f t="shared" si="8"/>
        <v>0.1387064549724755</v>
      </c>
      <c r="F13" s="214">
        <f t="shared" si="8"/>
        <v>0.12514545249802936</v>
      </c>
      <c r="G13" s="214">
        <f t="shared" si="8"/>
        <v>4.9753219492823512E-2</v>
      </c>
      <c r="H13" s="28">
        <f>IFERROR(H12/H$4,0)</f>
        <v>0.11134149525851508</v>
      </c>
      <c r="I13" s="28">
        <f t="shared" ref="I13:Q13" si="9">IFERROR(I12/I$4,0)</f>
        <v>0.1113414952585151</v>
      </c>
      <c r="J13" s="28">
        <f t="shared" si="9"/>
        <v>0.11134149525851515</v>
      </c>
      <c r="K13" s="28">
        <f t="shared" si="9"/>
        <v>0.11134149525851512</v>
      </c>
      <c r="L13" s="28">
        <f t="shared" si="9"/>
        <v>0.11134149525851515</v>
      </c>
      <c r="M13" s="28">
        <f t="shared" si="9"/>
        <v>0</v>
      </c>
      <c r="N13" s="28">
        <f t="shared" si="9"/>
        <v>0</v>
      </c>
      <c r="O13" s="28">
        <f t="shared" si="9"/>
        <v>0</v>
      </c>
      <c r="P13" s="28">
        <f t="shared" si="9"/>
        <v>0</v>
      </c>
      <c r="Q13" s="28">
        <f t="shared" si="9"/>
        <v>0</v>
      </c>
    </row>
    <row r="14" spans="2:17" ht="12" thickBot="1">
      <c r="B14" s="38" t="s">
        <v>251</v>
      </c>
      <c r="C14" s="215"/>
      <c r="D14" s="215">
        <f>D12/C12-1</f>
        <v>7.2082835523695765E-2</v>
      </c>
      <c r="E14" s="215">
        <f t="shared" ref="E14:G14" si="10">E12/D12-1</f>
        <v>0.21210995542347688</v>
      </c>
      <c r="F14" s="215">
        <f t="shared" si="10"/>
        <v>2.1759117376647152E-2</v>
      </c>
      <c r="G14" s="215">
        <f t="shared" si="10"/>
        <v>-0.6054289142171565</v>
      </c>
      <c r="H14" s="26">
        <f>IF(H3="",0,H12/G12-1)</f>
        <v>1.3050114401704684</v>
      </c>
      <c r="I14" s="26">
        <f t="shared" ref="I14:Q14" si="11">IF(I3="",0,I12/H12-1)</f>
        <v>3.0000000000000249E-2</v>
      </c>
      <c r="J14" s="26">
        <f t="shared" si="11"/>
        <v>3.0000000000000471E-2</v>
      </c>
      <c r="K14" s="26">
        <f t="shared" si="11"/>
        <v>2.9999999999999805E-2</v>
      </c>
      <c r="L14" s="26">
        <f t="shared" si="11"/>
        <v>3.0000000000000249E-2</v>
      </c>
      <c r="M14" s="26">
        <f t="shared" si="11"/>
        <v>0</v>
      </c>
      <c r="N14" s="26">
        <f t="shared" si="11"/>
        <v>0</v>
      </c>
      <c r="O14" s="26">
        <f t="shared" si="11"/>
        <v>0</v>
      </c>
      <c r="P14" s="26">
        <f t="shared" si="11"/>
        <v>0</v>
      </c>
      <c r="Q14" s="26">
        <f t="shared" si="11"/>
        <v>0</v>
      </c>
    </row>
    <row r="15" spans="2:17">
      <c r="B15" s="39"/>
      <c r="C15" s="206"/>
      <c r="D15" s="206"/>
      <c r="E15" s="206"/>
      <c r="F15" s="206"/>
      <c r="G15" s="206"/>
    </row>
    <row r="16" spans="2:17">
      <c r="B16" s="39" t="str">
        <f>Assumptions!B146</f>
        <v>Other Operating Income</v>
      </c>
      <c r="C16" s="201">
        <f>Assumptions!D146</f>
        <v>0</v>
      </c>
      <c r="D16" s="201">
        <f>Assumptions!E146</f>
        <v>0</v>
      </c>
      <c r="E16" s="201">
        <f>Assumptions!F146</f>
        <v>0</v>
      </c>
      <c r="F16" s="201">
        <f>Assumptions!G146</f>
        <v>0</v>
      </c>
      <c r="G16" s="201">
        <f>Assumptions!H146</f>
        <v>0</v>
      </c>
      <c r="H16" s="18">
        <f>H$4*H17</f>
        <v>0</v>
      </c>
      <c r="I16" s="18">
        <f t="shared" ref="I16:Q16" si="12">I$4*I17</f>
        <v>0</v>
      </c>
      <c r="J16" s="18">
        <f t="shared" si="12"/>
        <v>0</v>
      </c>
      <c r="K16" s="18">
        <f t="shared" si="12"/>
        <v>0</v>
      </c>
      <c r="L16" s="18">
        <f t="shared" si="12"/>
        <v>0</v>
      </c>
      <c r="M16" s="18">
        <f t="shared" si="12"/>
        <v>0</v>
      </c>
      <c r="N16" s="18">
        <f t="shared" si="12"/>
        <v>0</v>
      </c>
      <c r="O16" s="18">
        <f t="shared" si="12"/>
        <v>0</v>
      </c>
      <c r="P16" s="18">
        <f t="shared" si="12"/>
        <v>0</v>
      </c>
      <c r="Q16" s="18">
        <f t="shared" si="12"/>
        <v>0</v>
      </c>
    </row>
    <row r="17" spans="2:17">
      <c r="B17" s="40" t="str">
        <f>"% of "&amp;$B$4</f>
        <v>% of Revenue</v>
      </c>
      <c r="C17" s="212">
        <f>IFERROR(C16/C$4,0)</f>
        <v>0</v>
      </c>
      <c r="D17" s="212">
        <f t="shared" ref="D17:G17" si="13">D16/D$4</f>
        <v>0</v>
      </c>
      <c r="E17" s="212">
        <f t="shared" si="13"/>
        <v>0</v>
      </c>
      <c r="F17" s="212">
        <f t="shared" si="13"/>
        <v>0</v>
      </c>
      <c r="G17" s="212">
        <f t="shared" si="13"/>
        <v>0</v>
      </c>
      <c r="H17" s="28">
        <f>Assumptions!I$147</f>
        <v>0</v>
      </c>
      <c r="I17" s="28">
        <f>Assumptions!J$147</f>
        <v>0</v>
      </c>
      <c r="J17" s="28">
        <f>Assumptions!K$147</f>
        <v>0</v>
      </c>
      <c r="K17" s="28">
        <f>Assumptions!L$147</f>
        <v>0</v>
      </c>
      <c r="L17" s="28">
        <f>Assumptions!M$147</f>
        <v>0</v>
      </c>
      <c r="M17" s="28">
        <f>Assumptions!N$147</f>
        <v>0</v>
      </c>
      <c r="N17" s="28">
        <f>Assumptions!O$147</f>
        <v>0</v>
      </c>
      <c r="O17" s="28">
        <f>Assumptions!P$147</f>
        <v>0</v>
      </c>
      <c r="P17" s="28">
        <f>Assumptions!Q$147</f>
        <v>0</v>
      </c>
      <c r="Q17" s="28">
        <f>Assumptions!R$147</f>
        <v>0</v>
      </c>
    </row>
    <row r="18" spans="2:17">
      <c r="B18" s="39"/>
      <c r="C18" s="201"/>
      <c r="D18" s="201"/>
      <c r="E18" s="201"/>
      <c r="F18" s="201"/>
      <c r="G18" s="201"/>
      <c r="H18" s="18"/>
      <c r="I18" s="18"/>
      <c r="J18" s="18"/>
      <c r="K18" s="18"/>
      <c r="L18" s="18"/>
      <c r="M18" s="18"/>
      <c r="N18" s="18"/>
      <c r="O18" s="18"/>
      <c r="P18" s="18"/>
      <c r="Q18" s="18"/>
    </row>
    <row r="19" spans="2:17">
      <c r="B19" s="39" t="str">
        <f>Assumptions!B150</f>
        <v>Operating Expenses</v>
      </c>
      <c r="C19" s="201">
        <f>Assumptions!D150</f>
        <v>1959</v>
      </c>
      <c r="D19" s="201">
        <f>Assumptions!E150</f>
        <v>2481</v>
      </c>
      <c r="E19" s="201">
        <f>Assumptions!F150</f>
        <v>2278</v>
      </c>
      <c r="F19" s="201">
        <f>Assumptions!G150</f>
        <v>2306</v>
      </c>
      <c r="G19" s="201">
        <f>Assumptions!H150</f>
        <v>1737</v>
      </c>
      <c r="H19" s="18">
        <f>H$4*H20</f>
        <v>2485.8062033547785</v>
      </c>
      <c r="I19" s="18">
        <f t="shared" ref="I19:Q19" si="14">I$4*I20</f>
        <v>2560.3803894554221</v>
      </c>
      <c r="J19" s="18">
        <f t="shared" si="14"/>
        <v>2637.1918011390849</v>
      </c>
      <c r="K19" s="18">
        <f t="shared" si="14"/>
        <v>2716.3075551732572</v>
      </c>
      <c r="L19" s="18">
        <f t="shared" si="14"/>
        <v>2797.7967818284546</v>
      </c>
      <c r="M19" s="18">
        <f t="shared" si="14"/>
        <v>0</v>
      </c>
      <c r="N19" s="18">
        <f t="shared" si="14"/>
        <v>0</v>
      </c>
      <c r="O19" s="18">
        <f t="shared" si="14"/>
        <v>0</v>
      </c>
      <c r="P19" s="18">
        <f t="shared" si="14"/>
        <v>0</v>
      </c>
      <c r="Q19" s="18">
        <f t="shared" si="14"/>
        <v>0</v>
      </c>
    </row>
    <row r="20" spans="2:17">
      <c r="B20" s="40" t="str">
        <f>"% of "&amp;$B$4</f>
        <v>% of Revenue</v>
      </c>
      <c r="C20" s="212">
        <f>IFERROR(C19/C$4,0)</f>
        <v>4.6197382384152809E-2</v>
      </c>
      <c r="D20" s="212">
        <f t="shared" ref="D20:G20" si="15">D19/D$4</f>
        <v>5.7450503647099686E-2</v>
      </c>
      <c r="E20" s="212">
        <f t="shared" si="15"/>
        <v>4.8417607175497888E-2</v>
      </c>
      <c r="F20" s="212">
        <f t="shared" si="15"/>
        <v>4.3279156187830785E-2</v>
      </c>
      <c r="G20" s="212">
        <f t="shared" si="15"/>
        <v>3.2847336472457023E-2</v>
      </c>
      <c r="H20" s="28">
        <f>Assumptions!I$151</f>
        <v>4.563839717340764E-2</v>
      </c>
      <c r="I20" s="28">
        <f>Assumptions!J$151</f>
        <v>4.563839717340764E-2</v>
      </c>
      <c r="J20" s="28">
        <f>Assumptions!K$151</f>
        <v>4.563839717340764E-2</v>
      </c>
      <c r="K20" s="28">
        <f>Assumptions!L$151</f>
        <v>4.563839717340764E-2</v>
      </c>
      <c r="L20" s="28">
        <f>Assumptions!M$151</f>
        <v>4.563839717340764E-2</v>
      </c>
      <c r="M20" s="28">
        <f>Assumptions!N$151</f>
        <v>0</v>
      </c>
      <c r="N20" s="28">
        <f>Assumptions!O$151</f>
        <v>0</v>
      </c>
      <c r="O20" s="28">
        <f>Assumptions!P$151</f>
        <v>0</v>
      </c>
      <c r="P20" s="28">
        <f>Assumptions!Q$151</f>
        <v>0</v>
      </c>
      <c r="Q20" s="28">
        <f>Assumptions!R$151</f>
        <v>0</v>
      </c>
    </row>
    <row r="21" spans="2:17">
      <c r="B21" s="39"/>
      <c r="C21" s="206"/>
      <c r="D21" s="206"/>
      <c r="E21" s="206"/>
      <c r="F21" s="206"/>
      <c r="G21" s="206"/>
    </row>
    <row r="22" spans="2:17">
      <c r="B22" s="37" t="s">
        <v>253</v>
      </c>
      <c r="C22" s="213">
        <f>C12+C16-C19</f>
        <v>3063</v>
      </c>
      <c r="D22" s="213">
        <f t="shared" ref="D22:Q22" si="16">D12+D16-D19</f>
        <v>2903</v>
      </c>
      <c r="E22" s="213">
        <f t="shared" si="16"/>
        <v>4248</v>
      </c>
      <c r="F22" s="213">
        <f t="shared" si="16"/>
        <v>4362</v>
      </c>
      <c r="G22" s="213">
        <f t="shared" si="16"/>
        <v>894</v>
      </c>
      <c r="H22" s="25">
        <f t="shared" si="16"/>
        <v>3578.6788957337239</v>
      </c>
      <c r="I22" s="25">
        <f t="shared" si="16"/>
        <v>3686.0392626057364</v>
      </c>
      <c r="J22" s="25">
        <f t="shared" si="16"/>
        <v>3796.6204404839114</v>
      </c>
      <c r="K22" s="25">
        <f t="shared" si="16"/>
        <v>3910.5190536984273</v>
      </c>
      <c r="L22" s="25">
        <f t="shared" si="16"/>
        <v>4027.8346253093819</v>
      </c>
      <c r="M22" s="25">
        <f t="shared" si="16"/>
        <v>0</v>
      </c>
      <c r="N22" s="25">
        <f t="shared" si="16"/>
        <v>0</v>
      </c>
      <c r="O22" s="25">
        <f t="shared" si="16"/>
        <v>0</v>
      </c>
      <c r="P22" s="25">
        <f t="shared" si="16"/>
        <v>0</v>
      </c>
      <c r="Q22" s="25">
        <f t="shared" si="16"/>
        <v>0</v>
      </c>
    </row>
    <row r="23" spans="2:17" ht="12" thickBot="1">
      <c r="B23" s="38" t="str">
        <f>"% of "&amp;$B$4</f>
        <v>% of Revenue</v>
      </c>
      <c r="C23" s="215">
        <f>IFERROR(C22/C$4,0)</f>
        <v>7.2232048107534488E-2</v>
      </c>
      <c r="D23" s="215">
        <f t="shared" ref="D23:G23" si="17">D22/D$4</f>
        <v>6.7222415190459656E-2</v>
      </c>
      <c r="E23" s="215">
        <f t="shared" si="17"/>
        <v>9.0288847796977614E-2</v>
      </c>
      <c r="F23" s="215">
        <f t="shared" si="17"/>
        <v>8.1866296310198566E-2</v>
      </c>
      <c r="G23" s="215">
        <f t="shared" si="17"/>
        <v>1.6905883020366483E-2</v>
      </c>
      <c r="H23" s="26">
        <f>IFERROR(H22/H$4,0)</f>
        <v>6.570309808510745E-2</v>
      </c>
      <c r="I23" s="26">
        <f t="shared" ref="I23:Q23" si="18">IFERROR(I22/I$4,0)</f>
        <v>6.570309808510745E-2</v>
      </c>
      <c r="J23" s="26">
        <f t="shared" si="18"/>
        <v>6.5703098085107506E-2</v>
      </c>
      <c r="K23" s="26">
        <f t="shared" si="18"/>
        <v>6.5703098085107478E-2</v>
      </c>
      <c r="L23" s="26">
        <f t="shared" si="18"/>
        <v>6.5703098085107506E-2</v>
      </c>
      <c r="M23" s="26">
        <f t="shared" si="18"/>
        <v>0</v>
      </c>
      <c r="N23" s="26">
        <f t="shared" si="18"/>
        <v>0</v>
      </c>
      <c r="O23" s="26">
        <f t="shared" si="18"/>
        <v>0</v>
      </c>
      <c r="P23" s="26">
        <f t="shared" si="18"/>
        <v>0</v>
      </c>
      <c r="Q23" s="26">
        <f t="shared" si="18"/>
        <v>0</v>
      </c>
    </row>
    <row r="24" spans="2:17">
      <c r="B24" s="39"/>
      <c r="C24" s="206"/>
      <c r="D24" s="206"/>
      <c r="E24" s="206"/>
      <c r="F24" s="206"/>
      <c r="G24" s="206"/>
    </row>
    <row r="25" spans="2:17">
      <c r="B25" s="39" t="str">
        <f>Assumptions!B154</f>
        <v>Non-Operating (Income) Loss</v>
      </c>
      <c r="C25" s="201">
        <f>Assumptions!D154</f>
        <v>632</v>
      </c>
      <c r="D25" s="201">
        <f>Assumptions!E154</f>
        <v>239</v>
      </c>
      <c r="E25" s="201">
        <f>Assumptions!F154</f>
        <v>207</v>
      </c>
      <c r="F25" s="201">
        <f>Assumptions!G154</f>
        <v>213</v>
      </c>
      <c r="G25" s="201">
        <f>Assumptions!H154</f>
        <v>1572</v>
      </c>
      <c r="H25" s="18">
        <f>+Assumptions!I$154+H4*Assumptions!$I$167+H4*Assumptions!I$169</f>
        <v>527.35295705462818</v>
      </c>
      <c r="I25" s="18">
        <f>+Assumptions!J$154+I4*Assumptions!$I$167+I4*Assumptions!J$169</f>
        <v>515.97718059606291</v>
      </c>
      <c r="J25" s="18">
        <f>+Assumptions!K$154+J4*Assumptions!$I$167+J4*Assumptions!K$169</f>
        <v>521.95051831558226</v>
      </c>
      <c r="K25" s="18">
        <f>+Assumptions!L$154+K4*Assumptions!$I$167+K4*Assumptions!L$169</f>
        <v>539.2264100449022</v>
      </c>
      <c r="L25" s="18">
        <f>+Assumptions!M$154+L4*Assumptions!$I$167+L4*Assumptions!M$169</f>
        <v>551.3929095530342</v>
      </c>
      <c r="M25" s="18">
        <f>+Assumptions!N$154+M4*Assumptions!$I$167+M4*Assumptions!N$169</f>
        <v>0</v>
      </c>
      <c r="N25" s="18">
        <f>+Assumptions!O$154+N4*Assumptions!$I$167+N4*Assumptions!O$169</f>
        <v>0</v>
      </c>
      <c r="O25" s="18">
        <f>+Assumptions!P$154+O4*Assumptions!$I$167+O4*Assumptions!P$169</f>
        <v>0</v>
      </c>
      <c r="P25" s="18">
        <f>+Assumptions!Q$154+P4*Assumptions!$I$167+P4*Assumptions!Q$169</f>
        <v>0</v>
      </c>
      <c r="Q25" s="18">
        <f>+Assumptions!R$154+Q4*Assumptions!$I$167+Q4*Assumptions!R$169</f>
        <v>0</v>
      </c>
    </row>
    <row r="26" spans="2:17">
      <c r="B26" s="40" t="str">
        <f>"% of "&amp;$B$4</f>
        <v>% of Revenue</v>
      </c>
      <c r="C26" s="212">
        <f>IFERROR(C25/C$4,0)</f>
        <v>1.4903902841646033E-2</v>
      </c>
      <c r="D26" s="212">
        <f t="shared" ref="D26:G26" si="19">D25/D$4</f>
        <v>5.5343290494384622E-3</v>
      </c>
      <c r="E26" s="212">
        <f t="shared" si="19"/>
        <v>4.3996684307849266E-3</v>
      </c>
      <c r="F26" s="212">
        <f t="shared" si="19"/>
        <v>3.9975976877744826E-3</v>
      </c>
      <c r="G26" s="212">
        <f t="shared" si="19"/>
        <v>2.9727123163328983E-2</v>
      </c>
      <c r="H26" s="28">
        <f>IFERROR(H25/H$4,0)</f>
        <v>9.6819871445123842E-3</v>
      </c>
      <c r="I26" s="28">
        <f t="shared" ref="I26:Q26" si="20">IFERROR(I25/I$4,0)</f>
        <v>9.1972160064336395E-3</v>
      </c>
      <c r="J26" s="28">
        <f t="shared" si="20"/>
        <v>9.0327085991483442E-3</v>
      </c>
      <c r="K26" s="28">
        <f t="shared" si="20"/>
        <v>9.0598831568799738E-3</v>
      </c>
      <c r="L26" s="28">
        <f t="shared" si="20"/>
        <v>8.9944662057750441E-3</v>
      </c>
      <c r="M26" s="28">
        <f t="shared" si="20"/>
        <v>0</v>
      </c>
      <c r="N26" s="28">
        <f t="shared" si="20"/>
        <v>0</v>
      </c>
      <c r="O26" s="28">
        <f t="shared" si="20"/>
        <v>0</v>
      </c>
      <c r="P26" s="28">
        <f t="shared" si="20"/>
        <v>0</v>
      </c>
      <c r="Q26" s="28">
        <f t="shared" si="20"/>
        <v>0</v>
      </c>
    </row>
    <row r="27" spans="2:17">
      <c r="B27" s="39"/>
      <c r="C27" s="206"/>
      <c r="D27" s="206"/>
      <c r="E27" s="206"/>
      <c r="F27" s="206"/>
      <c r="G27" s="206"/>
    </row>
    <row r="28" spans="2:17">
      <c r="B28" s="37" t="s">
        <v>254</v>
      </c>
      <c r="C28" s="213">
        <f>C22-C25</f>
        <v>2431</v>
      </c>
      <c r="D28" s="213">
        <f t="shared" ref="D28:Q28" si="21">D22-D25</f>
        <v>2664</v>
      </c>
      <c r="E28" s="213">
        <f t="shared" si="21"/>
        <v>4041</v>
      </c>
      <c r="F28" s="213">
        <f t="shared" si="21"/>
        <v>4149</v>
      </c>
      <c r="G28" s="213">
        <f t="shared" si="21"/>
        <v>-678</v>
      </c>
      <c r="H28" s="25">
        <f t="shared" si="21"/>
        <v>3051.325938679096</v>
      </c>
      <c r="I28" s="25">
        <f t="shared" si="21"/>
        <v>3170.0620820096738</v>
      </c>
      <c r="J28" s="25">
        <f t="shared" si="21"/>
        <v>3274.6699221683293</v>
      </c>
      <c r="K28" s="25">
        <f t="shared" si="21"/>
        <v>3371.2926436535254</v>
      </c>
      <c r="L28" s="25">
        <f t="shared" si="21"/>
        <v>3476.4417157563475</v>
      </c>
      <c r="M28" s="25">
        <f t="shared" si="21"/>
        <v>0</v>
      </c>
      <c r="N28" s="25">
        <f t="shared" si="21"/>
        <v>0</v>
      </c>
      <c r="O28" s="25">
        <f t="shared" si="21"/>
        <v>0</v>
      </c>
      <c r="P28" s="25">
        <f t="shared" si="21"/>
        <v>0</v>
      </c>
      <c r="Q28" s="25">
        <f t="shared" si="21"/>
        <v>0</v>
      </c>
    </row>
    <row r="29" spans="2:17" ht="12" thickBot="1">
      <c r="B29" s="38" t="str">
        <f>"% of "&amp;$B$4</f>
        <v>% of Revenue</v>
      </c>
      <c r="C29" s="215">
        <f>IFERROR(C28/C$4,0)</f>
        <v>5.7328145265888454E-2</v>
      </c>
      <c r="D29" s="215">
        <f t="shared" ref="D29:G29" si="22">D28/D$4</f>
        <v>6.1688086141021191E-2</v>
      </c>
      <c r="E29" s="215">
        <f t="shared" si="22"/>
        <v>8.5889179366192697E-2</v>
      </c>
      <c r="F29" s="215">
        <f t="shared" si="22"/>
        <v>7.7868698622424085E-2</v>
      </c>
      <c r="G29" s="215">
        <f t="shared" si="22"/>
        <v>-1.2821240142962501E-2</v>
      </c>
      <c r="H29" s="26">
        <f>IFERROR(H28/H$4,0)</f>
        <v>5.6021110940595066E-2</v>
      </c>
      <c r="I29" s="26">
        <f t="shared" ref="I29:Q29" si="23">IFERROR(I28/I$4,0)</f>
        <v>5.6505882078673825E-2</v>
      </c>
      <c r="J29" s="26">
        <f t="shared" si="23"/>
        <v>5.6670389485959163E-2</v>
      </c>
      <c r="K29" s="26">
        <f t="shared" si="23"/>
        <v>5.6643214928227513E-2</v>
      </c>
      <c r="L29" s="26">
        <f t="shared" si="23"/>
        <v>5.6708631879332463E-2</v>
      </c>
      <c r="M29" s="26">
        <f t="shared" si="23"/>
        <v>0</v>
      </c>
      <c r="N29" s="26">
        <f t="shared" si="23"/>
        <v>0</v>
      </c>
      <c r="O29" s="26">
        <f t="shared" si="23"/>
        <v>0</v>
      </c>
      <c r="P29" s="26">
        <f t="shared" si="23"/>
        <v>0</v>
      </c>
      <c r="Q29" s="26">
        <f t="shared" si="23"/>
        <v>0</v>
      </c>
    </row>
    <row r="30" spans="2:17">
      <c r="B30" s="39"/>
      <c r="C30" s="206"/>
      <c r="D30" s="206"/>
      <c r="E30" s="206"/>
      <c r="F30" s="206"/>
      <c r="G30" s="206"/>
    </row>
    <row r="31" spans="2:17">
      <c r="B31" s="39" t="str">
        <f>Assumptions!B172</f>
        <v>Income Tax Expense (Benefit)</v>
      </c>
      <c r="C31" s="201">
        <f>Assumptions!D172</f>
        <v>396</v>
      </c>
      <c r="D31" s="201">
        <f>Assumptions!E172</f>
        <v>593</v>
      </c>
      <c r="E31" s="201">
        <f>Assumptions!F172</f>
        <v>981</v>
      </c>
      <c r="F31" s="201">
        <f>Assumptions!G172</f>
        <v>900</v>
      </c>
      <c r="G31" s="201">
        <f>Assumptions!H172</f>
        <v>-29</v>
      </c>
      <c r="H31" s="18">
        <f>H28*Assumptions!I174</f>
        <v>640.77844712261015</v>
      </c>
      <c r="I31" s="18">
        <f>I28*Assumptions!J174</f>
        <v>665.71303722203152</v>
      </c>
      <c r="J31" s="18">
        <f>J28*Assumptions!K174</f>
        <v>687.68068365534918</v>
      </c>
      <c r="K31" s="18">
        <f>K28*Assumptions!L174</f>
        <v>707.97145516724026</v>
      </c>
      <c r="L31" s="18">
        <f>L28*Assumptions!M174</f>
        <v>730.05276030883294</v>
      </c>
      <c r="M31" s="18">
        <f>M28*Assumptions!N174</f>
        <v>0</v>
      </c>
      <c r="N31" s="18">
        <f>N28*Assumptions!O174</f>
        <v>0</v>
      </c>
      <c r="O31" s="18">
        <f>O28*Assumptions!P174</f>
        <v>0</v>
      </c>
      <c r="P31" s="18">
        <f>P28*Assumptions!Q174</f>
        <v>0</v>
      </c>
      <c r="Q31" s="18">
        <f>Q28*Assumptions!R174</f>
        <v>0</v>
      </c>
    </row>
    <row r="32" spans="2:17">
      <c r="B32" s="40" t="str">
        <f>"% of "&amp;$B$4</f>
        <v>% of Revenue</v>
      </c>
      <c r="C32" s="212">
        <f>IFERROR(C31/C$4,0)</f>
        <v>9.3385214007782099E-3</v>
      </c>
      <c r="D32" s="212">
        <f t="shared" ref="D32:G32" si="24">D31/D$4</f>
        <v>1.3731619775384972E-2</v>
      </c>
      <c r="E32" s="212">
        <f t="shared" si="24"/>
        <v>2.0850602563285085E-2</v>
      </c>
      <c r="F32" s="212">
        <f t="shared" si="24"/>
        <v>1.6891257835666831E-2</v>
      </c>
      <c r="G32" s="212">
        <f t="shared" si="24"/>
        <v>-5.4840112705886799E-4</v>
      </c>
      <c r="H32" s="28">
        <f>IFERROR(H31/H$4,0)</f>
        <v>1.1764433297524964E-2</v>
      </c>
      <c r="I32" s="28">
        <f t="shared" ref="I32:Q32" si="25">IFERROR(I31/I$4,0)</f>
        <v>1.1866235236521503E-2</v>
      </c>
      <c r="J32" s="28">
        <f t="shared" si="25"/>
        <v>1.1900781792051425E-2</v>
      </c>
      <c r="K32" s="28">
        <f t="shared" si="25"/>
        <v>1.1895075134927777E-2</v>
      </c>
      <c r="L32" s="28">
        <f t="shared" si="25"/>
        <v>1.1908812694659817E-2</v>
      </c>
      <c r="M32" s="28">
        <f t="shared" si="25"/>
        <v>0</v>
      </c>
      <c r="N32" s="28">
        <f t="shared" si="25"/>
        <v>0</v>
      </c>
      <c r="O32" s="28">
        <f t="shared" si="25"/>
        <v>0</v>
      </c>
      <c r="P32" s="28">
        <f t="shared" si="25"/>
        <v>0</v>
      </c>
      <c r="Q32" s="28">
        <f t="shared" si="25"/>
        <v>0</v>
      </c>
    </row>
    <row r="33" spans="2:17">
      <c r="B33" s="40"/>
      <c r="C33" s="212"/>
      <c r="D33" s="212"/>
      <c r="E33" s="212"/>
      <c r="F33" s="212"/>
      <c r="G33" s="212"/>
      <c r="H33" s="28"/>
      <c r="I33" s="28"/>
      <c r="J33" s="28"/>
      <c r="K33" s="28"/>
      <c r="L33" s="28"/>
      <c r="M33" s="28"/>
      <c r="N33" s="28"/>
      <c r="O33" s="28"/>
      <c r="P33" s="28"/>
      <c r="Q33" s="28"/>
    </row>
    <row r="34" spans="2:17">
      <c r="B34" s="39" t="str">
        <f>Assumptions!B177</f>
        <v>Miscellaneous After Tax Expenditures</v>
      </c>
      <c r="C34" s="201">
        <f>Assumptions!D177</f>
        <v>13</v>
      </c>
      <c r="D34" s="201">
        <f>Assumptions!E177</f>
        <v>10</v>
      </c>
      <c r="E34" s="201">
        <f>Assumptions!F177</f>
        <v>13</v>
      </c>
      <c r="F34" s="201">
        <f>Assumptions!G177</f>
        <v>11</v>
      </c>
      <c r="G34" s="201">
        <f>Assumptions!H177</f>
        <v>-1</v>
      </c>
      <c r="H34" s="18">
        <f>H$4*H35</f>
        <v>10.91500618043165</v>
      </c>
      <c r="I34" s="18">
        <f t="shared" ref="I34:Q34" si="26">I$4*I35</f>
        <v>11.2424563658446</v>
      </c>
      <c r="J34" s="18">
        <f t="shared" si="26"/>
        <v>11.579730056819939</v>
      </c>
      <c r="K34" s="18">
        <f t="shared" si="26"/>
        <v>11.927121958524536</v>
      </c>
      <c r="L34" s="18">
        <f t="shared" si="26"/>
        <v>12.284935617280272</v>
      </c>
      <c r="M34" s="18">
        <f t="shared" si="26"/>
        <v>0</v>
      </c>
      <c r="N34" s="18">
        <f t="shared" si="26"/>
        <v>0</v>
      </c>
      <c r="O34" s="18">
        <f t="shared" si="26"/>
        <v>0</v>
      </c>
      <c r="P34" s="18">
        <f t="shared" si="26"/>
        <v>0</v>
      </c>
      <c r="Q34" s="18">
        <f t="shared" si="26"/>
        <v>0</v>
      </c>
    </row>
    <row r="35" spans="2:17">
      <c r="B35" s="40" t="str">
        <f>"% of "&amp;$B$4</f>
        <v>% of Revenue</v>
      </c>
      <c r="C35" s="212">
        <f>IFERROR(C34/C$4,0)</f>
        <v>3.0656762174271904E-4</v>
      </c>
      <c r="D35" s="212">
        <f t="shared" ref="D35:G35" si="27">D34/D$4</f>
        <v>2.3156188491374319E-4</v>
      </c>
      <c r="E35" s="212">
        <f t="shared" si="27"/>
        <v>2.7630767922803883E-4</v>
      </c>
      <c r="F35" s="212">
        <f t="shared" si="27"/>
        <v>2.0644870688037235E-4</v>
      </c>
      <c r="G35" s="212">
        <f t="shared" si="27"/>
        <v>-1.8910383691685104E-5</v>
      </c>
      <c r="H35" s="28">
        <f>Assumptions!I178</f>
        <v>2.0039510181463766E-4</v>
      </c>
      <c r="I35" s="28">
        <f>Assumptions!J178</f>
        <v>2.0039510181463766E-4</v>
      </c>
      <c r="J35" s="28">
        <f>Assumptions!K178</f>
        <v>2.0039510181463766E-4</v>
      </c>
      <c r="K35" s="28">
        <f>Assumptions!L178</f>
        <v>2.0039510181463766E-4</v>
      </c>
      <c r="L35" s="28">
        <f>Assumptions!M178</f>
        <v>2.0039510181463766E-4</v>
      </c>
      <c r="M35" s="28">
        <f>Assumptions!N178</f>
        <v>0</v>
      </c>
      <c r="N35" s="28">
        <f>Assumptions!O178</f>
        <v>0</v>
      </c>
      <c r="O35" s="28">
        <f>Assumptions!P178</f>
        <v>0</v>
      </c>
      <c r="P35" s="28">
        <f>Assumptions!Q178</f>
        <v>0</v>
      </c>
      <c r="Q35" s="28">
        <f>Assumptions!R178</f>
        <v>0</v>
      </c>
    </row>
    <row r="36" spans="2:17">
      <c r="B36" s="39"/>
      <c r="C36" s="206"/>
      <c r="D36" s="206"/>
      <c r="E36" s="206"/>
      <c r="F36" s="206"/>
      <c r="G36" s="206"/>
    </row>
    <row r="37" spans="2:17">
      <c r="B37" s="24" t="s">
        <v>255</v>
      </c>
      <c r="C37" s="213">
        <f>C28-C31-C34</f>
        <v>2022</v>
      </c>
      <c r="D37" s="213">
        <f t="shared" ref="D37:Q37" si="28">D28-D31-D34</f>
        <v>2061</v>
      </c>
      <c r="E37" s="213">
        <f t="shared" si="28"/>
        <v>3047</v>
      </c>
      <c r="F37" s="213">
        <f t="shared" si="28"/>
        <v>3238</v>
      </c>
      <c r="G37" s="213">
        <f t="shared" si="28"/>
        <v>-648</v>
      </c>
      <c r="H37" s="25">
        <f t="shared" si="28"/>
        <v>2399.6324853760543</v>
      </c>
      <c r="I37" s="25">
        <f t="shared" si="28"/>
        <v>2493.1065884217974</v>
      </c>
      <c r="J37" s="25">
        <f t="shared" si="28"/>
        <v>2575.40950845616</v>
      </c>
      <c r="K37" s="25">
        <f t="shared" si="28"/>
        <v>2651.3940665277605</v>
      </c>
      <c r="L37" s="25">
        <f t="shared" si="28"/>
        <v>2734.1040198302344</v>
      </c>
      <c r="M37" s="25">
        <f t="shared" si="28"/>
        <v>0</v>
      </c>
      <c r="N37" s="25">
        <f t="shared" si="28"/>
        <v>0</v>
      </c>
      <c r="O37" s="25">
        <f t="shared" si="28"/>
        <v>0</v>
      </c>
      <c r="P37" s="25">
        <f t="shared" si="28"/>
        <v>0</v>
      </c>
      <c r="Q37" s="25">
        <f t="shared" si="28"/>
        <v>0</v>
      </c>
    </row>
    <row r="38" spans="2:17">
      <c r="B38" s="27" t="str">
        <f>"% of "&amp;$B$4</f>
        <v>% of Revenue</v>
      </c>
      <c r="C38" s="214">
        <f>IFERROR(C37/C$4,0)</f>
        <v>4.7683056243367529E-2</v>
      </c>
      <c r="D38" s="214">
        <f t="shared" ref="D38:G38" si="29">D37/D$4</f>
        <v>4.7724904480722474E-2</v>
      </c>
      <c r="E38" s="214">
        <f t="shared" si="29"/>
        <v>6.4762269123679564E-2</v>
      </c>
      <c r="F38" s="214">
        <f t="shared" si="29"/>
        <v>6.0770992079876879E-2</v>
      </c>
      <c r="G38" s="214">
        <f t="shared" si="29"/>
        <v>-1.2253928632211947E-2</v>
      </c>
      <c r="H38" s="149">
        <f>IFERROR(H37/H$4,0)</f>
        <v>4.4056282541255466E-2</v>
      </c>
      <c r="I38" s="149">
        <f t="shared" ref="I38:Q38" si="30">IFERROR(I37/I$4,0)</f>
        <v>4.4439251740337679E-2</v>
      </c>
      <c r="J38" s="149">
        <f t="shared" si="30"/>
        <v>4.4569212592093101E-2</v>
      </c>
      <c r="K38" s="149">
        <f t="shared" si="30"/>
        <v>4.4547744691485099E-2</v>
      </c>
      <c r="L38" s="149">
        <f t="shared" si="30"/>
        <v>4.4599424082858011E-2</v>
      </c>
      <c r="M38" s="149">
        <f t="shared" si="30"/>
        <v>0</v>
      </c>
      <c r="N38" s="149">
        <f t="shared" si="30"/>
        <v>0</v>
      </c>
      <c r="O38" s="149">
        <f t="shared" si="30"/>
        <v>0</v>
      </c>
      <c r="P38" s="149">
        <f t="shared" si="30"/>
        <v>0</v>
      </c>
      <c r="Q38" s="149">
        <f t="shared" si="30"/>
        <v>0</v>
      </c>
    </row>
    <row r="39" spans="2:17" ht="12" thickBot="1">
      <c r="B39" s="33" t="s">
        <v>251</v>
      </c>
      <c r="C39" s="216"/>
      <c r="D39" s="216">
        <f>D37/C37-1</f>
        <v>1.928783382789323E-2</v>
      </c>
      <c r="E39" s="216">
        <f t="shared" ref="E39:G39" si="31">E37/D37-1</f>
        <v>0.47840853954391083</v>
      </c>
      <c r="F39" s="216">
        <f t="shared" si="31"/>
        <v>6.2684607810961523E-2</v>
      </c>
      <c r="G39" s="216">
        <f t="shared" si="31"/>
        <v>-1.2001235330450895</v>
      </c>
      <c r="H39" s="34">
        <f>IF(H$3="",0,H37/G37-1)</f>
        <v>-4.7031365515062564</v>
      </c>
      <c r="I39" s="34">
        <f t="shared" ref="I39:Q39" si="32">IF(I$3="",0,I37/H37-1)</f>
        <v>3.8953507928983777E-2</v>
      </c>
      <c r="J39" s="34">
        <f t="shared" si="32"/>
        <v>3.3012194671733885E-2</v>
      </c>
      <c r="K39" s="34">
        <f t="shared" si="32"/>
        <v>2.9503874169180211E-2</v>
      </c>
      <c r="L39" s="34">
        <f t="shared" si="32"/>
        <v>3.1194892659162532E-2</v>
      </c>
      <c r="M39" s="34">
        <f t="shared" si="32"/>
        <v>0</v>
      </c>
      <c r="N39" s="34">
        <f t="shared" si="32"/>
        <v>0</v>
      </c>
      <c r="O39" s="34">
        <f t="shared" si="32"/>
        <v>0</v>
      </c>
      <c r="P39" s="34">
        <f t="shared" si="32"/>
        <v>0</v>
      </c>
      <c r="Q39" s="34">
        <f t="shared" si="32"/>
        <v>0</v>
      </c>
    </row>
    <row r="40" spans="2:17" ht="12" thickTop="1"/>
    <row r="42" spans="2:17">
      <c r="B42" s="42" t="s">
        <v>256</v>
      </c>
      <c r="C42" s="42"/>
      <c r="D42" s="42"/>
      <c r="E42" s="42"/>
      <c r="F42" s="42"/>
      <c r="G42" s="42"/>
      <c r="H42" s="42"/>
      <c r="I42" s="42"/>
      <c r="J42" s="42"/>
      <c r="K42" s="42"/>
      <c r="L42" s="42"/>
      <c r="M42" s="42"/>
      <c r="N42" s="42"/>
      <c r="O42" s="42"/>
      <c r="P42" s="42"/>
      <c r="Q42" s="42"/>
    </row>
    <row r="43" spans="2:17">
      <c r="B43" s="14" t="str">
        <f>B$22</f>
        <v>Operating Income (Loss) ~ EBIT</v>
      </c>
      <c r="C43" s="19">
        <f>C$22</f>
        <v>3063</v>
      </c>
      <c r="D43" s="19">
        <f t="shared" ref="D43:Q43" si="33">D$22</f>
        <v>2903</v>
      </c>
      <c r="E43" s="19">
        <f t="shared" si="33"/>
        <v>4248</v>
      </c>
      <c r="F43" s="19">
        <f t="shared" si="33"/>
        <v>4362</v>
      </c>
      <c r="G43" s="19">
        <f t="shared" si="33"/>
        <v>894</v>
      </c>
      <c r="H43" s="19">
        <f t="shared" si="33"/>
        <v>3578.6788957337239</v>
      </c>
      <c r="I43" s="19">
        <f t="shared" si="33"/>
        <v>3686.0392626057364</v>
      </c>
      <c r="J43" s="19">
        <f t="shared" si="33"/>
        <v>3796.6204404839114</v>
      </c>
      <c r="K43" s="19">
        <f t="shared" si="33"/>
        <v>3910.5190536984273</v>
      </c>
      <c r="L43" s="19">
        <f t="shared" si="33"/>
        <v>4027.8346253093819</v>
      </c>
      <c r="M43" s="19">
        <f t="shared" si="33"/>
        <v>0</v>
      </c>
      <c r="N43" s="19">
        <f t="shared" si="33"/>
        <v>0</v>
      </c>
      <c r="O43" s="19">
        <f t="shared" si="33"/>
        <v>0</v>
      </c>
      <c r="P43" s="19">
        <f t="shared" si="33"/>
        <v>0</v>
      </c>
      <c r="Q43" s="19">
        <f t="shared" si="33"/>
        <v>0</v>
      </c>
    </row>
    <row r="44" spans="2:17">
      <c r="B44" s="35" t="str">
        <f>Assumptions!B187</f>
        <v>Capital Expenditures</v>
      </c>
      <c r="C44" s="18">
        <f>Assumptions!D187</f>
        <v>1259</v>
      </c>
      <c r="D44" s="18">
        <f>Assumptions!E187</f>
        <v>1199</v>
      </c>
      <c r="E44" s="18">
        <f>Assumptions!F187</f>
        <v>1209</v>
      </c>
      <c r="F44" s="18">
        <f>Assumptions!G187</f>
        <v>1887</v>
      </c>
      <c r="G44" s="18">
        <f>Assumptions!H187</f>
        <v>1939</v>
      </c>
      <c r="H44" s="18">
        <f>H4*H45</f>
        <v>1691.0323300693508</v>
      </c>
      <c r="I44" s="18">
        <f t="shared" ref="I44:Q44" si="34">I4*I45</f>
        <v>1741.7632999714315</v>
      </c>
      <c r="J44" s="18">
        <f t="shared" si="34"/>
        <v>1794.0161989705744</v>
      </c>
      <c r="K44" s="18">
        <f t="shared" si="34"/>
        <v>1847.8366849396916</v>
      </c>
      <c r="L44" s="18">
        <f t="shared" si="34"/>
        <v>1903.2717854878824</v>
      </c>
      <c r="M44" s="18">
        <f t="shared" si="34"/>
        <v>0</v>
      </c>
      <c r="N44" s="18">
        <f t="shared" si="34"/>
        <v>0</v>
      </c>
      <c r="O44" s="18">
        <f t="shared" si="34"/>
        <v>0</v>
      </c>
      <c r="P44" s="18">
        <f t="shared" si="34"/>
        <v>0</v>
      </c>
      <c r="Q44" s="18">
        <f t="shared" si="34"/>
        <v>0</v>
      </c>
    </row>
    <row r="45" spans="2:17">
      <c r="B45" s="36" t="str">
        <f>"% of "&amp;$B$4</f>
        <v>% of Revenue</v>
      </c>
      <c r="C45" s="28">
        <f>IFERROR(C44/C$4,0)</f>
        <v>2.9689895059544866E-2</v>
      </c>
      <c r="D45" s="28">
        <f t="shared" ref="D45:G45" si="35">D44/D$4</f>
        <v>2.7764270001157811E-2</v>
      </c>
      <c r="E45" s="28">
        <f t="shared" si="35"/>
        <v>2.5696614168207614E-2</v>
      </c>
      <c r="F45" s="28">
        <f t="shared" si="35"/>
        <v>3.5415337262114786E-2</v>
      </c>
      <c r="G45" s="28">
        <f t="shared" si="35"/>
        <v>3.6667233978177415E-2</v>
      </c>
      <c r="H45" s="28">
        <f>Assumptions!I$188</f>
        <v>3.10466700938405E-2</v>
      </c>
      <c r="I45" s="28">
        <f>Assumptions!J188</f>
        <v>3.10466700938405E-2</v>
      </c>
      <c r="J45" s="28">
        <f>Assumptions!K188</f>
        <v>3.10466700938405E-2</v>
      </c>
      <c r="K45" s="28">
        <f>Assumptions!L188</f>
        <v>3.10466700938405E-2</v>
      </c>
      <c r="L45" s="28">
        <f>Assumptions!M188</f>
        <v>3.10466700938405E-2</v>
      </c>
      <c r="M45" s="28">
        <f>Assumptions!N188</f>
        <v>0</v>
      </c>
      <c r="N45" s="28">
        <f>Assumptions!O188</f>
        <v>0</v>
      </c>
      <c r="O45" s="28">
        <f>Assumptions!P188</f>
        <v>0</v>
      </c>
      <c r="P45" s="28">
        <f>Assumptions!Q188</f>
        <v>0</v>
      </c>
      <c r="Q45" s="28">
        <f>Assumptions!R188</f>
        <v>0</v>
      </c>
    </row>
    <row r="46" spans="2:17">
      <c r="B46" s="35"/>
      <c r="C46" s="18"/>
      <c r="D46" s="18"/>
      <c r="E46" s="18"/>
      <c r="F46" s="18"/>
      <c r="G46" s="18"/>
      <c r="H46" s="18"/>
      <c r="I46" s="18"/>
      <c r="J46" s="18"/>
      <c r="K46" s="18"/>
      <c r="L46" s="18"/>
      <c r="M46" s="18"/>
      <c r="N46" s="18"/>
      <c r="O46" s="18"/>
      <c r="P46" s="18"/>
      <c r="Q46" s="18"/>
    </row>
    <row r="47" spans="2:17">
      <c r="B47" s="35" t="str">
        <f>Assumptions!B191</f>
        <v>Depreciation and Amortization</v>
      </c>
      <c r="C47" s="18">
        <f>Assumptions!D191</f>
        <v>1098</v>
      </c>
      <c r="D47" s="18">
        <f>Assumptions!E191</f>
        <v>1192</v>
      </c>
      <c r="E47" s="18">
        <f>Assumptions!F191</f>
        <v>1214</v>
      </c>
      <c r="F47" s="18">
        <f>Assumptions!G191</f>
        <v>1202</v>
      </c>
      <c r="G47" s="18">
        <f>Assumptions!H191</f>
        <v>1339</v>
      </c>
      <c r="H47" s="18">
        <f>H44*H49</f>
        <v>1419.7806854166529</v>
      </c>
      <c r="I47" s="18">
        <f t="shared" ref="I47:Q47" si="36">I44*I49</f>
        <v>1462.3741059791525</v>
      </c>
      <c r="J47" s="18">
        <f t="shared" si="36"/>
        <v>1506.2453291585271</v>
      </c>
      <c r="K47" s="18">
        <f t="shared" si="36"/>
        <v>1551.4326890332829</v>
      </c>
      <c r="L47" s="18">
        <f>L44*L49</f>
        <v>1597.9756697042815</v>
      </c>
      <c r="M47" s="18">
        <f t="shared" si="36"/>
        <v>0</v>
      </c>
      <c r="N47" s="18">
        <f t="shared" si="36"/>
        <v>0</v>
      </c>
      <c r="O47" s="18">
        <f t="shared" si="36"/>
        <v>0</v>
      </c>
      <c r="P47" s="18">
        <f t="shared" si="36"/>
        <v>0</v>
      </c>
      <c r="Q47" s="18">
        <f t="shared" si="36"/>
        <v>0</v>
      </c>
    </row>
    <row r="48" spans="2:17">
      <c r="B48" s="36" t="str">
        <f>"% of "&amp;$B$4</f>
        <v>% of Revenue</v>
      </c>
      <c r="C48" s="28">
        <f>IFERROR(C47/C$4,0)</f>
        <v>2.5893172974885036E-2</v>
      </c>
      <c r="D48" s="28">
        <f t="shared" ref="D48:G48" si="37">D47/D$4</f>
        <v>2.7602176681718188E-2</v>
      </c>
      <c r="E48" s="28">
        <f t="shared" si="37"/>
        <v>2.5802886352526089E-2</v>
      </c>
      <c r="F48" s="28">
        <f t="shared" si="37"/>
        <v>2.2559213242746144E-2</v>
      </c>
      <c r="G48" s="28">
        <f t="shared" si="37"/>
        <v>2.5321003763166355E-2</v>
      </c>
      <c r="H48" s="28">
        <f>IFERROR(H47/H$4,0)</f>
        <v>2.6066599533274341E-2</v>
      </c>
      <c r="I48" s="28">
        <f t="shared" ref="I48:Q48" si="38">IFERROR(I47/I$4,0)</f>
        <v>2.6066599533274341E-2</v>
      </c>
      <c r="J48" s="28">
        <f t="shared" si="38"/>
        <v>2.6066599533274341E-2</v>
      </c>
      <c r="K48" s="28">
        <f t="shared" si="38"/>
        <v>2.6066599533274341E-2</v>
      </c>
      <c r="L48" s="28">
        <f t="shared" si="38"/>
        <v>2.6066599533274344E-2</v>
      </c>
      <c r="M48" s="28">
        <f t="shared" si="38"/>
        <v>0</v>
      </c>
      <c r="N48" s="28">
        <f t="shared" si="38"/>
        <v>0</v>
      </c>
      <c r="O48" s="28">
        <f t="shared" si="38"/>
        <v>0</v>
      </c>
      <c r="P48" s="28">
        <f t="shared" si="38"/>
        <v>0</v>
      </c>
      <c r="Q48" s="28">
        <f t="shared" si="38"/>
        <v>0</v>
      </c>
    </row>
    <row r="49" spans="2:17">
      <c r="B49" s="36" t="str">
        <f>"% of "&amp;B44</f>
        <v>% of Capital Expenditures</v>
      </c>
      <c r="C49" s="28">
        <f>IFERROR(C47/C44,0)</f>
        <v>0.87212073073868146</v>
      </c>
      <c r="D49" s="28">
        <f t="shared" ref="D49:G49" si="39">IFERROR(D47/D44,0)</f>
        <v>0.994161801501251</v>
      </c>
      <c r="E49" s="28">
        <f t="shared" si="39"/>
        <v>1.0041356492969395</v>
      </c>
      <c r="F49" s="28">
        <f t="shared" si="39"/>
        <v>0.63698993110757818</v>
      </c>
      <c r="G49" s="28">
        <f t="shared" si="39"/>
        <v>0.69056214543579164</v>
      </c>
      <c r="H49" s="28">
        <f>Assumptions!I$192</f>
        <v>0.83959405161604828</v>
      </c>
      <c r="I49" s="28">
        <f>Assumptions!J$192</f>
        <v>0.83959405161604828</v>
      </c>
      <c r="J49" s="28">
        <f>Assumptions!K$192</f>
        <v>0.83959405161604828</v>
      </c>
      <c r="K49" s="28">
        <f>Assumptions!L$192</f>
        <v>0.83959405161604828</v>
      </c>
      <c r="L49" s="28">
        <f>Assumptions!M$192</f>
        <v>0.83959405161604828</v>
      </c>
      <c r="M49" s="28">
        <f>Assumptions!N$192</f>
        <v>0</v>
      </c>
      <c r="N49" s="28">
        <f>Assumptions!O$192</f>
        <v>0</v>
      </c>
      <c r="O49" s="28">
        <f>Assumptions!P$192</f>
        <v>0</v>
      </c>
      <c r="P49" s="28">
        <f>Assumptions!Q$192</f>
        <v>0</v>
      </c>
      <c r="Q49" s="28">
        <f>Assumptions!R$192</f>
        <v>0</v>
      </c>
    </row>
    <row r="50" spans="2:17">
      <c r="B50" s="35"/>
      <c r="C50" s="18"/>
      <c r="D50" s="18"/>
      <c r="E50" s="18"/>
      <c r="F50" s="18"/>
      <c r="G50" s="18"/>
      <c r="H50" s="18"/>
      <c r="I50" s="18"/>
      <c r="J50" s="18"/>
      <c r="K50" s="18"/>
      <c r="L50" s="18"/>
      <c r="M50" s="18"/>
      <c r="N50" s="18"/>
      <c r="O50" s="18"/>
      <c r="P50" s="18"/>
      <c r="Q50" s="18"/>
    </row>
    <row r="51" spans="2:17">
      <c r="B51" s="35" t="str">
        <f>_xlfn.TEXTBEFORE(Assumptions!B195," [")</f>
        <v>Cost of Capitalized Leases</v>
      </c>
      <c r="C51" s="18">
        <f>Assumptions!D195</f>
        <v>0</v>
      </c>
      <c r="D51" s="18">
        <f>Assumptions!E195</f>
        <v>0</v>
      </c>
      <c r="E51" s="18">
        <f>Assumptions!F195</f>
        <v>0</v>
      </c>
      <c r="F51" s="18">
        <f>Assumptions!G195</f>
        <v>0</v>
      </c>
      <c r="G51" s="18">
        <f>Assumptions!H195</f>
        <v>0</v>
      </c>
      <c r="H51" s="18">
        <f>H$4*H52</f>
        <v>0</v>
      </c>
      <c r="I51" s="18">
        <f t="shared" ref="I51:Q51" si="40">I$4*I52</f>
        <v>0</v>
      </c>
      <c r="J51" s="18">
        <f t="shared" si="40"/>
        <v>0</v>
      </c>
      <c r="K51" s="18">
        <f t="shared" si="40"/>
        <v>0</v>
      </c>
      <c r="L51" s="18">
        <f t="shared" si="40"/>
        <v>0</v>
      </c>
      <c r="M51" s="18">
        <f t="shared" si="40"/>
        <v>0</v>
      </c>
      <c r="N51" s="18">
        <f t="shared" si="40"/>
        <v>0</v>
      </c>
      <c r="O51" s="18">
        <f t="shared" si="40"/>
        <v>0</v>
      </c>
      <c r="P51" s="18">
        <f t="shared" si="40"/>
        <v>0</v>
      </c>
      <c r="Q51" s="18">
        <f t="shared" si="40"/>
        <v>0</v>
      </c>
    </row>
    <row r="52" spans="2:17">
      <c r="B52" s="36" t="str">
        <f>"% of "&amp;$B$4</f>
        <v>% of Revenue</v>
      </c>
      <c r="C52" s="28">
        <f>IFERROR(C51/C$4,0)</f>
        <v>0</v>
      </c>
      <c r="D52" s="28">
        <f t="shared" ref="D52:G52" si="41">D51/D$4</f>
        <v>0</v>
      </c>
      <c r="E52" s="28">
        <f t="shared" si="41"/>
        <v>0</v>
      </c>
      <c r="F52" s="28">
        <f t="shared" si="41"/>
        <v>0</v>
      </c>
      <c r="G52" s="28">
        <f t="shared" si="41"/>
        <v>0</v>
      </c>
      <c r="H52" s="28">
        <f>+Assumptions!I196</f>
        <v>0</v>
      </c>
      <c r="I52" s="28">
        <f>+Assumptions!J196</f>
        <v>0</v>
      </c>
      <c r="J52" s="28">
        <f>+Assumptions!K196</f>
        <v>0</v>
      </c>
      <c r="K52" s="28">
        <f>+Assumptions!L196</f>
        <v>0</v>
      </c>
      <c r="L52" s="28">
        <f>+Assumptions!M196</f>
        <v>0</v>
      </c>
      <c r="M52" s="28">
        <f>+Assumptions!N196</f>
        <v>0</v>
      </c>
      <c r="N52" s="28">
        <f>+Assumptions!O196</f>
        <v>0</v>
      </c>
      <c r="O52" s="28">
        <f>+Assumptions!P196</f>
        <v>0</v>
      </c>
      <c r="P52" s="28">
        <f>+Assumptions!Q196</f>
        <v>0</v>
      </c>
      <c r="Q52" s="28">
        <f>+Assumptions!R196</f>
        <v>0</v>
      </c>
    </row>
    <row r="53" spans="2:17">
      <c r="B53" s="43" t="s">
        <v>204</v>
      </c>
      <c r="C53" s="44">
        <f t="shared" ref="C53:Q53" si="42">SUM(C43,C47,C51)</f>
        <v>4161</v>
      </c>
      <c r="D53" s="44">
        <f t="shared" si="42"/>
        <v>4095</v>
      </c>
      <c r="E53" s="44">
        <f t="shared" si="42"/>
        <v>5462</v>
      </c>
      <c r="F53" s="44">
        <f t="shared" si="42"/>
        <v>5564</v>
      </c>
      <c r="G53" s="44">
        <f t="shared" si="42"/>
        <v>2233</v>
      </c>
      <c r="H53" s="44">
        <f t="shared" si="42"/>
        <v>4998.4595811503768</v>
      </c>
      <c r="I53" s="44">
        <f t="shared" si="42"/>
        <v>5148.4133685848892</v>
      </c>
      <c r="J53" s="44">
        <f t="shared" si="42"/>
        <v>5302.865769642438</v>
      </c>
      <c r="K53" s="44">
        <f t="shared" si="42"/>
        <v>5461.9517427317105</v>
      </c>
      <c r="L53" s="44">
        <f t="shared" si="42"/>
        <v>5625.8102950136636</v>
      </c>
      <c r="M53" s="44">
        <f t="shared" si="42"/>
        <v>0</v>
      </c>
      <c r="N53" s="44">
        <f t="shared" si="42"/>
        <v>0</v>
      </c>
      <c r="O53" s="44">
        <f t="shared" si="42"/>
        <v>0</v>
      </c>
      <c r="P53" s="44">
        <f t="shared" si="42"/>
        <v>0</v>
      </c>
      <c r="Q53" s="44">
        <f t="shared" si="42"/>
        <v>0</v>
      </c>
    </row>
    <row r="56" spans="2:17">
      <c r="B56" s="42" t="s">
        <v>257</v>
      </c>
      <c r="C56" s="42"/>
      <c r="D56" s="42"/>
      <c r="E56" s="42"/>
      <c r="F56" s="42"/>
      <c r="G56" s="42"/>
      <c r="H56" s="42"/>
      <c r="I56" s="42"/>
      <c r="J56" s="42"/>
      <c r="K56" s="42"/>
      <c r="L56" s="42"/>
      <c r="M56" s="42"/>
      <c r="N56" s="42"/>
      <c r="O56" s="42"/>
      <c r="P56" s="42"/>
      <c r="Q56" s="42"/>
    </row>
    <row r="57" spans="2:17">
      <c r="B57" s="14" t="str">
        <f>B$22</f>
        <v>Operating Income (Loss) ~ EBIT</v>
      </c>
      <c r="C57" s="19">
        <f>C$22</f>
        <v>3063</v>
      </c>
      <c r="D57" s="19">
        <f t="shared" ref="D57:Q57" si="43">D$22</f>
        <v>2903</v>
      </c>
      <c r="E57" s="19">
        <f t="shared" si="43"/>
        <v>4248</v>
      </c>
      <c r="F57" s="19">
        <f t="shared" si="43"/>
        <v>4362</v>
      </c>
      <c r="G57" s="19">
        <f t="shared" si="43"/>
        <v>894</v>
      </c>
      <c r="H57" s="19">
        <f t="shared" si="43"/>
        <v>3578.6788957337239</v>
      </c>
      <c r="I57" s="19">
        <f t="shared" si="43"/>
        <v>3686.0392626057364</v>
      </c>
      <c r="J57" s="19">
        <f t="shared" si="43"/>
        <v>3796.6204404839114</v>
      </c>
      <c r="K57" s="19">
        <f t="shared" si="43"/>
        <v>3910.5190536984273</v>
      </c>
      <c r="L57" s="19">
        <f t="shared" si="43"/>
        <v>4027.8346253093819</v>
      </c>
      <c r="M57" s="19">
        <f t="shared" si="43"/>
        <v>0</v>
      </c>
      <c r="N57" s="19">
        <f t="shared" si="43"/>
        <v>0</v>
      </c>
      <c r="O57" s="19">
        <f t="shared" si="43"/>
        <v>0</v>
      </c>
      <c r="P57" s="19">
        <f t="shared" si="43"/>
        <v>0</v>
      </c>
      <c r="Q57" s="19">
        <f t="shared" si="43"/>
        <v>0</v>
      </c>
    </row>
    <row r="58" spans="2:17">
      <c r="B58" s="35" t="str">
        <f>B$31</f>
        <v>Income Tax Expense (Benefit)</v>
      </c>
      <c r="C58" s="18">
        <f t="shared" ref="C58:Q58" si="44">C$31</f>
        <v>396</v>
      </c>
      <c r="D58" s="18">
        <f t="shared" si="44"/>
        <v>593</v>
      </c>
      <c r="E58" s="18">
        <f t="shared" si="44"/>
        <v>981</v>
      </c>
      <c r="F58" s="18">
        <f t="shared" si="44"/>
        <v>900</v>
      </c>
      <c r="G58" s="18">
        <f t="shared" si="44"/>
        <v>-29</v>
      </c>
      <c r="H58" s="18">
        <f t="shared" si="44"/>
        <v>640.77844712261015</v>
      </c>
      <c r="I58" s="18">
        <f t="shared" si="44"/>
        <v>665.71303722203152</v>
      </c>
      <c r="J58" s="18">
        <f t="shared" si="44"/>
        <v>687.68068365534918</v>
      </c>
      <c r="K58" s="18">
        <f t="shared" si="44"/>
        <v>707.97145516724026</v>
      </c>
      <c r="L58" s="18">
        <f t="shared" si="44"/>
        <v>730.05276030883294</v>
      </c>
      <c r="M58" s="18">
        <f t="shared" si="44"/>
        <v>0</v>
      </c>
      <c r="N58" s="18">
        <f t="shared" si="44"/>
        <v>0</v>
      </c>
      <c r="O58" s="18">
        <f t="shared" si="44"/>
        <v>0</v>
      </c>
      <c r="P58" s="18">
        <f t="shared" si="44"/>
        <v>0</v>
      </c>
      <c r="Q58" s="18">
        <f t="shared" si="44"/>
        <v>0</v>
      </c>
    </row>
    <row r="59" spans="2:17">
      <c r="B59" s="43" t="s">
        <v>258</v>
      </c>
      <c r="C59" s="139">
        <f>C57-C58</f>
        <v>2667</v>
      </c>
      <c r="D59" s="139">
        <f t="shared" ref="D59:Q59" si="45">D57-D58</f>
        <v>2310</v>
      </c>
      <c r="E59" s="139">
        <f t="shared" si="45"/>
        <v>3267</v>
      </c>
      <c r="F59" s="139">
        <f t="shared" si="45"/>
        <v>3462</v>
      </c>
      <c r="G59" s="139">
        <f t="shared" si="45"/>
        <v>923</v>
      </c>
      <c r="H59" s="139">
        <f t="shared" si="45"/>
        <v>2937.9004486111139</v>
      </c>
      <c r="I59" s="139">
        <f t="shared" si="45"/>
        <v>3020.3262253837047</v>
      </c>
      <c r="J59" s="139">
        <f t="shared" si="45"/>
        <v>3108.9397568285622</v>
      </c>
      <c r="K59" s="139">
        <f t="shared" si="45"/>
        <v>3202.5475985311868</v>
      </c>
      <c r="L59" s="139">
        <f t="shared" si="45"/>
        <v>3297.7818650005488</v>
      </c>
      <c r="M59" s="139">
        <f t="shared" si="45"/>
        <v>0</v>
      </c>
      <c r="N59" s="139">
        <f t="shared" si="45"/>
        <v>0</v>
      </c>
      <c r="O59" s="139">
        <f t="shared" si="45"/>
        <v>0</v>
      </c>
      <c r="P59" s="139">
        <f t="shared" si="45"/>
        <v>0</v>
      </c>
      <c r="Q59" s="139">
        <f t="shared" si="4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88EF-17DD-4603-B209-15E15B282DC5}">
  <sheetPr>
    <tabColor theme="8"/>
  </sheetPr>
  <dimension ref="A2:Q43"/>
  <sheetViews>
    <sheetView zoomScaleNormal="100" workbookViewId="0">
      <pane xSplit="1" ySplit="3" topLeftCell="B4" activePane="bottomRight" state="frozen"/>
      <selection pane="topRight" activeCell="B1" sqref="B1"/>
      <selection pane="bottomLeft" activeCell="A4" sqref="A4"/>
      <selection pane="bottomRight" activeCell="C37" sqref="C37"/>
    </sheetView>
  </sheetViews>
  <sheetFormatPr baseColWidth="10" defaultColWidth="0" defaultRowHeight="11" outlineLevelCol="1"/>
  <cols>
    <col min="1" max="1" width="2.1640625" style="1" customWidth="1"/>
    <col min="2" max="2" width="28.1640625" style="1" bestFit="1" customWidth="1"/>
    <col min="3" max="7" width="8.6640625" style="1" customWidth="1" outlineLevel="1"/>
    <col min="8" max="17" width="8.6640625" style="1" customWidth="1"/>
    <col min="18" max="16384" width="8.6640625" style="1" hidden="1"/>
  </cols>
  <sheetData>
    <row r="2" spans="2:17">
      <c r="B2" s="42" t="s">
        <v>260</v>
      </c>
      <c r="C2" s="42"/>
      <c r="D2" s="42"/>
      <c r="E2" s="42"/>
      <c r="F2" s="42"/>
      <c r="G2" s="42"/>
      <c r="H2" s="42"/>
      <c r="I2" s="42"/>
      <c r="J2" s="42"/>
      <c r="K2" s="42"/>
      <c r="L2" s="42"/>
      <c r="M2" s="42"/>
      <c r="N2" s="42"/>
      <c r="O2" s="42"/>
      <c r="P2" s="42"/>
      <c r="Q2" s="42"/>
    </row>
    <row r="3" spans="2:17">
      <c r="B3" s="22" t="str">
        <f>Assumptions!$B$132</f>
        <v>Year Ending 09/31/2024, In USD Millions</v>
      </c>
      <c r="C3" s="22" cm="1">
        <f t="array" ref="C3:L3">_xlfn.SEQUENCE(1,5+Assumptions!$C$20,(YEAR('Valuation Summary'!$C$4)-5))</f>
        <v>2019</v>
      </c>
      <c r="D3" s="22">
        <v>2020</v>
      </c>
      <c r="E3" s="22">
        <v>2021</v>
      </c>
      <c r="F3" s="22">
        <v>2022</v>
      </c>
      <c r="G3" s="22">
        <v>2023</v>
      </c>
      <c r="H3" s="23">
        <v>2024</v>
      </c>
      <c r="I3" s="23">
        <v>2025</v>
      </c>
      <c r="J3" s="23">
        <v>2026</v>
      </c>
      <c r="K3" s="23">
        <v>2027</v>
      </c>
      <c r="L3" s="23">
        <v>2028</v>
      </c>
      <c r="M3" s="23"/>
      <c r="N3" s="23"/>
      <c r="O3" s="23"/>
      <c r="P3" s="23"/>
      <c r="Q3" s="23"/>
    </row>
    <row r="4" spans="2:17">
      <c r="B4" s="14" t="s">
        <v>261</v>
      </c>
      <c r="C4" s="201"/>
      <c r="D4" s="201"/>
      <c r="E4" s="201"/>
      <c r="F4" s="201"/>
      <c r="G4" s="201"/>
      <c r="H4" s="18"/>
      <c r="I4" s="18"/>
      <c r="J4" s="18"/>
      <c r="K4" s="18"/>
      <c r="L4" s="18"/>
      <c r="M4" s="18"/>
      <c r="N4" s="18"/>
      <c r="O4" s="18"/>
      <c r="P4" s="18"/>
      <c r="Q4" s="18"/>
    </row>
    <row r="5" spans="2:17">
      <c r="B5" s="35" t="str">
        <f>'Income Statement'!B37</f>
        <v>Net Income (Loss), GAAP</v>
      </c>
      <c r="C5" s="201">
        <f>'Income Statement'!C37</f>
        <v>2022</v>
      </c>
      <c r="D5" s="201">
        <f>'Income Statement'!D37</f>
        <v>2061</v>
      </c>
      <c r="E5" s="201">
        <f>'Income Statement'!E37</f>
        <v>3047</v>
      </c>
      <c r="F5" s="201">
        <f>'Income Statement'!F37</f>
        <v>3238</v>
      </c>
      <c r="G5" s="201">
        <f>'Income Statement'!G37</f>
        <v>-648</v>
      </c>
      <c r="H5" s="18">
        <f>IF(H$3="",0,'Income Statement'!H37)</f>
        <v>2347.5088670365153</v>
      </c>
      <c r="I5" s="18">
        <f>IF(I$3="",0,'Income Statement'!I37)</f>
        <v>2386.7744070091408</v>
      </c>
      <c r="J5" s="18">
        <f>IF(J$3="",0,'Income Statement'!J37)</f>
        <v>2412.7160585329598</v>
      </c>
      <c r="K5" s="18">
        <f>IF(K$3="",0,'Income Statement'!K37)</f>
        <v>2430.1167970080232</v>
      </c>
      <c r="L5" s="18">
        <f>IF(L$3="",0,'Income Statement'!L37)</f>
        <v>2451.9483859650727</v>
      </c>
      <c r="M5" s="18">
        <f>IF(M$3="",0,'Income Statement'!M37)</f>
        <v>0</v>
      </c>
      <c r="N5" s="18">
        <f>IF(N$3="",0,'Income Statement'!N37)</f>
        <v>0</v>
      </c>
      <c r="O5" s="18">
        <f>IF(O$3="",0,'Income Statement'!O37)</f>
        <v>0</v>
      </c>
      <c r="P5" s="18">
        <f>IF(P$3="",0,'Income Statement'!P37)</f>
        <v>0</v>
      </c>
      <c r="Q5" s="18">
        <f>IF(Q$3="",0,'Income Statement'!Q37)</f>
        <v>0</v>
      </c>
    </row>
    <row r="6" spans="2:17">
      <c r="B6" s="35" t="str">
        <f>'Income Statement'!B47</f>
        <v>Depreciation and Amortization</v>
      </c>
      <c r="C6" s="201">
        <f>'Income Statement'!C47</f>
        <v>1098</v>
      </c>
      <c r="D6" s="201">
        <f>'Income Statement'!D47</f>
        <v>1192</v>
      </c>
      <c r="E6" s="201">
        <f>'Income Statement'!E47</f>
        <v>1214</v>
      </c>
      <c r="F6" s="201">
        <f>'Income Statement'!F47</f>
        <v>1202</v>
      </c>
      <c r="G6" s="201">
        <f>'Income Statement'!G47</f>
        <v>1339</v>
      </c>
      <c r="H6" s="18">
        <f>IF(H$3="",0,'Income Statement'!H47)</f>
        <v>1392.2121284182713</v>
      </c>
      <c r="I6" s="18">
        <f>IF(I$3="",0,'Income Statement'!I47)</f>
        <v>1406.1342497024541</v>
      </c>
      <c r="J6" s="18">
        <f>IF(J$3="",0,'Income Statement'!J47)</f>
        <v>1420.1955921994788</v>
      </c>
      <c r="K6" s="18">
        <f>IF(K$3="",0,'Income Statement'!K47)</f>
        <v>1434.3975481214736</v>
      </c>
      <c r="L6" s="18">
        <f>IF(L$3="",0,'Income Statement'!L47)</f>
        <v>1448.7415236026884</v>
      </c>
      <c r="M6" s="18">
        <f>IF(M$3="",0,'Income Statement'!M47)</f>
        <v>0</v>
      </c>
      <c r="N6" s="18">
        <f>IF(N$3="",0,'Income Statement'!N47)</f>
        <v>0</v>
      </c>
      <c r="O6" s="18">
        <f>IF(O$3="",0,'Income Statement'!O47)</f>
        <v>0</v>
      </c>
      <c r="P6" s="18">
        <f>IF(P$3="",0,'Income Statement'!P47)</f>
        <v>0</v>
      </c>
      <c r="Q6" s="18">
        <f>IF(Q$3="",0,'Income Statement'!Q47)</f>
        <v>0</v>
      </c>
    </row>
    <row r="7" spans="2:17">
      <c r="B7" s="35" t="str">
        <f>Assumptions!B206</f>
        <v>Non-Cash Items</v>
      </c>
      <c r="C7" s="201">
        <f>Assumptions!D206</f>
        <v>70</v>
      </c>
      <c r="D7" s="201">
        <f>Assumptions!E206</f>
        <v>-66</v>
      </c>
      <c r="E7" s="201">
        <f>Assumptions!F206</f>
        <v>-768</v>
      </c>
      <c r="F7" s="201">
        <f>Assumptions!G206</f>
        <v>-6</v>
      </c>
      <c r="G7" s="201">
        <f>Assumptions!H206</f>
        <v>996</v>
      </c>
      <c r="H7" s="18">
        <f>IF(H$3="",0,H40*Assumptions!I208)</f>
        <v>0</v>
      </c>
      <c r="I7" s="18">
        <f>IF(I$3="",0,I40*Assumptions!J208)</f>
        <v>0</v>
      </c>
      <c r="J7" s="18">
        <f>IF(J$3="",0,J40*Assumptions!K208)</f>
        <v>0</v>
      </c>
      <c r="K7" s="18">
        <f>IF(K$3="",0,K40*Assumptions!L208)</f>
        <v>0</v>
      </c>
      <c r="L7" s="18">
        <f>IF(L$3="",0,L40*Assumptions!M208)</f>
        <v>0</v>
      </c>
      <c r="M7" s="18">
        <f>IF(M$3="",0,M40*Assumptions!N208)</f>
        <v>0</v>
      </c>
      <c r="N7" s="18">
        <f>IF(N$3="",0,N40*Assumptions!O208)</f>
        <v>0</v>
      </c>
      <c r="O7" s="18">
        <f>IF(O$3="",0,O40*Assumptions!P208)</f>
        <v>0</v>
      </c>
      <c r="P7" s="18">
        <f>IF(P$3="",0,P40*Assumptions!Q208)</f>
        <v>0</v>
      </c>
      <c r="Q7" s="18">
        <f>IF(Q$3="",0,Q40*Assumptions!R208)</f>
        <v>0</v>
      </c>
    </row>
    <row r="8" spans="2:17">
      <c r="B8" s="35" t="str">
        <f>Assumptions!B213</f>
        <v>Change in Non-Cash Working Capital</v>
      </c>
      <c r="C8" s="201">
        <f>Assumptions!D213</f>
        <v>-846</v>
      </c>
      <c r="D8" s="201">
        <f>Assumptions!E213</f>
        <v>580</v>
      </c>
      <c r="E8" s="201">
        <f>Assumptions!F213</f>
        <v>381</v>
      </c>
      <c r="F8" s="201">
        <f>Assumptions!G213</f>
        <v>-2104</v>
      </c>
      <c r="G8" s="201">
        <f>Assumptions!H213</f>
        <v>187</v>
      </c>
      <c r="H8" s="18">
        <f>IF(H$3="",0,IFERROR(AVERAGE(C8:G8),0))</f>
        <v>-360.4</v>
      </c>
      <c r="I8" s="18">
        <f t="shared" ref="I8:Q8" si="0">IF(I$3="",0,IFERROR(AVERAGE(D8:H8),0))</f>
        <v>-263.28000000000003</v>
      </c>
      <c r="J8" s="18">
        <f t="shared" si="0"/>
        <v>-431.93600000000004</v>
      </c>
      <c r="K8" s="18">
        <f t="shared" si="0"/>
        <v>-594.52320000000009</v>
      </c>
      <c r="L8" s="18">
        <f t="shared" si="0"/>
        <v>-292.62783999999999</v>
      </c>
      <c r="M8" s="18">
        <f t="shared" si="0"/>
        <v>0</v>
      </c>
      <c r="N8" s="18">
        <f t="shared" si="0"/>
        <v>0</v>
      </c>
      <c r="O8" s="18">
        <f t="shared" si="0"/>
        <v>0</v>
      </c>
      <c r="P8" s="18">
        <f t="shared" si="0"/>
        <v>0</v>
      </c>
      <c r="Q8" s="18">
        <f t="shared" si="0"/>
        <v>0</v>
      </c>
    </row>
    <row r="9" spans="2:17">
      <c r="B9" s="35" t="str">
        <f>Assumptions!B224</f>
        <v>Net Cash from Discontinued Operations</v>
      </c>
      <c r="C9" s="201">
        <f>Assumptions!D224</f>
        <v>0</v>
      </c>
      <c r="D9" s="201">
        <f>Assumptions!E224</f>
        <v>0</v>
      </c>
      <c r="E9" s="201">
        <f>Assumptions!F224</f>
        <v>0</v>
      </c>
      <c r="F9" s="201">
        <f>Assumptions!G224</f>
        <v>0</v>
      </c>
      <c r="G9" s="201">
        <f>Assumptions!H224</f>
        <v>0</v>
      </c>
      <c r="H9" s="18">
        <f>IF(H$3="",0,Assumptions!I224)</f>
        <v>0</v>
      </c>
      <c r="I9" s="18">
        <f>IF(I$3="",0,Assumptions!J224)</f>
        <v>0</v>
      </c>
      <c r="J9" s="18">
        <f>IF(J$3="",0,Assumptions!K224)</f>
        <v>0</v>
      </c>
      <c r="K9" s="18">
        <f>IF(K$3="",0,Assumptions!L224)</f>
        <v>0</v>
      </c>
      <c r="L9" s="18">
        <f>IF(L$3="",0,Assumptions!M224)</f>
        <v>0</v>
      </c>
      <c r="M9" s="18">
        <f>IF(M$3="",0,Assumptions!N224)</f>
        <v>0</v>
      </c>
      <c r="N9" s="18">
        <f>IF(N$3="",0,Assumptions!O224)</f>
        <v>0</v>
      </c>
      <c r="O9" s="18">
        <f>IF(O$3="",0,Assumptions!P224)</f>
        <v>0</v>
      </c>
      <c r="P9" s="18">
        <f>IF(P$3="",0,Assumptions!Q224)</f>
        <v>0</v>
      </c>
      <c r="Q9" s="18">
        <f>IF(Q$3="",0,Assumptions!R224)</f>
        <v>0</v>
      </c>
    </row>
    <row r="10" spans="2:17">
      <c r="B10" s="43" t="s">
        <v>262</v>
      </c>
      <c r="C10" s="204">
        <f>SUM(C5:C9)</f>
        <v>2344</v>
      </c>
      <c r="D10" s="204">
        <f t="shared" ref="D10:H10" si="1">SUM(D5:D9)</f>
        <v>3767</v>
      </c>
      <c r="E10" s="204">
        <f t="shared" si="1"/>
        <v>3874</v>
      </c>
      <c r="F10" s="204">
        <f t="shared" si="1"/>
        <v>2330</v>
      </c>
      <c r="G10" s="204">
        <f t="shared" si="1"/>
        <v>1874</v>
      </c>
      <c r="H10" s="44">
        <f t="shared" si="1"/>
        <v>3379.3209954547865</v>
      </c>
      <c r="I10" s="44">
        <f t="shared" ref="I10:Q10" si="2">SUM(I5:I9)</f>
        <v>3529.6286567115944</v>
      </c>
      <c r="J10" s="44">
        <f t="shared" si="2"/>
        <v>3400.9756507324387</v>
      </c>
      <c r="K10" s="44">
        <f t="shared" si="2"/>
        <v>3269.991145129497</v>
      </c>
      <c r="L10" s="44">
        <f t="shared" si="2"/>
        <v>3608.0620695677608</v>
      </c>
      <c r="M10" s="44">
        <f t="shared" si="2"/>
        <v>0</v>
      </c>
      <c r="N10" s="44">
        <f t="shared" si="2"/>
        <v>0</v>
      </c>
      <c r="O10" s="44">
        <f t="shared" si="2"/>
        <v>0</v>
      </c>
      <c r="P10" s="44">
        <f t="shared" si="2"/>
        <v>0</v>
      </c>
      <c r="Q10" s="44">
        <f t="shared" si="2"/>
        <v>0</v>
      </c>
    </row>
    <row r="11" spans="2:17">
      <c r="C11" s="201"/>
      <c r="D11" s="201"/>
      <c r="E11" s="201"/>
      <c r="F11" s="201"/>
      <c r="G11" s="201"/>
      <c r="H11" s="18"/>
      <c r="I11" s="18"/>
      <c r="J11" s="18"/>
      <c r="K11" s="18"/>
      <c r="L11" s="18"/>
      <c r="M11" s="18"/>
      <c r="N11" s="18"/>
      <c r="O11" s="18"/>
      <c r="P11" s="18"/>
      <c r="Q11" s="18"/>
    </row>
    <row r="12" spans="2:17">
      <c r="B12" s="14" t="s">
        <v>263</v>
      </c>
      <c r="C12" s="201"/>
      <c r="D12" s="201"/>
      <c r="E12" s="201"/>
      <c r="F12" s="201"/>
      <c r="G12" s="201"/>
      <c r="H12" s="18"/>
      <c r="I12" s="18"/>
      <c r="J12" s="18"/>
      <c r="K12" s="18"/>
      <c r="L12" s="18"/>
      <c r="M12" s="18"/>
      <c r="N12" s="18"/>
      <c r="O12" s="18"/>
      <c r="P12" s="18"/>
      <c r="Q12" s="18"/>
    </row>
    <row r="13" spans="2:17">
      <c r="B13" s="35" t="s">
        <v>264</v>
      </c>
      <c r="C13" s="201">
        <f>-'Income Statement'!C44+Assumptions!D229</f>
        <v>-1259</v>
      </c>
      <c r="D13" s="201">
        <f>-'Income Statement'!D44+Assumptions!E229</f>
        <v>-1199</v>
      </c>
      <c r="E13" s="201">
        <f>-'Income Statement'!E44+Assumptions!F229</f>
        <v>-1209</v>
      </c>
      <c r="F13" s="201">
        <f>-'Income Statement'!F44+Assumptions!G229</f>
        <v>-1887</v>
      </c>
      <c r="G13" s="201">
        <f>-'Income Statement'!G44+Assumptions!H229</f>
        <v>-1939</v>
      </c>
      <c r="H13" s="18">
        <f>IF(H$3="",0,-'Income Statement'!H44+('Balance Sheet'!H12*Assumptions!I230))</f>
        <v>-1658.1967508447033</v>
      </c>
      <c r="I13" s="18">
        <f>IF(I$3="",0,-'Income Statement'!I44+('Balance Sheet'!I12*Assumptions!J230))</f>
        <v>-1674.7787183531502</v>
      </c>
      <c r="J13" s="18">
        <f>IF(J$3="",0,-'Income Statement'!J44+('Balance Sheet'!J12*Assumptions!K230))</f>
        <v>-1691.526505536682</v>
      </c>
      <c r="K13" s="18">
        <f>IF(K$3="",0,-'Income Statement'!K44+('Balance Sheet'!K12*Assumptions!L230))</f>
        <v>-1708.4417705920489</v>
      </c>
      <c r="L13" s="18">
        <f>IF(L$3="",0,-'Income Statement'!L44+('Balance Sheet'!L12*Assumptions!M230))</f>
        <v>-1725.5261882979694</v>
      </c>
      <c r="M13" s="18">
        <f>IF(M$3="",0,-'Income Statement'!M44+('Balance Sheet'!M12*Assumptions!N230))</f>
        <v>0</v>
      </c>
      <c r="N13" s="18">
        <f>IF(N$3="",0,-'Income Statement'!N44+('Balance Sheet'!N12*Assumptions!O230))</f>
        <v>0</v>
      </c>
      <c r="O13" s="18">
        <f>IF(O$3="",0,-'Income Statement'!O44+('Balance Sheet'!O12*Assumptions!P230))</f>
        <v>0</v>
      </c>
      <c r="P13" s="18">
        <f>IF(P$3="",0,-'Income Statement'!P44+('Balance Sheet'!P12*Assumptions!Q230))</f>
        <v>0</v>
      </c>
      <c r="Q13" s="18">
        <f>IF(Q$3="",0,-'Income Statement'!Q44+('Balance Sheet'!Q12*Assumptions!R230))</f>
        <v>0</v>
      </c>
    </row>
    <row r="14" spans="2:17">
      <c r="B14" s="35" t="s">
        <v>164</v>
      </c>
      <c r="C14" s="201">
        <f>Assumptions!D233</f>
        <v>0</v>
      </c>
      <c r="D14" s="201">
        <f>Assumptions!E233</f>
        <v>0</v>
      </c>
      <c r="E14" s="201">
        <f>Assumptions!F233</f>
        <v>0</v>
      </c>
      <c r="F14" s="201">
        <f>Assumptions!G233</f>
        <v>0</v>
      </c>
      <c r="G14" s="201">
        <f>Assumptions!H233</f>
        <v>0</v>
      </c>
      <c r="H14" s="18">
        <f>IF(H$3="",0,IFERROR(AVERAGE(C14:G14),0))</f>
        <v>0</v>
      </c>
      <c r="I14" s="18">
        <f t="shared" ref="I14:Q14" si="3">IF(I$3="",0,IFERROR(AVERAGE(D14:H14),0))</f>
        <v>0</v>
      </c>
      <c r="J14" s="18">
        <f t="shared" si="3"/>
        <v>0</v>
      </c>
      <c r="K14" s="18">
        <f t="shared" si="3"/>
        <v>0</v>
      </c>
      <c r="L14" s="18">
        <f t="shared" si="3"/>
        <v>0</v>
      </c>
      <c r="M14" s="18">
        <f t="shared" si="3"/>
        <v>0</v>
      </c>
      <c r="N14" s="18">
        <f t="shared" si="3"/>
        <v>0</v>
      </c>
      <c r="O14" s="18">
        <f t="shared" si="3"/>
        <v>0</v>
      </c>
      <c r="P14" s="18">
        <f t="shared" si="3"/>
        <v>0</v>
      </c>
      <c r="Q14" s="18">
        <f t="shared" si="3"/>
        <v>0</v>
      </c>
    </row>
    <row r="15" spans="2:17">
      <c r="B15" s="35" t="s">
        <v>165</v>
      </c>
      <c r="C15" s="201">
        <f>Assumptions!D236</f>
        <v>-2292</v>
      </c>
      <c r="D15" s="201">
        <f>Assumptions!E236</f>
        <v>-154</v>
      </c>
      <c r="E15" s="201">
        <f>Assumptions!F236</f>
        <v>1144</v>
      </c>
      <c r="F15" s="201">
        <f>Assumptions!G236</f>
        <v>-177</v>
      </c>
      <c r="G15" s="201">
        <f>Assumptions!H236</f>
        <v>-262</v>
      </c>
      <c r="H15" s="18">
        <f>IF(H$3="",0,IFERROR(AVERAGE(C15:G15),0))</f>
        <v>-348.2</v>
      </c>
      <c r="I15" s="18">
        <f t="shared" ref="I15:Q15" si="4">IF(I$3="",0,IFERROR(AVERAGE(D15:H15),0))</f>
        <v>40.56</v>
      </c>
      <c r="J15" s="18">
        <f t="shared" si="4"/>
        <v>79.472000000000008</v>
      </c>
      <c r="K15" s="18">
        <f t="shared" si="4"/>
        <v>-133.43360000000001</v>
      </c>
      <c r="L15" s="18">
        <f t="shared" si="4"/>
        <v>-124.72032000000004</v>
      </c>
      <c r="M15" s="18">
        <f t="shared" si="4"/>
        <v>0</v>
      </c>
      <c r="N15" s="18">
        <f t="shared" si="4"/>
        <v>0</v>
      </c>
      <c r="O15" s="18">
        <f t="shared" si="4"/>
        <v>0</v>
      </c>
      <c r="P15" s="18">
        <f t="shared" si="4"/>
        <v>0</v>
      </c>
      <c r="Q15" s="18">
        <f t="shared" si="4"/>
        <v>0</v>
      </c>
    </row>
    <row r="16" spans="2:17">
      <c r="B16" s="35" t="s">
        <v>166</v>
      </c>
      <c r="C16" s="201">
        <f>Assumptions!D239</f>
        <v>89</v>
      </c>
      <c r="D16" s="201">
        <f>Assumptions!E239</f>
        <v>-1068</v>
      </c>
      <c r="E16" s="201">
        <f>Assumptions!F239</f>
        <v>1082</v>
      </c>
      <c r="F16" s="201">
        <f>Assumptions!G239</f>
        <v>-106</v>
      </c>
      <c r="G16" s="201">
        <f>Assumptions!H239</f>
        <v>64</v>
      </c>
      <c r="H16" s="18">
        <f>IF(H$3="",0,IFERROR(AVERAGE(C16:G16),0))</f>
        <v>12.2</v>
      </c>
      <c r="I16" s="18">
        <f t="shared" ref="I16:Q16" si="5">IF(I$3="",0,IFERROR(AVERAGE(D16:H16),0))</f>
        <v>-3.16</v>
      </c>
      <c r="J16" s="18">
        <f t="shared" si="5"/>
        <v>209.80799999999999</v>
      </c>
      <c r="K16" s="18">
        <f t="shared" si="5"/>
        <v>35.369599999999998</v>
      </c>
      <c r="L16" s="18">
        <f t="shared" si="5"/>
        <v>63.643520000000002</v>
      </c>
      <c r="M16" s="18">
        <f t="shared" si="5"/>
        <v>0</v>
      </c>
      <c r="N16" s="18">
        <f t="shared" si="5"/>
        <v>0</v>
      </c>
      <c r="O16" s="18">
        <f t="shared" si="5"/>
        <v>0</v>
      </c>
      <c r="P16" s="18">
        <f t="shared" si="5"/>
        <v>0</v>
      </c>
      <c r="Q16" s="18">
        <f t="shared" si="5"/>
        <v>0</v>
      </c>
    </row>
    <row r="17" spans="2:17">
      <c r="B17" s="35" t="s">
        <v>160</v>
      </c>
      <c r="C17" s="201">
        <f>Assumptions!D242</f>
        <v>0</v>
      </c>
      <c r="D17" s="201">
        <f>Assumptions!E242</f>
        <v>0</v>
      </c>
      <c r="E17" s="201">
        <f>Assumptions!F242</f>
        <v>0</v>
      </c>
      <c r="F17" s="201">
        <f>Assumptions!G242</f>
        <v>0</v>
      </c>
      <c r="G17" s="201">
        <f>Assumptions!H242</f>
        <v>0</v>
      </c>
      <c r="H17" s="18">
        <f>IF(H$3="",0,IFERROR(AVERAGE(C17:G17),0))</f>
        <v>0</v>
      </c>
      <c r="I17" s="18">
        <f t="shared" ref="I17:Q17" si="6">IF(I$3="",0,IFERROR(AVERAGE(D17:H17),0))</f>
        <v>0</v>
      </c>
      <c r="J17" s="18">
        <f t="shared" si="6"/>
        <v>0</v>
      </c>
      <c r="K17" s="18">
        <f t="shared" si="6"/>
        <v>0</v>
      </c>
      <c r="L17" s="18">
        <f t="shared" si="6"/>
        <v>0</v>
      </c>
      <c r="M17" s="18">
        <f t="shared" si="6"/>
        <v>0</v>
      </c>
      <c r="N17" s="18">
        <f t="shared" si="6"/>
        <v>0</v>
      </c>
      <c r="O17" s="18">
        <f t="shared" si="6"/>
        <v>0</v>
      </c>
      <c r="P17" s="18">
        <f t="shared" si="6"/>
        <v>0</v>
      </c>
      <c r="Q17" s="18">
        <f t="shared" si="6"/>
        <v>0</v>
      </c>
    </row>
    <row r="18" spans="2:17">
      <c r="B18" s="43" t="s">
        <v>265</v>
      </c>
      <c r="C18" s="204">
        <f>SUM(C13:C17)</f>
        <v>-3462</v>
      </c>
      <c r="D18" s="204">
        <f t="shared" ref="D18:H18" si="7">SUM(D13:D17)</f>
        <v>-2421</v>
      </c>
      <c r="E18" s="204">
        <f t="shared" si="7"/>
        <v>1017</v>
      </c>
      <c r="F18" s="204">
        <f t="shared" si="7"/>
        <v>-2170</v>
      </c>
      <c r="G18" s="204">
        <f t="shared" si="7"/>
        <v>-2137</v>
      </c>
      <c r="H18" s="44">
        <f t="shared" si="7"/>
        <v>-1994.1967508447033</v>
      </c>
      <c r="I18" s="44">
        <f t="shared" ref="I18:Q18" si="8">SUM(I13:I17)</f>
        <v>-1637.3787183531504</v>
      </c>
      <c r="J18" s="44">
        <f t="shared" si="8"/>
        <v>-1402.246505536682</v>
      </c>
      <c r="K18" s="44">
        <f t="shared" si="8"/>
        <v>-1806.505770592049</v>
      </c>
      <c r="L18" s="44">
        <f t="shared" si="8"/>
        <v>-1786.6029882979694</v>
      </c>
      <c r="M18" s="44">
        <f t="shared" si="8"/>
        <v>0</v>
      </c>
      <c r="N18" s="44">
        <f t="shared" si="8"/>
        <v>0</v>
      </c>
      <c r="O18" s="44">
        <f t="shared" si="8"/>
        <v>0</v>
      </c>
      <c r="P18" s="44">
        <f t="shared" si="8"/>
        <v>0</v>
      </c>
      <c r="Q18" s="44">
        <f t="shared" si="8"/>
        <v>0</v>
      </c>
    </row>
    <row r="19" spans="2:17">
      <c r="C19" s="201"/>
      <c r="D19" s="201"/>
      <c r="E19" s="201"/>
      <c r="F19" s="201"/>
      <c r="G19" s="201"/>
      <c r="H19" s="18"/>
      <c r="I19" s="18"/>
      <c r="J19" s="18"/>
      <c r="K19" s="18"/>
      <c r="L19" s="18"/>
      <c r="M19" s="18"/>
      <c r="N19" s="18"/>
      <c r="O19" s="18"/>
      <c r="P19" s="18"/>
      <c r="Q19" s="18"/>
    </row>
    <row r="20" spans="2:17">
      <c r="C20" s="201"/>
      <c r="D20" s="201"/>
      <c r="E20" s="201"/>
      <c r="F20" s="201"/>
      <c r="G20" s="201"/>
      <c r="H20" s="18"/>
      <c r="I20" s="18"/>
      <c r="J20" s="18"/>
      <c r="K20" s="18"/>
      <c r="L20" s="18"/>
      <c r="M20" s="18"/>
      <c r="N20" s="18"/>
      <c r="O20" s="18"/>
      <c r="P20" s="18"/>
      <c r="Q20" s="18"/>
    </row>
    <row r="21" spans="2:17">
      <c r="B21" s="14" t="s">
        <v>266</v>
      </c>
      <c r="C21" s="201"/>
      <c r="D21" s="201"/>
      <c r="E21" s="201"/>
      <c r="F21" s="201"/>
      <c r="G21" s="201"/>
      <c r="H21" s="18"/>
      <c r="I21" s="18"/>
      <c r="J21" s="18"/>
      <c r="K21" s="18"/>
      <c r="L21" s="18"/>
      <c r="M21" s="18"/>
      <c r="N21" s="18"/>
      <c r="O21" s="18"/>
      <c r="P21" s="18"/>
      <c r="Q21" s="18"/>
    </row>
    <row r="22" spans="2:17">
      <c r="B22" s="35" t="str">
        <f>Assumptions!B245</f>
        <v>Dividends Paid</v>
      </c>
      <c r="C22" s="201">
        <f>Assumptions!D245</f>
        <v>-537</v>
      </c>
      <c r="D22" s="201">
        <f>Assumptions!E245</f>
        <v>-601</v>
      </c>
      <c r="E22" s="201">
        <f>Assumptions!F245</f>
        <v>-636</v>
      </c>
      <c r="F22" s="201">
        <f>Assumptions!G245</f>
        <v>-653</v>
      </c>
      <c r="G22" s="201">
        <f>Assumptions!H245</f>
        <v>-670</v>
      </c>
      <c r="H22" s="18">
        <f>IF(H$3="",0,H41*Assumptions!I246)</f>
        <v>31.160068071850997</v>
      </c>
      <c r="I22" s="18">
        <f>IF(I$3="",0,I41*Assumptions!J246)</f>
        <v>31.681266059899308</v>
      </c>
      <c r="J22" s="18">
        <f>IF(J$3="",0,J41*Assumptions!K246)</f>
        <v>32.025607092527181</v>
      </c>
      <c r="K22" s="18">
        <f>IF(K$3="",0,K41*Assumptions!L246)</f>
        <v>32.256578827286987</v>
      </c>
      <c r="L22" s="18">
        <f>IF(L$3="",0,L41*Assumptions!M246)</f>
        <v>32.546364228130692</v>
      </c>
      <c r="M22" s="18">
        <f>IF(M$3="",0,M41*Assumptions!N246)</f>
        <v>0</v>
      </c>
      <c r="N22" s="18">
        <f>IF(N$3="",0,N41*Assumptions!O246)</f>
        <v>0</v>
      </c>
      <c r="O22" s="18">
        <f>IF(O$3="",0,O41*Assumptions!P246)</f>
        <v>0</v>
      </c>
      <c r="P22" s="18">
        <f>IF(P$3="",0,P41*Assumptions!Q246)</f>
        <v>0</v>
      </c>
      <c r="Q22" s="18">
        <f>IF(Q$3="",0,Q41*Assumptions!R246)</f>
        <v>0</v>
      </c>
    </row>
    <row r="23" spans="2:17">
      <c r="B23" s="35" t="str">
        <f>Assumptions!B249</f>
        <v>Net Cash from (Repayment) Debt</v>
      </c>
      <c r="C23" s="201">
        <f>Assumptions!D249</f>
        <v>1891</v>
      </c>
      <c r="D23" s="201">
        <f>Assumptions!E249</f>
        <v>-672</v>
      </c>
      <c r="E23" s="201">
        <f>Assumptions!F249</f>
        <v>-2047</v>
      </c>
      <c r="F23" s="201">
        <f>Assumptions!G249</f>
        <v>-1088</v>
      </c>
      <c r="G23" s="201">
        <f>Assumptions!H249</f>
        <v>1117</v>
      </c>
      <c r="H23" s="18">
        <f>IF(H$3="",0,IFERROR(AVERAGE(C23:G23),0))</f>
        <v>-159.80000000000001</v>
      </c>
      <c r="I23" s="18">
        <f t="shared" ref="I23:Q23" si="9">IF(I$3="",0,IFERROR(AVERAGE(D23:H23),0))</f>
        <v>-569.96</v>
      </c>
      <c r="J23" s="18">
        <f t="shared" si="9"/>
        <v>-549.55200000000002</v>
      </c>
      <c r="K23" s="18">
        <f t="shared" si="9"/>
        <v>-250.06239999999997</v>
      </c>
      <c r="L23" s="18">
        <f t="shared" si="9"/>
        <v>-82.474879999999999</v>
      </c>
      <c r="M23" s="18">
        <f t="shared" si="9"/>
        <v>0</v>
      </c>
      <c r="N23" s="18">
        <f t="shared" si="9"/>
        <v>0</v>
      </c>
      <c r="O23" s="18">
        <f t="shared" si="9"/>
        <v>0</v>
      </c>
      <c r="P23" s="18">
        <f t="shared" si="9"/>
        <v>0</v>
      </c>
      <c r="Q23" s="18">
        <f t="shared" si="9"/>
        <v>0</v>
      </c>
    </row>
    <row r="24" spans="2:17">
      <c r="B24" s="35" t="str">
        <f>Assumptions!B252</f>
        <v>Cash (Repurchase) of Equity</v>
      </c>
      <c r="C24" s="201">
        <f>Assumptions!D252</f>
        <v>-153</v>
      </c>
      <c r="D24" s="201">
        <f>Assumptions!E252</f>
        <v>-177</v>
      </c>
      <c r="E24" s="201">
        <f>Assumptions!F252</f>
        <v>-26</v>
      </c>
      <c r="F24" s="201">
        <f>Assumptions!G252</f>
        <v>-576</v>
      </c>
      <c r="G24" s="201">
        <f>Assumptions!H252</f>
        <v>-343</v>
      </c>
      <c r="H24" s="18">
        <f>IF(H$3="",0,IFERROR(AVERAGE(C24:G24),0))</f>
        <v>-255</v>
      </c>
      <c r="I24" s="18">
        <f t="shared" ref="I24:Q24" si="10">IF(I$3="",0,IFERROR(AVERAGE(D24:H24),0))</f>
        <v>-275.39999999999998</v>
      </c>
      <c r="J24" s="18">
        <f t="shared" si="10"/>
        <v>-295.08000000000004</v>
      </c>
      <c r="K24" s="18">
        <f t="shared" si="10"/>
        <v>-348.89600000000002</v>
      </c>
      <c r="L24" s="18">
        <f t="shared" si="10"/>
        <v>-303.47519999999997</v>
      </c>
      <c r="M24" s="18">
        <f t="shared" si="10"/>
        <v>0</v>
      </c>
      <c r="N24" s="18">
        <f t="shared" si="10"/>
        <v>0</v>
      </c>
      <c r="O24" s="18">
        <f t="shared" si="10"/>
        <v>0</v>
      </c>
      <c r="P24" s="18">
        <f t="shared" si="10"/>
        <v>0</v>
      </c>
      <c r="Q24" s="18">
        <f t="shared" si="10"/>
        <v>0</v>
      </c>
    </row>
    <row r="25" spans="2:17">
      <c r="B25" s="35" t="str">
        <f>Assumptions!B255</f>
        <v>Other Financing Activities</v>
      </c>
      <c r="C25" s="201">
        <f>Assumptions!D255</f>
        <v>-30</v>
      </c>
      <c r="D25" s="201">
        <f>Assumptions!E255</f>
        <v>-18</v>
      </c>
      <c r="E25" s="201">
        <f>Assumptions!F255</f>
        <v>-22</v>
      </c>
      <c r="F25" s="201">
        <f>Assumptions!G255</f>
        <v>-6</v>
      </c>
      <c r="G25" s="201">
        <f>Assumptions!H255</f>
        <v>-16</v>
      </c>
      <c r="H25" s="18">
        <f>IF(H$3="",0,IFERROR(AVERAGE(C25:G25),0))</f>
        <v>-18.399999999999999</v>
      </c>
      <c r="I25" s="18">
        <f t="shared" ref="I25:Q25" si="11">IF(I$3="",0,IFERROR(AVERAGE(D25:H25),0))</f>
        <v>-16.080000000000002</v>
      </c>
      <c r="J25" s="18">
        <f t="shared" si="11"/>
        <v>-15.696000000000002</v>
      </c>
      <c r="K25" s="18">
        <f t="shared" si="11"/>
        <v>-14.4352</v>
      </c>
      <c r="L25" s="18">
        <f t="shared" si="11"/>
        <v>-16.122239999999998</v>
      </c>
      <c r="M25" s="18">
        <f t="shared" si="11"/>
        <v>0</v>
      </c>
      <c r="N25" s="18">
        <f t="shared" si="11"/>
        <v>0</v>
      </c>
      <c r="O25" s="18">
        <f t="shared" si="11"/>
        <v>0</v>
      </c>
      <c r="P25" s="18">
        <f t="shared" si="11"/>
        <v>0</v>
      </c>
      <c r="Q25" s="18">
        <f t="shared" si="11"/>
        <v>0</v>
      </c>
    </row>
    <row r="26" spans="2:17">
      <c r="B26" s="35" t="str">
        <f>Assumptions!B258</f>
        <v>Net Cash from Discontinued Operations</v>
      </c>
      <c r="C26" s="201">
        <f>Assumptions!D258</f>
        <v>0</v>
      </c>
      <c r="D26" s="201">
        <f>Assumptions!E258</f>
        <v>0</v>
      </c>
      <c r="E26" s="201">
        <f>Assumptions!F258</f>
        <v>0</v>
      </c>
      <c r="F26" s="201">
        <f>Assumptions!G258</f>
        <v>0</v>
      </c>
      <c r="G26" s="201">
        <f>Assumptions!H258</f>
        <v>0</v>
      </c>
      <c r="H26" s="18">
        <f>IF(H$3="",0,IFERROR(AVERAGE(C26:G26),0))</f>
        <v>0</v>
      </c>
      <c r="I26" s="18">
        <f t="shared" ref="I26:Q26" si="12">IF(I$3="",0,IFERROR(AVERAGE(D26:H26),0))</f>
        <v>0</v>
      </c>
      <c r="J26" s="18">
        <f t="shared" si="12"/>
        <v>0</v>
      </c>
      <c r="K26" s="18">
        <f t="shared" si="12"/>
        <v>0</v>
      </c>
      <c r="L26" s="18">
        <f t="shared" si="12"/>
        <v>0</v>
      </c>
      <c r="M26" s="18">
        <f t="shared" si="12"/>
        <v>0</v>
      </c>
      <c r="N26" s="18">
        <f t="shared" si="12"/>
        <v>0</v>
      </c>
      <c r="O26" s="18">
        <f t="shared" si="12"/>
        <v>0</v>
      </c>
      <c r="P26" s="18">
        <f t="shared" si="12"/>
        <v>0</v>
      </c>
      <c r="Q26" s="18">
        <f t="shared" si="12"/>
        <v>0</v>
      </c>
    </row>
    <row r="27" spans="2:17">
      <c r="B27" s="43" t="s">
        <v>267</v>
      </c>
      <c r="C27" s="204">
        <f>SUM(C22:C26)</f>
        <v>1171</v>
      </c>
      <c r="D27" s="204">
        <f t="shared" ref="D27:H27" si="13">SUM(D22:D26)</f>
        <v>-1468</v>
      </c>
      <c r="E27" s="204">
        <f t="shared" si="13"/>
        <v>-2731</v>
      </c>
      <c r="F27" s="204">
        <f t="shared" si="13"/>
        <v>-2323</v>
      </c>
      <c r="G27" s="204">
        <f t="shared" si="13"/>
        <v>88</v>
      </c>
      <c r="H27" s="44">
        <f t="shared" si="13"/>
        <v>-402.03993192814903</v>
      </c>
      <c r="I27" s="44">
        <f t="shared" ref="I27:Q27" si="14">SUM(I22:I26)</f>
        <v>-829.7587339401008</v>
      </c>
      <c r="J27" s="44">
        <f t="shared" si="14"/>
        <v>-828.30239290747295</v>
      </c>
      <c r="K27" s="44">
        <f t="shared" si="14"/>
        <v>-581.13702117271293</v>
      </c>
      <c r="L27" s="44">
        <f t="shared" si="14"/>
        <v>-369.52595577186923</v>
      </c>
      <c r="M27" s="44">
        <f t="shared" si="14"/>
        <v>0</v>
      </c>
      <c r="N27" s="44">
        <f t="shared" si="14"/>
        <v>0</v>
      </c>
      <c r="O27" s="44">
        <f t="shared" si="14"/>
        <v>0</v>
      </c>
      <c r="P27" s="44">
        <f t="shared" si="14"/>
        <v>0</v>
      </c>
      <c r="Q27" s="44">
        <f t="shared" si="14"/>
        <v>0</v>
      </c>
    </row>
    <row r="28" spans="2:17">
      <c r="C28" s="201"/>
      <c r="D28" s="201"/>
      <c r="E28" s="201"/>
      <c r="F28" s="201"/>
      <c r="G28" s="201"/>
      <c r="H28" s="18"/>
      <c r="I28" s="18"/>
      <c r="J28" s="18"/>
      <c r="K28" s="18"/>
      <c r="L28" s="18"/>
      <c r="M28" s="18"/>
      <c r="N28" s="18"/>
      <c r="O28" s="18"/>
      <c r="P28" s="18"/>
      <c r="Q28" s="18"/>
    </row>
    <row r="29" spans="2:17">
      <c r="B29" s="60" t="str">
        <f>Assumptions!B261</f>
        <v>Effect of Foreign Exchange Rates</v>
      </c>
      <c r="C29" s="201">
        <f>+Assumptions!D261</f>
        <v>-6</v>
      </c>
      <c r="D29" s="201">
        <f>+Assumptions!E261</f>
        <v>-1</v>
      </c>
      <c r="E29" s="201">
        <f>+Assumptions!F261</f>
        <v>4</v>
      </c>
      <c r="F29" s="201">
        <f>+Assumptions!G261</f>
        <v>-35</v>
      </c>
      <c r="G29" s="201">
        <f>+Assumptions!H261</f>
        <v>1</v>
      </c>
      <c r="H29" s="18">
        <f>IF(H$3="",0,IFERROR(AVERAGE(C29:G29),0))</f>
        <v>-7.4</v>
      </c>
      <c r="I29" s="18">
        <f t="shared" ref="I29:Q29" si="15">IF(I$3="",0,IFERROR(AVERAGE(D29:H29),0))</f>
        <v>-7.68</v>
      </c>
      <c r="J29" s="18">
        <f t="shared" si="15"/>
        <v>-9.016</v>
      </c>
      <c r="K29" s="18">
        <f t="shared" si="15"/>
        <v>-11.619199999999999</v>
      </c>
      <c r="L29" s="18">
        <f t="shared" si="15"/>
        <v>-6.943039999999999</v>
      </c>
      <c r="M29" s="18">
        <f t="shared" si="15"/>
        <v>0</v>
      </c>
      <c r="N29" s="18">
        <f t="shared" si="15"/>
        <v>0</v>
      </c>
      <c r="O29" s="18">
        <f t="shared" si="15"/>
        <v>0</v>
      </c>
      <c r="P29" s="18">
        <f t="shared" si="15"/>
        <v>0</v>
      </c>
      <c r="Q29" s="18">
        <f t="shared" si="15"/>
        <v>0</v>
      </c>
    </row>
    <row r="30" spans="2:17">
      <c r="C30" s="201"/>
      <c r="D30" s="201"/>
      <c r="E30" s="201"/>
      <c r="F30" s="201"/>
      <c r="G30" s="201"/>
      <c r="H30" s="18"/>
      <c r="I30" s="18"/>
      <c r="J30" s="18"/>
      <c r="K30" s="18"/>
      <c r="L30" s="18"/>
      <c r="M30" s="18"/>
      <c r="N30" s="18"/>
      <c r="O30" s="18"/>
      <c r="P30" s="18"/>
      <c r="Q30" s="18"/>
    </row>
    <row r="31" spans="2:17" ht="12" thickBot="1">
      <c r="B31" s="67" t="s">
        <v>268</v>
      </c>
      <c r="C31" s="203">
        <f>SUM(C10,C18,C27,C29)</f>
        <v>47</v>
      </c>
      <c r="D31" s="203">
        <f t="shared" ref="D31:H31" si="16">SUM(D10,D18,D27,D29)</f>
        <v>-123</v>
      </c>
      <c r="E31" s="203">
        <f t="shared" si="16"/>
        <v>2164</v>
      </c>
      <c r="F31" s="203">
        <f t="shared" si="16"/>
        <v>-2198</v>
      </c>
      <c r="G31" s="203">
        <f t="shared" si="16"/>
        <v>-174</v>
      </c>
      <c r="H31" s="54">
        <f t="shared" si="16"/>
        <v>975.68431268193422</v>
      </c>
      <c r="I31" s="54">
        <f t="shared" ref="I31:Q31" si="17">SUM(I10,I18,I27,I29)</f>
        <v>1054.8112044183433</v>
      </c>
      <c r="J31" s="54">
        <f t="shared" si="17"/>
        <v>1161.4107522882837</v>
      </c>
      <c r="K31" s="54">
        <f t="shared" si="17"/>
        <v>870.72915336473511</v>
      </c>
      <c r="L31" s="54">
        <f t="shared" si="17"/>
        <v>1444.9900854979219</v>
      </c>
      <c r="M31" s="54">
        <f t="shared" si="17"/>
        <v>0</v>
      </c>
      <c r="N31" s="54">
        <f t="shared" si="17"/>
        <v>0</v>
      </c>
      <c r="O31" s="54">
        <f t="shared" si="17"/>
        <v>0</v>
      </c>
      <c r="P31" s="54">
        <f t="shared" si="17"/>
        <v>0</v>
      </c>
      <c r="Q31" s="54">
        <f t="shared" si="17"/>
        <v>0</v>
      </c>
    </row>
    <row r="32" spans="2:17">
      <c r="C32" s="201"/>
      <c r="D32" s="201"/>
      <c r="E32" s="201"/>
      <c r="F32" s="201"/>
      <c r="G32" s="201"/>
      <c r="H32" s="18"/>
      <c r="I32" s="18"/>
      <c r="J32" s="18"/>
      <c r="K32" s="18"/>
      <c r="L32" s="18"/>
      <c r="M32" s="18"/>
      <c r="N32" s="18"/>
      <c r="O32" s="18"/>
      <c r="P32" s="18"/>
      <c r="Q32" s="18"/>
    </row>
    <row r="33" spans="2:17">
      <c r="B33" s="14" t="s">
        <v>269</v>
      </c>
      <c r="C33" s="201"/>
      <c r="D33" s="201"/>
      <c r="E33" s="201"/>
      <c r="F33" s="201"/>
      <c r="G33" s="201"/>
      <c r="H33" s="18"/>
      <c r="I33" s="18"/>
      <c r="J33" s="18"/>
      <c r="K33" s="18"/>
      <c r="L33" s="18"/>
      <c r="M33" s="18"/>
      <c r="N33" s="18"/>
      <c r="O33" s="18"/>
      <c r="P33" s="18"/>
      <c r="Q33" s="18"/>
    </row>
    <row r="34" spans="2:17">
      <c r="B34" s="35" t="str">
        <f>+Assumptions!B264</f>
        <v>Opening Cash</v>
      </c>
      <c r="C34" s="201">
        <f>+Assumptions!C265+C31</f>
        <v>317</v>
      </c>
      <c r="D34" s="201">
        <f>+C36</f>
        <v>317</v>
      </c>
      <c r="E34" s="201">
        <f t="shared" ref="E34:G34" si="18">+D36</f>
        <v>148</v>
      </c>
      <c r="F34" s="201">
        <f t="shared" si="18"/>
        <v>2228</v>
      </c>
      <c r="G34" s="201">
        <f t="shared" si="18"/>
        <v>160</v>
      </c>
      <c r="H34" s="18">
        <f>IF(H$3="",0,G36)</f>
        <v>-14</v>
      </c>
      <c r="I34" s="18">
        <f t="shared" ref="I34:Q34" si="19">IF(I$3="",0,H36)</f>
        <v>961.68431268193422</v>
      </c>
      <c r="J34" s="18">
        <f t="shared" si="19"/>
        <v>2016.4955171002775</v>
      </c>
      <c r="K34" s="18">
        <f t="shared" si="19"/>
        <v>3177.9062693885612</v>
      </c>
      <c r="L34" s="18">
        <f t="shared" si="19"/>
        <v>4048.6354227532966</v>
      </c>
      <c r="M34" s="18">
        <f t="shared" si="19"/>
        <v>0</v>
      </c>
      <c r="N34" s="18">
        <f t="shared" si="19"/>
        <v>0</v>
      </c>
      <c r="O34" s="18">
        <f t="shared" si="19"/>
        <v>0</v>
      </c>
      <c r="P34" s="18">
        <f t="shared" si="19"/>
        <v>0</v>
      </c>
      <c r="Q34" s="18">
        <f t="shared" si="19"/>
        <v>0</v>
      </c>
    </row>
    <row r="35" spans="2:17">
      <c r="B35" s="35" t="str">
        <f>Assumptions!B267</f>
        <v>Restricted Cash</v>
      </c>
      <c r="C35" s="201">
        <f>+Assumptions!D269</f>
        <v>0</v>
      </c>
      <c r="D35" s="201">
        <f>+Assumptions!E269</f>
        <v>46</v>
      </c>
      <c r="E35" s="201">
        <f>+Assumptions!F269</f>
        <v>84</v>
      </c>
      <c r="F35" s="201">
        <f>+Assumptions!G269</f>
        <v>-130</v>
      </c>
      <c r="G35" s="201">
        <f>+Assumptions!H269</f>
        <v>0</v>
      </c>
      <c r="H35" s="18">
        <f>IF(H$3="",0,Assumptions!I269)</f>
        <v>0</v>
      </c>
      <c r="I35" s="18">
        <f>IF(I$3="",0,Assumptions!J269)</f>
        <v>0</v>
      </c>
      <c r="J35" s="18">
        <f>IF(J$3="",0,Assumptions!K269)</f>
        <v>0</v>
      </c>
      <c r="K35" s="18">
        <f>IF(K$3="",0,Assumptions!L269)</f>
        <v>0</v>
      </c>
      <c r="L35" s="18">
        <f>IF(L$3="",0,Assumptions!M269)</f>
        <v>0</v>
      </c>
      <c r="M35" s="18">
        <f>IF(M$3="",0,Assumptions!N269)</f>
        <v>0</v>
      </c>
      <c r="N35" s="18">
        <f>IF(N$3="",0,Assumptions!O269)</f>
        <v>0</v>
      </c>
      <c r="O35" s="18">
        <f>IF(O$3="",0,Assumptions!P269)</f>
        <v>0</v>
      </c>
      <c r="P35" s="18">
        <f>IF(P$3="",0,Assumptions!Q269)</f>
        <v>0</v>
      </c>
      <c r="Q35" s="18">
        <f>IF(Q$3="",0,Assumptions!R269)</f>
        <v>0</v>
      </c>
    </row>
    <row r="36" spans="2:17" ht="12" thickBot="1">
      <c r="B36" s="66" t="s">
        <v>270</v>
      </c>
      <c r="C36" s="188">
        <f>+C34-C35</f>
        <v>317</v>
      </c>
      <c r="D36" s="188">
        <f>+D31+D34-D35</f>
        <v>148</v>
      </c>
      <c r="E36" s="188">
        <f t="shared" ref="E36:G36" si="20">+E31+E34-E35</f>
        <v>2228</v>
      </c>
      <c r="F36" s="188">
        <f t="shared" si="20"/>
        <v>160</v>
      </c>
      <c r="G36" s="188">
        <f t="shared" si="20"/>
        <v>-14</v>
      </c>
      <c r="H36" s="61">
        <f>+H31+H34-H35</f>
        <v>961.68431268193422</v>
      </c>
      <c r="I36" s="61">
        <f t="shared" ref="I36:Q36" si="21">+I31+I34-I35</f>
        <v>2016.4955171002775</v>
      </c>
      <c r="J36" s="61">
        <f t="shared" si="21"/>
        <v>3177.9062693885612</v>
      </c>
      <c r="K36" s="61">
        <f t="shared" si="21"/>
        <v>4048.6354227532966</v>
      </c>
      <c r="L36" s="61">
        <f t="shared" si="21"/>
        <v>5493.625508251218</v>
      </c>
      <c r="M36" s="61">
        <f t="shared" si="21"/>
        <v>0</v>
      </c>
      <c r="N36" s="61">
        <f t="shared" si="21"/>
        <v>0</v>
      </c>
      <c r="O36" s="61">
        <f t="shared" si="21"/>
        <v>0</v>
      </c>
      <c r="P36" s="61">
        <f t="shared" si="21"/>
        <v>0</v>
      </c>
      <c r="Q36" s="61">
        <f t="shared" si="21"/>
        <v>0</v>
      </c>
    </row>
    <row r="37" spans="2:17" ht="12" thickTop="1">
      <c r="C37" s="18"/>
      <c r="D37" s="18"/>
      <c r="E37" s="18"/>
      <c r="F37" s="18"/>
      <c r="G37" s="18"/>
      <c r="H37" s="18"/>
      <c r="I37" s="18"/>
      <c r="J37" s="18"/>
      <c r="K37" s="18"/>
      <c r="L37" s="18"/>
      <c r="M37" s="18"/>
      <c r="N37" s="18"/>
      <c r="O37" s="18"/>
      <c r="P37" s="18"/>
      <c r="Q37" s="18"/>
    </row>
    <row r="38" spans="2:17">
      <c r="C38" s="18"/>
      <c r="D38" s="18"/>
      <c r="E38" s="18"/>
      <c r="F38" s="18"/>
      <c r="G38" s="18"/>
      <c r="H38" s="18"/>
      <c r="I38" s="18"/>
      <c r="J38" s="18"/>
      <c r="K38" s="18"/>
      <c r="L38" s="18"/>
      <c r="M38" s="18"/>
      <c r="N38" s="18"/>
      <c r="O38" s="18"/>
      <c r="P38" s="18"/>
      <c r="Q38" s="18"/>
    </row>
    <row r="39" spans="2:17">
      <c r="B39" s="42" t="s">
        <v>271</v>
      </c>
      <c r="C39" s="62"/>
      <c r="D39" s="62"/>
      <c r="E39" s="62"/>
      <c r="F39" s="62"/>
      <c r="G39" s="62"/>
      <c r="H39" s="62"/>
      <c r="I39" s="62"/>
      <c r="J39" s="62"/>
      <c r="K39" s="62"/>
      <c r="L39" s="62"/>
      <c r="M39" s="62"/>
      <c r="N39" s="62"/>
      <c r="O39" s="62"/>
      <c r="P39" s="62"/>
      <c r="Q39" s="62"/>
    </row>
    <row r="40" spans="2:17">
      <c r="B40" s="1" t="str">
        <f>'Income Statement'!B4</f>
        <v>Revenue</v>
      </c>
      <c r="C40" s="18">
        <f>'Income Statement'!C4</f>
        <v>42405</v>
      </c>
      <c r="D40" s="18">
        <f>'Income Statement'!D4</f>
        <v>43185</v>
      </c>
      <c r="E40" s="18">
        <f>'Income Statement'!E4</f>
        <v>47049</v>
      </c>
      <c r="F40" s="18">
        <f>'Income Statement'!F4</f>
        <v>53282</v>
      </c>
      <c r="G40" s="18">
        <f>'Income Statement'!G4</f>
        <v>52881</v>
      </c>
      <c r="H40" s="18">
        <f>'Income Statement'!H4</f>
        <v>53409.81</v>
      </c>
      <c r="I40" s="18">
        <f>'Income Statement'!I4</f>
        <v>53943.908100000001</v>
      </c>
      <c r="J40" s="18">
        <f>'Income Statement'!J4</f>
        <v>54483.347181000005</v>
      </c>
      <c r="K40" s="18">
        <f>'Income Statement'!K4</f>
        <v>55028.180652810006</v>
      </c>
      <c r="L40" s="18">
        <f>'Income Statement'!L4</f>
        <v>55578.462459338109</v>
      </c>
      <c r="M40" s="18">
        <f>'Income Statement'!M4</f>
        <v>0</v>
      </c>
      <c r="N40" s="18">
        <f>'Income Statement'!N4</f>
        <v>0</v>
      </c>
      <c r="O40" s="18">
        <f>'Income Statement'!O4</f>
        <v>0</v>
      </c>
      <c r="P40" s="18">
        <f>'Income Statement'!P4</f>
        <v>0</v>
      </c>
      <c r="Q40" s="18">
        <f>'Income Statement'!Q4</f>
        <v>0</v>
      </c>
    </row>
    <row r="41" spans="2:17">
      <c r="B41" s="1" t="str">
        <f>'Income Statement'!B37</f>
        <v>Net Income (Loss), GAAP</v>
      </c>
      <c r="C41" s="18">
        <f>'Income Statement'!C37</f>
        <v>2022</v>
      </c>
      <c r="D41" s="18">
        <f>'Income Statement'!D37</f>
        <v>2061</v>
      </c>
      <c r="E41" s="18">
        <f>'Income Statement'!E37</f>
        <v>3047</v>
      </c>
      <c r="F41" s="18">
        <f>'Income Statement'!F37</f>
        <v>3238</v>
      </c>
      <c r="G41" s="18">
        <f>'Income Statement'!G37</f>
        <v>-648</v>
      </c>
      <c r="H41" s="18">
        <f>'Income Statement'!H37</f>
        <v>2347.5088670365153</v>
      </c>
      <c r="I41" s="18">
        <f>'Income Statement'!I37</f>
        <v>2386.7744070091408</v>
      </c>
      <c r="J41" s="18">
        <f>'Income Statement'!J37</f>
        <v>2412.7160585329598</v>
      </c>
      <c r="K41" s="18">
        <f>'Income Statement'!K37</f>
        <v>2430.1167970080232</v>
      </c>
      <c r="L41" s="18">
        <f>'Income Statement'!L37</f>
        <v>2451.9483859650727</v>
      </c>
      <c r="M41" s="18">
        <f>'Income Statement'!M37</f>
        <v>0</v>
      </c>
      <c r="N41" s="18">
        <f>'Income Statement'!N37</f>
        <v>0</v>
      </c>
      <c r="O41" s="18">
        <f>'Income Statement'!O37</f>
        <v>0</v>
      </c>
      <c r="P41" s="18">
        <f>'Income Statement'!P37</f>
        <v>0</v>
      </c>
      <c r="Q41" s="18">
        <f>'Income Statement'!Q37</f>
        <v>0</v>
      </c>
    </row>
    <row r="43" spans="2:17">
      <c r="G43" s="64"/>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8F8F-6C1E-42D5-8CB0-50A3C5D9F305}">
  <sheetPr>
    <tabColor theme="8" tint="0.79998168889431442"/>
  </sheetPr>
  <dimension ref="A2:Q41"/>
  <sheetViews>
    <sheetView zoomScaleNormal="100" workbookViewId="0">
      <pane xSplit="1" ySplit="3" topLeftCell="B4" activePane="bottomRight" state="frozen"/>
      <selection pane="topRight" activeCell="B1" sqref="B1"/>
      <selection pane="bottomLeft" activeCell="A4" sqref="A4"/>
      <selection pane="bottomRight" activeCell="H13" sqref="H13"/>
    </sheetView>
  </sheetViews>
  <sheetFormatPr baseColWidth="10" defaultColWidth="0" defaultRowHeight="11" outlineLevelCol="1"/>
  <cols>
    <col min="1" max="1" width="2.1640625" style="1" customWidth="1"/>
    <col min="2" max="2" width="28.1640625" style="1" bestFit="1" customWidth="1"/>
    <col min="3" max="7" width="8.6640625" style="1" customWidth="1" outlineLevel="1"/>
    <col min="8" max="17" width="8.6640625" style="1" customWidth="1"/>
    <col min="18" max="16384" width="8.6640625" style="1" hidden="1"/>
  </cols>
  <sheetData>
    <row r="2" spans="2:17">
      <c r="B2" s="42" t="s">
        <v>260</v>
      </c>
      <c r="C2" s="42"/>
      <c r="D2" s="42"/>
      <c r="E2" s="42"/>
      <c r="F2" s="42"/>
      <c r="G2" s="42"/>
      <c r="H2" s="42"/>
      <c r="I2" s="42"/>
      <c r="J2" s="42"/>
      <c r="K2" s="42"/>
      <c r="L2" s="42"/>
      <c r="M2" s="42"/>
      <c r="N2" s="42"/>
      <c r="O2" s="42"/>
      <c r="P2" s="42"/>
      <c r="Q2" s="42"/>
    </row>
    <row r="3" spans="2:17">
      <c r="B3" s="22" t="str">
        <f>Assumptions!$B$132</f>
        <v>Year Ending 09/31/2024, In USD Millions</v>
      </c>
      <c r="C3" s="22" cm="1">
        <f t="array" ref="C3:L3">_xlfn.SEQUENCE(1,5+Assumptions!$C$20,(YEAR('Valuation Summary'!$C$4)-5))</f>
        <v>2019</v>
      </c>
      <c r="D3" s="22">
        <v>2020</v>
      </c>
      <c r="E3" s="22">
        <v>2021</v>
      </c>
      <c r="F3" s="22">
        <v>2022</v>
      </c>
      <c r="G3" s="22">
        <v>2023</v>
      </c>
      <c r="H3" s="23">
        <v>2024</v>
      </c>
      <c r="I3" s="23">
        <v>2025</v>
      </c>
      <c r="J3" s="23">
        <v>2026</v>
      </c>
      <c r="K3" s="23">
        <v>2027</v>
      </c>
      <c r="L3" s="23">
        <v>2028</v>
      </c>
      <c r="M3" s="23"/>
      <c r="N3" s="23"/>
      <c r="O3" s="23"/>
      <c r="P3" s="23"/>
      <c r="Q3" s="23"/>
    </row>
    <row r="4" spans="2:17">
      <c r="B4" s="14" t="s">
        <v>261</v>
      </c>
      <c r="C4" s="201"/>
      <c r="D4" s="201"/>
      <c r="E4" s="201"/>
      <c r="F4" s="201"/>
      <c r="G4" s="201"/>
      <c r="H4" s="18"/>
      <c r="I4" s="18"/>
      <c r="J4" s="18"/>
      <c r="K4" s="18"/>
      <c r="L4" s="18"/>
      <c r="M4" s="18"/>
      <c r="N4" s="18"/>
      <c r="O4" s="18"/>
      <c r="P4" s="18"/>
      <c r="Q4" s="18"/>
    </row>
    <row r="5" spans="2:17">
      <c r="B5" s="35" t="str">
        <f>'Income Statement'!B37</f>
        <v>Net Income (Loss), GAAP</v>
      </c>
      <c r="C5" s="201">
        <f>'IS Bear'!C37</f>
        <v>2022</v>
      </c>
      <c r="D5" s="201">
        <f>'Income Statement'!D37</f>
        <v>2061</v>
      </c>
      <c r="E5" s="201">
        <f>'Income Statement'!E37</f>
        <v>3047</v>
      </c>
      <c r="F5" s="201">
        <f>'Income Statement'!F37</f>
        <v>3238</v>
      </c>
      <c r="G5" s="201">
        <f>'Income Statement'!G37</f>
        <v>-648</v>
      </c>
      <c r="H5" s="18">
        <f>IF(H$3="",0,'IS Bear'!H37)</f>
        <v>2295.3852486969822</v>
      </c>
      <c r="I5" s="18">
        <f>IF(I$3="",0,'IS Bear'!I37)</f>
        <v>2282.5271703300682</v>
      </c>
      <c r="J5" s="18">
        <f>IF(J$3="",0,'IS Bear'!J37)</f>
        <v>2256.3399911525116</v>
      </c>
      <c r="K5" s="18">
        <f>IF(K$3="",0,'IS Bear'!K37)</f>
        <v>2221.6014742025359</v>
      </c>
      <c r="L5" s="18">
        <f>IF(L$3="",0,'IS Bear'!L37)</f>
        <v>2191.2781701278095</v>
      </c>
      <c r="M5" s="18">
        <f>IF(M$3="",0,'IS Bear'!M37)</f>
        <v>0</v>
      </c>
      <c r="N5" s="18">
        <f>IF(N$3="",0,'IS Bear'!N37)</f>
        <v>0</v>
      </c>
      <c r="O5" s="18">
        <f>IF(O$3="",0,'IS Bear'!O37)</f>
        <v>0</v>
      </c>
      <c r="P5" s="18">
        <f>IF(P$3="",0,'IS Bear'!P37)</f>
        <v>0</v>
      </c>
      <c r="Q5" s="18">
        <f>IF(Q$3="",0,'IS Bear'!Q37)</f>
        <v>0</v>
      </c>
    </row>
    <row r="6" spans="2:17">
      <c r="B6" s="35" t="str">
        <f>'Income Statement'!B47</f>
        <v>Depreciation and Amortization</v>
      </c>
      <c r="C6" s="201">
        <f>'IS Bear'!C47</f>
        <v>1098</v>
      </c>
      <c r="D6" s="201">
        <f>'Income Statement'!D47</f>
        <v>1192</v>
      </c>
      <c r="E6" s="201">
        <f>'Income Statement'!E47</f>
        <v>1214</v>
      </c>
      <c r="F6" s="201">
        <f>'Income Statement'!F47</f>
        <v>1202</v>
      </c>
      <c r="G6" s="201">
        <f>'Income Statement'!G47</f>
        <v>1339</v>
      </c>
      <c r="H6" s="18">
        <f>IF(H$3="",0,'IS Bear'!H47)</f>
        <v>1364.6435714198899</v>
      </c>
      <c r="I6" s="18">
        <f>IF(I$3="",0,'IS Bear'!I47)</f>
        <v>1350.9971357056909</v>
      </c>
      <c r="J6" s="18">
        <f>IF(J$3="",0,'IS Bear'!J47)</f>
        <v>1337.487164348634</v>
      </c>
      <c r="K6" s="18">
        <f>IF(K$3="",0,'IS Bear'!K47)</f>
        <v>1324.1122927051479</v>
      </c>
      <c r="L6" s="18">
        <f>IF(L$3="",0,'IS Bear'!L47)</f>
        <v>1310.8711697780961</v>
      </c>
      <c r="M6" s="18">
        <f>IF(M$3="",0,'IS Bear'!M47)</f>
        <v>0</v>
      </c>
      <c r="N6" s="18">
        <f>IF(N$3="",0,'IS Bear'!N47)</f>
        <v>0</v>
      </c>
      <c r="O6" s="18">
        <f>IF(O$3="",0,'IS Bear'!O47)</f>
        <v>0</v>
      </c>
      <c r="P6" s="18">
        <f>IF(P$3="",0,'IS Bear'!P47)</f>
        <v>0</v>
      </c>
      <c r="Q6" s="18">
        <f>IF(Q$3="",0,'IS Bear'!Q47)</f>
        <v>0</v>
      </c>
    </row>
    <row r="7" spans="2:17">
      <c r="B7" s="35" t="str">
        <f>Assumptions!B206</f>
        <v>Non-Cash Items</v>
      </c>
      <c r="C7" s="201">
        <f>Assumptions!D206</f>
        <v>70</v>
      </c>
      <c r="D7" s="201">
        <f>Assumptions!E206</f>
        <v>-66</v>
      </c>
      <c r="E7" s="201">
        <f>Assumptions!F206</f>
        <v>-768</v>
      </c>
      <c r="F7" s="201">
        <f>Assumptions!G206</f>
        <v>-6</v>
      </c>
      <c r="G7" s="201">
        <f>Assumptions!H206</f>
        <v>996</v>
      </c>
      <c r="H7" s="18">
        <f>IF(H$3="",0,H40*Assumptions!I208)</f>
        <v>0</v>
      </c>
      <c r="I7" s="18">
        <f>IF(I$3="",0,I40*Assumptions!J208)</f>
        <v>0</v>
      </c>
      <c r="J7" s="18">
        <f>IF(J$3="",0,J40*Assumptions!K208)</f>
        <v>0</v>
      </c>
      <c r="K7" s="18">
        <f>IF(K$3="",0,K40*Assumptions!L208)</f>
        <v>0</v>
      </c>
      <c r="L7" s="18">
        <f>IF(L$3="",0,L40*Assumptions!M208)</f>
        <v>0</v>
      </c>
      <c r="M7" s="18">
        <f>IF(M$3="",0,M40*Assumptions!N208)</f>
        <v>0</v>
      </c>
      <c r="N7" s="18">
        <f>IF(N$3="",0,N40*Assumptions!O208)</f>
        <v>0</v>
      </c>
      <c r="O7" s="18">
        <f>IF(O$3="",0,O40*Assumptions!P208)</f>
        <v>0</v>
      </c>
      <c r="P7" s="18">
        <f>IF(P$3="",0,P40*Assumptions!Q208)</f>
        <v>0</v>
      </c>
      <c r="Q7" s="18">
        <f>IF(Q$3="",0,Q40*Assumptions!R208)</f>
        <v>0</v>
      </c>
    </row>
    <row r="8" spans="2:17">
      <c r="B8" s="35" t="str">
        <f>Assumptions!B213</f>
        <v>Change in Non-Cash Working Capital</v>
      </c>
      <c r="C8" s="201">
        <f>Assumptions!D213</f>
        <v>-846</v>
      </c>
      <c r="D8" s="201">
        <f>Assumptions!E213</f>
        <v>580</v>
      </c>
      <c r="E8" s="201">
        <f>Assumptions!F213</f>
        <v>381</v>
      </c>
      <c r="F8" s="201">
        <f>Assumptions!G213</f>
        <v>-2104</v>
      </c>
      <c r="G8" s="201">
        <f>Assumptions!H213</f>
        <v>187</v>
      </c>
      <c r="H8" s="18">
        <f>IF(H$3="",0,IFERROR(AVERAGE(C8:G8),0))</f>
        <v>-360.4</v>
      </c>
      <c r="I8" s="18">
        <f t="shared" ref="I8:Q8" si="0">IF(I$3="",0,IFERROR(AVERAGE(D8:H8),0))</f>
        <v>-263.28000000000003</v>
      </c>
      <c r="J8" s="18">
        <f t="shared" si="0"/>
        <v>-431.93600000000004</v>
      </c>
      <c r="K8" s="18">
        <f t="shared" si="0"/>
        <v>-594.52320000000009</v>
      </c>
      <c r="L8" s="18">
        <f t="shared" si="0"/>
        <v>-292.62783999999999</v>
      </c>
      <c r="M8" s="18">
        <f t="shared" si="0"/>
        <v>0</v>
      </c>
      <c r="N8" s="18">
        <f t="shared" si="0"/>
        <v>0</v>
      </c>
      <c r="O8" s="18">
        <f t="shared" si="0"/>
        <v>0</v>
      </c>
      <c r="P8" s="18">
        <f t="shared" si="0"/>
        <v>0</v>
      </c>
      <c r="Q8" s="18">
        <f t="shared" si="0"/>
        <v>0</v>
      </c>
    </row>
    <row r="9" spans="2:17">
      <c r="B9" s="35" t="str">
        <f>Assumptions!B224</f>
        <v>Net Cash from Discontinued Operations</v>
      </c>
      <c r="C9" s="201">
        <f>Assumptions!D224</f>
        <v>0</v>
      </c>
      <c r="D9" s="201">
        <f>Assumptions!E224</f>
        <v>0</v>
      </c>
      <c r="E9" s="201">
        <f>Assumptions!F224</f>
        <v>0</v>
      </c>
      <c r="F9" s="201">
        <f>Assumptions!G224</f>
        <v>0</v>
      </c>
      <c r="G9" s="201">
        <f>Assumptions!H224</f>
        <v>0</v>
      </c>
      <c r="H9" s="18">
        <f>IF(H$3="",0,Assumptions!I224)</f>
        <v>0</v>
      </c>
      <c r="I9" s="18">
        <f>IF(I$3="",0,Assumptions!J224)</f>
        <v>0</v>
      </c>
      <c r="J9" s="18">
        <f>IF(J$3="",0,Assumptions!K224)</f>
        <v>0</v>
      </c>
      <c r="K9" s="18">
        <f>IF(K$3="",0,Assumptions!L224)</f>
        <v>0</v>
      </c>
      <c r="L9" s="18">
        <f>IF(L$3="",0,Assumptions!M224)</f>
        <v>0</v>
      </c>
      <c r="M9" s="18">
        <f>IF(M$3="",0,Assumptions!N224)</f>
        <v>0</v>
      </c>
      <c r="N9" s="18">
        <f>IF(N$3="",0,Assumptions!O224)</f>
        <v>0</v>
      </c>
      <c r="O9" s="18">
        <f>IF(O$3="",0,Assumptions!P224)</f>
        <v>0</v>
      </c>
      <c r="P9" s="18">
        <f>IF(P$3="",0,Assumptions!Q224)</f>
        <v>0</v>
      </c>
      <c r="Q9" s="18">
        <f>IF(Q$3="",0,Assumptions!R224)</f>
        <v>0</v>
      </c>
    </row>
    <row r="10" spans="2:17">
      <c r="B10" s="43" t="s">
        <v>262</v>
      </c>
      <c r="C10" s="204">
        <f>SUM(C5:C9)</f>
        <v>2344</v>
      </c>
      <c r="D10" s="204">
        <f t="shared" ref="D10:H10" si="1">SUM(D5:D9)</f>
        <v>3767</v>
      </c>
      <c r="E10" s="204">
        <f t="shared" si="1"/>
        <v>3874</v>
      </c>
      <c r="F10" s="204">
        <f t="shared" si="1"/>
        <v>2330</v>
      </c>
      <c r="G10" s="204">
        <f t="shared" si="1"/>
        <v>1874</v>
      </c>
      <c r="H10" s="44">
        <f t="shared" si="1"/>
        <v>3299.6288201168722</v>
      </c>
      <c r="I10" s="44">
        <f t="shared" ref="I10:Q10" si="2">SUM(I5:I9)</f>
        <v>3370.2443060357587</v>
      </c>
      <c r="J10" s="44">
        <f t="shared" si="2"/>
        <v>3161.8911555011455</v>
      </c>
      <c r="K10" s="44">
        <f t="shared" si="2"/>
        <v>2951.1905669076837</v>
      </c>
      <c r="L10" s="44">
        <f t="shared" si="2"/>
        <v>3209.5214999059053</v>
      </c>
      <c r="M10" s="44">
        <f t="shared" si="2"/>
        <v>0</v>
      </c>
      <c r="N10" s="44">
        <f t="shared" si="2"/>
        <v>0</v>
      </c>
      <c r="O10" s="44">
        <f t="shared" si="2"/>
        <v>0</v>
      </c>
      <c r="P10" s="44">
        <f t="shared" si="2"/>
        <v>0</v>
      </c>
      <c r="Q10" s="44">
        <f t="shared" si="2"/>
        <v>0</v>
      </c>
    </row>
    <row r="11" spans="2:17">
      <c r="C11" s="201"/>
      <c r="D11" s="201"/>
      <c r="E11" s="201"/>
      <c r="F11" s="201"/>
      <c r="G11" s="201"/>
      <c r="H11" s="18"/>
      <c r="I11" s="18"/>
      <c r="J11" s="18"/>
      <c r="K11" s="18"/>
      <c r="L11" s="18"/>
      <c r="M11" s="18"/>
      <c r="N11" s="18"/>
      <c r="O11" s="18"/>
      <c r="P11" s="18"/>
      <c r="Q11" s="18"/>
    </row>
    <row r="12" spans="2:17">
      <c r="B12" s="14" t="s">
        <v>263</v>
      </c>
      <c r="C12" s="201"/>
      <c r="D12" s="201"/>
      <c r="E12" s="201"/>
      <c r="F12" s="201"/>
      <c r="G12" s="201"/>
      <c r="H12" s="18"/>
      <c r="I12" s="18"/>
      <c r="J12" s="18"/>
      <c r="K12" s="18"/>
      <c r="L12" s="18"/>
      <c r="M12" s="18"/>
      <c r="N12" s="18"/>
      <c r="O12" s="18"/>
      <c r="P12" s="18"/>
      <c r="Q12" s="18"/>
    </row>
    <row r="13" spans="2:17">
      <c r="B13" s="35" t="s">
        <v>264</v>
      </c>
      <c r="C13" s="201">
        <f>-'IS Bear'!C44+Assumptions!D229</f>
        <v>-1259</v>
      </c>
      <c r="D13" s="201">
        <f>-'Income Statement'!D44+Assumptions!E229</f>
        <v>-1199</v>
      </c>
      <c r="E13" s="201">
        <f>-'Income Statement'!E44+Assumptions!F229</f>
        <v>-1209</v>
      </c>
      <c r="F13" s="201">
        <f>-'Income Statement'!F44+Assumptions!G229</f>
        <v>-1887</v>
      </c>
      <c r="G13" s="201">
        <f>-'Income Statement'!G44+Assumptions!H229</f>
        <v>-1939</v>
      </c>
      <c r="H13" s="18">
        <f>IF(H$3="",0,-'IS Bear'!H44+('BS Bear'!H12*Assumptions!I230))</f>
        <v>-1625.3611716200558</v>
      </c>
      <c r="I13" s="18">
        <f>IF(I$3="",0,-'IS Bear'!I44+('BS Bear'!I12*Assumptions!J230))</f>
        <v>-1609.1075599038552</v>
      </c>
      <c r="J13" s="18">
        <f>IF(J$3="",0,-'IS Bear'!J44+('BS Bear'!J12*Assumptions!K230))</f>
        <v>-1593.0164843048167</v>
      </c>
      <c r="K13" s="18">
        <f>IF(K$3="",0,-'IS Bear'!K44+('BS Bear'!K12*Assumptions!L230))</f>
        <v>-1577.0863194617687</v>
      </c>
      <c r="L13" s="18">
        <f>IF(L$3="",0,-'IS Bear'!L44+('BS Bear'!L12*Assumptions!M230))</f>
        <v>-1561.3154562671507</v>
      </c>
      <c r="M13" s="18">
        <f>IF(M$3="",0,-'IS Bear'!M44+('BS Bear'!M12*Assumptions!N230))</f>
        <v>0</v>
      </c>
      <c r="N13" s="18">
        <f>IF(N$3="",0,-'IS Bear'!N44+('BS Bear'!N12*Assumptions!O230))</f>
        <v>0</v>
      </c>
      <c r="O13" s="18">
        <f>IF(O$3="",0,-'IS Bear'!O44+('BS Bear'!O12*Assumptions!P230))</f>
        <v>0</v>
      </c>
      <c r="P13" s="18">
        <f>IF(P$3="",0,-'IS Bear'!P44+('BS Bear'!P12*Assumptions!Q230))</f>
        <v>0</v>
      </c>
      <c r="Q13" s="18">
        <f>IF(Q$3="",0,-'IS Bear'!Q44+('BS Bear'!Q12*Assumptions!R230))</f>
        <v>0</v>
      </c>
    </row>
    <row r="14" spans="2:17">
      <c r="B14" s="35" t="s">
        <v>164</v>
      </c>
      <c r="C14" s="201">
        <f>Assumptions!D233</f>
        <v>0</v>
      </c>
      <c r="D14" s="201">
        <f>Assumptions!E233</f>
        <v>0</v>
      </c>
      <c r="E14" s="201">
        <f>Assumptions!F233</f>
        <v>0</v>
      </c>
      <c r="F14" s="201">
        <f>Assumptions!G233</f>
        <v>0</v>
      </c>
      <c r="G14" s="201">
        <f>Assumptions!H233</f>
        <v>0</v>
      </c>
      <c r="H14" s="18">
        <f>IF(H$3="",0,IFERROR(AVERAGE(C14:G14),0))</f>
        <v>0</v>
      </c>
      <c r="I14" s="18">
        <f t="shared" ref="I14:Q14" si="3">IF(I$3="",0,IFERROR(AVERAGE(D14:H14),0))</f>
        <v>0</v>
      </c>
      <c r="J14" s="18">
        <f t="shared" si="3"/>
        <v>0</v>
      </c>
      <c r="K14" s="18">
        <f t="shared" si="3"/>
        <v>0</v>
      </c>
      <c r="L14" s="18">
        <f t="shared" si="3"/>
        <v>0</v>
      </c>
      <c r="M14" s="18">
        <f t="shared" si="3"/>
        <v>0</v>
      </c>
      <c r="N14" s="18">
        <f t="shared" si="3"/>
        <v>0</v>
      </c>
      <c r="O14" s="18">
        <f t="shared" si="3"/>
        <v>0</v>
      </c>
      <c r="P14" s="18">
        <f t="shared" si="3"/>
        <v>0</v>
      </c>
      <c r="Q14" s="18">
        <f t="shared" si="3"/>
        <v>0</v>
      </c>
    </row>
    <row r="15" spans="2:17">
      <c r="B15" s="35" t="s">
        <v>165</v>
      </c>
      <c r="C15" s="201">
        <f>Assumptions!D236</f>
        <v>-2292</v>
      </c>
      <c r="D15" s="201">
        <f>Assumptions!E236</f>
        <v>-154</v>
      </c>
      <c r="E15" s="201">
        <f>Assumptions!F236</f>
        <v>1144</v>
      </c>
      <c r="F15" s="201">
        <f>Assumptions!G236</f>
        <v>-177</v>
      </c>
      <c r="G15" s="201">
        <f>Assumptions!H236</f>
        <v>-262</v>
      </c>
      <c r="H15" s="18">
        <f>IF(H$3="",0,IFERROR(AVERAGE(C15:G15),0))</f>
        <v>-348.2</v>
      </c>
      <c r="I15" s="18">
        <f t="shared" ref="I15:Q15" si="4">IF(I$3="",0,IFERROR(AVERAGE(D15:H15),0))</f>
        <v>40.56</v>
      </c>
      <c r="J15" s="18">
        <f t="shared" si="4"/>
        <v>79.472000000000008</v>
      </c>
      <c r="K15" s="18">
        <f t="shared" si="4"/>
        <v>-133.43360000000001</v>
      </c>
      <c r="L15" s="18">
        <f t="shared" si="4"/>
        <v>-124.72032000000004</v>
      </c>
      <c r="M15" s="18">
        <f t="shared" si="4"/>
        <v>0</v>
      </c>
      <c r="N15" s="18">
        <f t="shared" si="4"/>
        <v>0</v>
      </c>
      <c r="O15" s="18">
        <f t="shared" si="4"/>
        <v>0</v>
      </c>
      <c r="P15" s="18">
        <f t="shared" si="4"/>
        <v>0</v>
      </c>
      <c r="Q15" s="18">
        <f t="shared" si="4"/>
        <v>0</v>
      </c>
    </row>
    <row r="16" spans="2:17">
      <c r="B16" s="35" t="s">
        <v>166</v>
      </c>
      <c r="C16" s="201">
        <f>Assumptions!D239</f>
        <v>89</v>
      </c>
      <c r="D16" s="201">
        <f>Assumptions!E239</f>
        <v>-1068</v>
      </c>
      <c r="E16" s="201">
        <f>Assumptions!F239</f>
        <v>1082</v>
      </c>
      <c r="F16" s="201">
        <f>Assumptions!G239</f>
        <v>-106</v>
      </c>
      <c r="G16" s="201">
        <f>Assumptions!H239</f>
        <v>64</v>
      </c>
      <c r="H16" s="18">
        <f>IF(H$3="",0,IFERROR(AVERAGE(C16:G16),0))</f>
        <v>12.2</v>
      </c>
      <c r="I16" s="18">
        <f t="shared" ref="I16:Q16" si="5">IF(I$3="",0,IFERROR(AVERAGE(D16:H16),0))</f>
        <v>-3.16</v>
      </c>
      <c r="J16" s="18">
        <f t="shared" si="5"/>
        <v>209.80799999999999</v>
      </c>
      <c r="K16" s="18">
        <f t="shared" si="5"/>
        <v>35.369599999999998</v>
      </c>
      <c r="L16" s="18">
        <f t="shared" si="5"/>
        <v>63.643520000000002</v>
      </c>
      <c r="M16" s="18">
        <f t="shared" si="5"/>
        <v>0</v>
      </c>
      <c r="N16" s="18">
        <f t="shared" si="5"/>
        <v>0</v>
      </c>
      <c r="O16" s="18">
        <f t="shared" si="5"/>
        <v>0</v>
      </c>
      <c r="P16" s="18">
        <f t="shared" si="5"/>
        <v>0</v>
      </c>
      <c r="Q16" s="18">
        <f t="shared" si="5"/>
        <v>0</v>
      </c>
    </row>
    <row r="17" spans="2:17">
      <c r="B17" s="35" t="s">
        <v>160</v>
      </c>
      <c r="C17" s="201">
        <f>Assumptions!D242</f>
        <v>0</v>
      </c>
      <c r="D17" s="201">
        <f>Assumptions!E242</f>
        <v>0</v>
      </c>
      <c r="E17" s="201">
        <f>Assumptions!F242</f>
        <v>0</v>
      </c>
      <c r="F17" s="201">
        <f>Assumptions!G242</f>
        <v>0</v>
      </c>
      <c r="G17" s="201">
        <f>Assumptions!H242</f>
        <v>0</v>
      </c>
      <c r="H17" s="18">
        <f>IF(H$3="",0,IFERROR(AVERAGE(C17:G17),0))</f>
        <v>0</v>
      </c>
      <c r="I17" s="18">
        <f t="shared" ref="I17:Q17" si="6">IF(I$3="",0,IFERROR(AVERAGE(D17:H17),0))</f>
        <v>0</v>
      </c>
      <c r="J17" s="18">
        <f t="shared" si="6"/>
        <v>0</v>
      </c>
      <c r="K17" s="18">
        <f t="shared" si="6"/>
        <v>0</v>
      </c>
      <c r="L17" s="18">
        <f t="shared" si="6"/>
        <v>0</v>
      </c>
      <c r="M17" s="18">
        <f t="shared" si="6"/>
        <v>0</v>
      </c>
      <c r="N17" s="18">
        <f t="shared" si="6"/>
        <v>0</v>
      </c>
      <c r="O17" s="18">
        <f t="shared" si="6"/>
        <v>0</v>
      </c>
      <c r="P17" s="18">
        <f t="shared" si="6"/>
        <v>0</v>
      </c>
      <c r="Q17" s="18">
        <f t="shared" si="6"/>
        <v>0</v>
      </c>
    </row>
    <row r="18" spans="2:17">
      <c r="B18" s="43" t="s">
        <v>265</v>
      </c>
      <c r="C18" s="204">
        <f>SUM(C13:C17)</f>
        <v>-3462</v>
      </c>
      <c r="D18" s="204">
        <f t="shared" ref="D18:H18" si="7">SUM(D13:D17)</f>
        <v>-2421</v>
      </c>
      <c r="E18" s="204">
        <f t="shared" si="7"/>
        <v>1017</v>
      </c>
      <c r="F18" s="204">
        <f t="shared" si="7"/>
        <v>-2170</v>
      </c>
      <c r="G18" s="204">
        <f t="shared" si="7"/>
        <v>-2137</v>
      </c>
      <c r="H18" s="44">
        <f t="shared" si="7"/>
        <v>-1961.3611716200558</v>
      </c>
      <c r="I18" s="44">
        <f t="shared" ref="I18:Q18" si="8">SUM(I13:I17)</f>
        <v>-1571.7075599038553</v>
      </c>
      <c r="J18" s="44">
        <f t="shared" si="8"/>
        <v>-1303.7364843048167</v>
      </c>
      <c r="K18" s="44">
        <f t="shared" si="8"/>
        <v>-1675.1503194617687</v>
      </c>
      <c r="L18" s="44">
        <f t="shared" si="8"/>
        <v>-1622.3922562671507</v>
      </c>
      <c r="M18" s="44">
        <f t="shared" si="8"/>
        <v>0</v>
      </c>
      <c r="N18" s="44">
        <f t="shared" si="8"/>
        <v>0</v>
      </c>
      <c r="O18" s="44">
        <f t="shared" si="8"/>
        <v>0</v>
      </c>
      <c r="P18" s="44">
        <f t="shared" si="8"/>
        <v>0</v>
      </c>
      <c r="Q18" s="44">
        <f t="shared" si="8"/>
        <v>0</v>
      </c>
    </row>
    <row r="19" spans="2:17">
      <c r="C19" s="201"/>
      <c r="D19" s="201"/>
      <c r="E19" s="201"/>
      <c r="F19" s="201"/>
      <c r="G19" s="201"/>
      <c r="H19" s="18"/>
      <c r="I19" s="18"/>
      <c r="J19" s="18"/>
      <c r="K19" s="18"/>
      <c r="L19" s="18"/>
      <c r="M19" s="18"/>
      <c r="N19" s="18"/>
      <c r="O19" s="18"/>
      <c r="P19" s="18"/>
      <c r="Q19" s="18"/>
    </row>
    <row r="20" spans="2:17">
      <c r="C20" s="201"/>
      <c r="D20" s="201"/>
      <c r="E20" s="201"/>
      <c r="F20" s="201"/>
      <c r="G20" s="201"/>
      <c r="H20" s="18"/>
      <c r="I20" s="18"/>
      <c r="J20" s="18"/>
      <c r="K20" s="18"/>
      <c r="L20" s="18"/>
      <c r="M20" s="18"/>
      <c r="N20" s="18"/>
      <c r="O20" s="18"/>
      <c r="P20" s="18"/>
      <c r="Q20" s="18"/>
    </row>
    <row r="21" spans="2:17">
      <c r="B21" s="14" t="s">
        <v>266</v>
      </c>
      <c r="C21" s="201"/>
      <c r="D21" s="201"/>
      <c r="E21" s="201"/>
      <c r="F21" s="201"/>
      <c r="G21" s="201"/>
      <c r="H21" s="18"/>
      <c r="I21" s="18"/>
      <c r="J21" s="18"/>
      <c r="K21" s="18"/>
      <c r="L21" s="18"/>
      <c r="M21" s="18"/>
      <c r="N21" s="18"/>
      <c r="O21" s="18"/>
      <c r="P21" s="18"/>
      <c r="Q21" s="18"/>
    </row>
    <row r="22" spans="2:17">
      <c r="B22" s="35" t="str">
        <f>Assumptions!B245</f>
        <v>Dividends Paid</v>
      </c>
      <c r="C22" s="201">
        <f>Assumptions!D245</f>
        <v>-537</v>
      </c>
      <c r="D22" s="201">
        <f>Assumptions!E245</f>
        <v>-601</v>
      </c>
      <c r="E22" s="201">
        <f>Assumptions!F245</f>
        <v>-636</v>
      </c>
      <c r="F22" s="201">
        <f>Assumptions!G245</f>
        <v>-653</v>
      </c>
      <c r="G22" s="201">
        <f>Assumptions!H245</f>
        <v>-670</v>
      </c>
      <c r="H22" s="18">
        <f>IF(H$3="",0,H41*Assumptions!I246)</f>
        <v>30.468196139685993</v>
      </c>
      <c r="I22" s="18">
        <f>IF(I$3="",0,I41*Assumptions!J246)</f>
        <v>30.297522195569215</v>
      </c>
      <c r="J22" s="18">
        <f>IF(J$3="",0,J41*Assumptions!K246)</f>
        <v>29.949922108838752</v>
      </c>
      <c r="K22" s="18">
        <f>IF(K$3="",0,K41*Assumptions!L246)</f>
        <v>29.48881434985385</v>
      </c>
      <c r="L22" s="18">
        <f>IF(L$3="",0,L41*Assumptions!M246)</f>
        <v>29.086312688454498</v>
      </c>
      <c r="M22" s="18">
        <f>IF(M$3="",0,M41*Assumptions!N246)</f>
        <v>0</v>
      </c>
      <c r="N22" s="18">
        <f>IF(N$3="",0,N41*Assumptions!O246)</f>
        <v>0</v>
      </c>
      <c r="O22" s="18">
        <f>IF(O$3="",0,O41*Assumptions!P246)</f>
        <v>0</v>
      </c>
      <c r="P22" s="18">
        <f>IF(P$3="",0,P41*Assumptions!Q246)</f>
        <v>0</v>
      </c>
      <c r="Q22" s="18">
        <f>IF(Q$3="",0,Q41*Assumptions!R246)</f>
        <v>0</v>
      </c>
    </row>
    <row r="23" spans="2:17">
      <c r="B23" s="35" t="str">
        <f>Assumptions!B249</f>
        <v>Net Cash from (Repayment) Debt</v>
      </c>
      <c r="C23" s="201">
        <f>Assumptions!D249</f>
        <v>1891</v>
      </c>
      <c r="D23" s="201">
        <f>Assumptions!E249</f>
        <v>-672</v>
      </c>
      <c r="E23" s="201">
        <f>Assumptions!F249</f>
        <v>-2047</v>
      </c>
      <c r="F23" s="201">
        <f>Assumptions!G249</f>
        <v>-1088</v>
      </c>
      <c r="G23" s="201">
        <f>Assumptions!H249</f>
        <v>1117</v>
      </c>
      <c r="H23" s="18">
        <f>IF(H$3="",0,IFERROR(AVERAGE(C23:G23),0))</f>
        <v>-159.80000000000001</v>
      </c>
      <c r="I23" s="18">
        <f t="shared" ref="I23:Q23" si="9">IF(I$3="",0,IFERROR(AVERAGE(D23:H23),0))</f>
        <v>-569.96</v>
      </c>
      <c r="J23" s="18">
        <f t="shared" si="9"/>
        <v>-549.55200000000002</v>
      </c>
      <c r="K23" s="18">
        <f t="shared" si="9"/>
        <v>-250.06239999999997</v>
      </c>
      <c r="L23" s="18">
        <f t="shared" si="9"/>
        <v>-82.474879999999999</v>
      </c>
      <c r="M23" s="18">
        <f t="shared" si="9"/>
        <v>0</v>
      </c>
      <c r="N23" s="18">
        <f t="shared" si="9"/>
        <v>0</v>
      </c>
      <c r="O23" s="18">
        <f t="shared" si="9"/>
        <v>0</v>
      </c>
      <c r="P23" s="18">
        <f t="shared" si="9"/>
        <v>0</v>
      </c>
      <c r="Q23" s="18">
        <f t="shared" si="9"/>
        <v>0</v>
      </c>
    </row>
    <row r="24" spans="2:17">
      <c r="B24" s="35" t="str">
        <f>Assumptions!B252</f>
        <v>Cash (Repurchase) of Equity</v>
      </c>
      <c r="C24" s="201">
        <f>Assumptions!D252</f>
        <v>-153</v>
      </c>
      <c r="D24" s="201">
        <f>Assumptions!E252</f>
        <v>-177</v>
      </c>
      <c r="E24" s="201">
        <f>Assumptions!F252</f>
        <v>-26</v>
      </c>
      <c r="F24" s="201">
        <f>Assumptions!G252</f>
        <v>-576</v>
      </c>
      <c r="G24" s="201">
        <f>Assumptions!H252</f>
        <v>-343</v>
      </c>
      <c r="H24" s="18">
        <f>IF(H$3="",0,IFERROR(AVERAGE(C24:G24),0))</f>
        <v>-255</v>
      </c>
      <c r="I24" s="18">
        <f t="shared" ref="I24:Q24" si="10">IF(I$3="",0,IFERROR(AVERAGE(D24:H24),0))</f>
        <v>-275.39999999999998</v>
      </c>
      <c r="J24" s="18">
        <f t="shared" si="10"/>
        <v>-295.08000000000004</v>
      </c>
      <c r="K24" s="18">
        <f t="shared" si="10"/>
        <v>-348.89600000000002</v>
      </c>
      <c r="L24" s="18">
        <f t="shared" si="10"/>
        <v>-303.47519999999997</v>
      </c>
      <c r="M24" s="18">
        <f t="shared" si="10"/>
        <v>0</v>
      </c>
      <c r="N24" s="18">
        <f t="shared" si="10"/>
        <v>0</v>
      </c>
      <c r="O24" s="18">
        <f t="shared" si="10"/>
        <v>0</v>
      </c>
      <c r="P24" s="18">
        <f t="shared" si="10"/>
        <v>0</v>
      </c>
      <c r="Q24" s="18">
        <f t="shared" si="10"/>
        <v>0</v>
      </c>
    </row>
    <row r="25" spans="2:17">
      <c r="B25" s="35" t="str">
        <f>Assumptions!B255</f>
        <v>Other Financing Activities</v>
      </c>
      <c r="C25" s="201">
        <f>Assumptions!D255</f>
        <v>-30</v>
      </c>
      <c r="D25" s="201">
        <f>Assumptions!E255</f>
        <v>-18</v>
      </c>
      <c r="E25" s="201">
        <f>Assumptions!F255</f>
        <v>-22</v>
      </c>
      <c r="F25" s="201">
        <f>Assumptions!G255</f>
        <v>-6</v>
      </c>
      <c r="G25" s="201">
        <f>Assumptions!H255</f>
        <v>-16</v>
      </c>
      <c r="H25" s="18">
        <f>IF(H$3="",0,IFERROR(AVERAGE(C25:G25),0))</f>
        <v>-18.399999999999999</v>
      </c>
      <c r="I25" s="18">
        <f t="shared" ref="I25:Q25" si="11">IF(I$3="",0,IFERROR(AVERAGE(D25:H25),0))</f>
        <v>-16.080000000000002</v>
      </c>
      <c r="J25" s="18">
        <f t="shared" si="11"/>
        <v>-15.696000000000002</v>
      </c>
      <c r="K25" s="18">
        <f t="shared" si="11"/>
        <v>-14.4352</v>
      </c>
      <c r="L25" s="18">
        <f t="shared" si="11"/>
        <v>-16.122239999999998</v>
      </c>
      <c r="M25" s="18">
        <f t="shared" si="11"/>
        <v>0</v>
      </c>
      <c r="N25" s="18">
        <f t="shared" si="11"/>
        <v>0</v>
      </c>
      <c r="O25" s="18">
        <f t="shared" si="11"/>
        <v>0</v>
      </c>
      <c r="P25" s="18">
        <f t="shared" si="11"/>
        <v>0</v>
      </c>
      <c r="Q25" s="18">
        <f t="shared" si="11"/>
        <v>0</v>
      </c>
    </row>
    <row r="26" spans="2:17">
      <c r="B26" s="35" t="str">
        <f>Assumptions!B258</f>
        <v>Net Cash from Discontinued Operations</v>
      </c>
      <c r="C26" s="201">
        <f>Assumptions!D258</f>
        <v>0</v>
      </c>
      <c r="D26" s="201">
        <f>Assumptions!E258</f>
        <v>0</v>
      </c>
      <c r="E26" s="201">
        <f>Assumptions!F258</f>
        <v>0</v>
      </c>
      <c r="F26" s="201">
        <f>Assumptions!G258</f>
        <v>0</v>
      </c>
      <c r="G26" s="201">
        <f>Assumptions!H258</f>
        <v>0</v>
      </c>
      <c r="H26" s="18">
        <f>IF(H$3="",0,IFERROR(AVERAGE(C26:G26),0))</f>
        <v>0</v>
      </c>
      <c r="I26" s="18">
        <f t="shared" ref="I26:Q26" si="12">IF(I$3="",0,IFERROR(AVERAGE(D26:H26),0))</f>
        <v>0</v>
      </c>
      <c r="J26" s="18">
        <f t="shared" si="12"/>
        <v>0</v>
      </c>
      <c r="K26" s="18">
        <f t="shared" si="12"/>
        <v>0</v>
      </c>
      <c r="L26" s="18">
        <f t="shared" si="12"/>
        <v>0</v>
      </c>
      <c r="M26" s="18">
        <f t="shared" si="12"/>
        <v>0</v>
      </c>
      <c r="N26" s="18">
        <f t="shared" si="12"/>
        <v>0</v>
      </c>
      <c r="O26" s="18">
        <f t="shared" si="12"/>
        <v>0</v>
      </c>
      <c r="P26" s="18">
        <f t="shared" si="12"/>
        <v>0</v>
      </c>
      <c r="Q26" s="18">
        <f t="shared" si="12"/>
        <v>0</v>
      </c>
    </row>
    <row r="27" spans="2:17">
      <c r="B27" s="43" t="s">
        <v>267</v>
      </c>
      <c r="C27" s="204">
        <f>SUM(C22:C26)</f>
        <v>1171</v>
      </c>
      <c r="D27" s="204">
        <f t="shared" ref="D27:H27" si="13">SUM(D22:D26)</f>
        <v>-1468</v>
      </c>
      <c r="E27" s="204">
        <f t="shared" si="13"/>
        <v>-2731</v>
      </c>
      <c r="F27" s="204">
        <f t="shared" si="13"/>
        <v>-2323</v>
      </c>
      <c r="G27" s="204">
        <f t="shared" si="13"/>
        <v>88</v>
      </c>
      <c r="H27" s="44">
        <f t="shared" si="13"/>
        <v>-402.73180386031402</v>
      </c>
      <c r="I27" s="44">
        <f t="shared" ref="I27:Q27" si="14">SUM(I22:I26)</f>
        <v>-831.14247780443088</v>
      </c>
      <c r="J27" s="44">
        <f t="shared" si="14"/>
        <v>-830.3780778911613</v>
      </c>
      <c r="K27" s="44">
        <f t="shared" si="14"/>
        <v>-583.90478565014621</v>
      </c>
      <c r="L27" s="44">
        <f t="shared" si="14"/>
        <v>-372.98600731154545</v>
      </c>
      <c r="M27" s="44">
        <f t="shared" si="14"/>
        <v>0</v>
      </c>
      <c r="N27" s="44">
        <f t="shared" si="14"/>
        <v>0</v>
      </c>
      <c r="O27" s="44">
        <f t="shared" si="14"/>
        <v>0</v>
      </c>
      <c r="P27" s="44">
        <f t="shared" si="14"/>
        <v>0</v>
      </c>
      <c r="Q27" s="44">
        <f t="shared" si="14"/>
        <v>0</v>
      </c>
    </row>
    <row r="28" spans="2:17">
      <c r="C28" s="201"/>
      <c r="D28" s="201"/>
      <c r="E28" s="201"/>
      <c r="F28" s="201"/>
      <c r="G28" s="201"/>
      <c r="H28" s="18"/>
      <c r="I28" s="18"/>
      <c r="J28" s="18"/>
      <c r="K28" s="18"/>
      <c r="L28" s="18"/>
      <c r="M28" s="18"/>
      <c r="N28" s="18"/>
      <c r="O28" s="18"/>
      <c r="P28" s="18"/>
      <c r="Q28" s="18"/>
    </row>
    <row r="29" spans="2:17">
      <c r="B29" s="60" t="str">
        <f>Assumptions!B261</f>
        <v>Effect of Foreign Exchange Rates</v>
      </c>
      <c r="C29" s="201">
        <f>+Assumptions!D261</f>
        <v>-6</v>
      </c>
      <c r="D29" s="201">
        <f>+Assumptions!E261</f>
        <v>-1</v>
      </c>
      <c r="E29" s="201">
        <f>+Assumptions!F261</f>
        <v>4</v>
      </c>
      <c r="F29" s="201">
        <f>+Assumptions!G261</f>
        <v>-35</v>
      </c>
      <c r="G29" s="201">
        <f>+Assumptions!H261</f>
        <v>1</v>
      </c>
      <c r="H29" s="18">
        <f>IF(H$3="",0,IFERROR(AVERAGE(C29:G29),0))</f>
        <v>-7.4</v>
      </c>
      <c r="I29" s="18">
        <f t="shared" ref="I29:Q29" si="15">IF(I$3="",0,IFERROR(AVERAGE(D29:H29),0))</f>
        <v>-7.68</v>
      </c>
      <c r="J29" s="18">
        <f t="shared" si="15"/>
        <v>-9.016</v>
      </c>
      <c r="K29" s="18">
        <f t="shared" si="15"/>
        <v>-11.619199999999999</v>
      </c>
      <c r="L29" s="18">
        <f t="shared" si="15"/>
        <v>-6.943039999999999</v>
      </c>
      <c r="M29" s="18">
        <f t="shared" si="15"/>
        <v>0</v>
      </c>
      <c r="N29" s="18">
        <f t="shared" si="15"/>
        <v>0</v>
      </c>
      <c r="O29" s="18">
        <f t="shared" si="15"/>
        <v>0</v>
      </c>
      <c r="P29" s="18">
        <f t="shared" si="15"/>
        <v>0</v>
      </c>
      <c r="Q29" s="18">
        <f t="shared" si="15"/>
        <v>0</v>
      </c>
    </row>
    <row r="30" spans="2:17">
      <c r="C30" s="201"/>
      <c r="D30" s="201"/>
      <c r="E30" s="201"/>
      <c r="F30" s="201"/>
      <c r="G30" s="201"/>
      <c r="H30" s="18"/>
      <c r="I30" s="18"/>
      <c r="J30" s="18"/>
      <c r="K30" s="18"/>
      <c r="L30" s="18"/>
      <c r="M30" s="18"/>
      <c r="N30" s="18"/>
      <c r="O30" s="18"/>
      <c r="P30" s="18"/>
      <c r="Q30" s="18"/>
    </row>
    <row r="31" spans="2:17" ht="12" thickBot="1">
      <c r="B31" s="67" t="s">
        <v>268</v>
      </c>
      <c r="C31" s="203">
        <f>SUM(C10,C18,C27,C29)</f>
        <v>47</v>
      </c>
      <c r="D31" s="203">
        <f t="shared" ref="D31:H31" si="16">SUM(D10,D18,D27,D29)</f>
        <v>-123</v>
      </c>
      <c r="E31" s="203">
        <f t="shared" si="16"/>
        <v>2164</v>
      </c>
      <c r="F31" s="203">
        <f t="shared" si="16"/>
        <v>-2198</v>
      </c>
      <c r="G31" s="203">
        <f t="shared" si="16"/>
        <v>-174</v>
      </c>
      <c r="H31" s="54">
        <f t="shared" si="16"/>
        <v>928.1358446365025</v>
      </c>
      <c r="I31" s="54">
        <f t="shared" ref="I31:Q31" si="17">SUM(I10,I18,I27,I29)</f>
        <v>959.7142683274725</v>
      </c>
      <c r="J31" s="54">
        <f t="shared" si="17"/>
        <v>1018.7605933051674</v>
      </c>
      <c r="K31" s="54">
        <f t="shared" si="17"/>
        <v>680.51626179576874</v>
      </c>
      <c r="L31" s="54">
        <f t="shared" si="17"/>
        <v>1207.2001963272091</v>
      </c>
      <c r="M31" s="54">
        <f t="shared" si="17"/>
        <v>0</v>
      </c>
      <c r="N31" s="54">
        <f t="shared" si="17"/>
        <v>0</v>
      </c>
      <c r="O31" s="54">
        <f t="shared" si="17"/>
        <v>0</v>
      </c>
      <c r="P31" s="54">
        <f t="shared" si="17"/>
        <v>0</v>
      </c>
      <c r="Q31" s="54">
        <f t="shared" si="17"/>
        <v>0</v>
      </c>
    </row>
    <row r="32" spans="2:17">
      <c r="C32" s="201"/>
      <c r="D32" s="201"/>
      <c r="E32" s="201"/>
      <c r="F32" s="201"/>
      <c r="G32" s="201"/>
      <c r="H32" s="18"/>
      <c r="I32" s="18"/>
      <c r="J32" s="18"/>
      <c r="K32" s="18"/>
      <c r="L32" s="18"/>
      <c r="M32" s="18"/>
      <c r="N32" s="18"/>
      <c r="O32" s="18"/>
      <c r="P32" s="18"/>
      <c r="Q32" s="18"/>
    </row>
    <row r="33" spans="2:17">
      <c r="B33" s="14" t="s">
        <v>269</v>
      </c>
      <c r="C33" s="201"/>
      <c r="D33" s="201"/>
      <c r="E33" s="201"/>
      <c r="F33" s="201"/>
      <c r="G33" s="201"/>
      <c r="H33" s="18"/>
      <c r="I33" s="18"/>
      <c r="J33" s="18"/>
      <c r="K33" s="18"/>
      <c r="L33" s="18"/>
      <c r="M33" s="18"/>
      <c r="N33" s="18"/>
      <c r="O33" s="18"/>
      <c r="P33" s="18"/>
      <c r="Q33" s="18"/>
    </row>
    <row r="34" spans="2:17">
      <c r="B34" s="35" t="str">
        <f>+Assumptions!B264</f>
        <v>Opening Cash</v>
      </c>
      <c r="C34" s="201">
        <f>+Assumptions!C265+C31</f>
        <v>317</v>
      </c>
      <c r="D34" s="201">
        <f>+C36</f>
        <v>317</v>
      </c>
      <c r="E34" s="201">
        <f t="shared" ref="E34:G34" si="18">+D36</f>
        <v>148</v>
      </c>
      <c r="F34" s="201">
        <f t="shared" si="18"/>
        <v>2228</v>
      </c>
      <c r="G34" s="201">
        <f t="shared" si="18"/>
        <v>160</v>
      </c>
      <c r="H34" s="18">
        <f>IF(H$3="",0,+G36)</f>
        <v>-14</v>
      </c>
      <c r="I34" s="18">
        <f t="shared" ref="I34:Q34" si="19">IF(I$3="",0,+H36)</f>
        <v>914.1358446365025</v>
      </c>
      <c r="J34" s="18">
        <f t="shared" si="19"/>
        <v>1873.8501129639749</v>
      </c>
      <c r="K34" s="18">
        <f t="shared" si="19"/>
        <v>2892.6107062691422</v>
      </c>
      <c r="L34" s="18">
        <f t="shared" si="19"/>
        <v>3573.1269680649111</v>
      </c>
      <c r="M34" s="18">
        <f t="shared" si="19"/>
        <v>0</v>
      </c>
      <c r="N34" s="18">
        <f t="shared" si="19"/>
        <v>0</v>
      </c>
      <c r="O34" s="18">
        <f t="shared" si="19"/>
        <v>0</v>
      </c>
      <c r="P34" s="18">
        <f t="shared" si="19"/>
        <v>0</v>
      </c>
      <c r="Q34" s="18">
        <f t="shared" si="19"/>
        <v>0</v>
      </c>
    </row>
    <row r="35" spans="2:17">
      <c r="B35" s="35" t="str">
        <f>Assumptions!B267</f>
        <v>Restricted Cash</v>
      </c>
      <c r="C35" s="201">
        <f>+Assumptions!D269</f>
        <v>0</v>
      </c>
      <c r="D35" s="201">
        <f>+Assumptions!E269</f>
        <v>46</v>
      </c>
      <c r="E35" s="201">
        <f>+Assumptions!F269</f>
        <v>84</v>
      </c>
      <c r="F35" s="201">
        <f>+Assumptions!G269</f>
        <v>-130</v>
      </c>
      <c r="G35" s="201">
        <f>+Assumptions!H269</f>
        <v>0</v>
      </c>
      <c r="H35" s="18">
        <f>IF(H$3="",0,+Assumptions!I269)</f>
        <v>0</v>
      </c>
      <c r="I35" s="18">
        <f>IF(I$3="",0,+Assumptions!J269)</f>
        <v>0</v>
      </c>
      <c r="J35" s="18">
        <f>IF(J$3="",0,+Assumptions!K269)</f>
        <v>0</v>
      </c>
      <c r="K35" s="18">
        <f>IF(K$3="",0,+Assumptions!L269)</f>
        <v>0</v>
      </c>
      <c r="L35" s="18">
        <f>IF(L$3="",0,+Assumptions!M269)</f>
        <v>0</v>
      </c>
      <c r="M35" s="18">
        <f>IF(M$3="",0,+Assumptions!N269)</f>
        <v>0</v>
      </c>
      <c r="N35" s="18">
        <f>IF(N$3="",0,+Assumptions!O269)</f>
        <v>0</v>
      </c>
      <c r="O35" s="18">
        <f>IF(O$3="",0,+Assumptions!P269)</f>
        <v>0</v>
      </c>
      <c r="P35" s="18">
        <f>IF(P$3="",0,+Assumptions!Q269)</f>
        <v>0</v>
      </c>
      <c r="Q35" s="18">
        <f>IF(Q$3="",0,+Assumptions!R269)</f>
        <v>0</v>
      </c>
    </row>
    <row r="36" spans="2:17" ht="12" thickBot="1">
      <c r="B36" s="66" t="s">
        <v>270</v>
      </c>
      <c r="C36" s="188">
        <f>+C34-C35</f>
        <v>317</v>
      </c>
      <c r="D36" s="188">
        <f>+D31+D34-D35</f>
        <v>148</v>
      </c>
      <c r="E36" s="188">
        <f t="shared" ref="E36:H36" si="20">+E31+E34-E35</f>
        <v>2228</v>
      </c>
      <c r="F36" s="188">
        <f t="shared" si="20"/>
        <v>160</v>
      </c>
      <c r="G36" s="188">
        <f t="shared" si="20"/>
        <v>-14</v>
      </c>
      <c r="H36" s="61">
        <f t="shared" si="20"/>
        <v>914.1358446365025</v>
      </c>
      <c r="I36" s="61">
        <f t="shared" ref="I36:Q36" si="21">+I31+I34-I35</f>
        <v>1873.8501129639749</v>
      </c>
      <c r="J36" s="61">
        <f t="shared" si="21"/>
        <v>2892.6107062691422</v>
      </c>
      <c r="K36" s="61">
        <f t="shared" si="21"/>
        <v>3573.1269680649111</v>
      </c>
      <c r="L36" s="61">
        <f t="shared" si="21"/>
        <v>4780.3271643921198</v>
      </c>
      <c r="M36" s="61">
        <f t="shared" si="21"/>
        <v>0</v>
      </c>
      <c r="N36" s="61">
        <f t="shared" si="21"/>
        <v>0</v>
      </c>
      <c r="O36" s="61">
        <f t="shared" si="21"/>
        <v>0</v>
      </c>
      <c r="P36" s="61">
        <f t="shared" si="21"/>
        <v>0</v>
      </c>
      <c r="Q36" s="61">
        <f t="shared" si="21"/>
        <v>0</v>
      </c>
    </row>
    <row r="37" spans="2:17" ht="12" thickTop="1">
      <c r="C37" s="18"/>
      <c r="D37" s="18"/>
      <c r="E37" s="18"/>
      <c r="F37" s="18"/>
      <c r="G37" s="18"/>
      <c r="H37" s="18"/>
      <c r="I37" s="18"/>
      <c r="J37" s="18"/>
      <c r="K37" s="18"/>
      <c r="L37" s="18"/>
      <c r="M37" s="18"/>
      <c r="N37" s="18"/>
      <c r="O37" s="18"/>
      <c r="P37" s="18"/>
      <c r="Q37" s="18"/>
    </row>
    <row r="38" spans="2:17">
      <c r="C38" s="18"/>
      <c r="D38" s="18"/>
      <c r="E38" s="18"/>
      <c r="F38" s="18"/>
      <c r="G38" s="18"/>
      <c r="H38" s="18"/>
      <c r="I38" s="18"/>
      <c r="J38" s="18"/>
      <c r="K38" s="18"/>
      <c r="L38" s="18"/>
      <c r="M38" s="18"/>
      <c r="N38" s="18"/>
      <c r="O38" s="18"/>
      <c r="P38" s="18"/>
      <c r="Q38" s="18"/>
    </row>
    <row r="39" spans="2:17">
      <c r="B39" s="42" t="s">
        <v>271</v>
      </c>
      <c r="C39" s="62"/>
      <c r="D39" s="62"/>
      <c r="E39" s="62"/>
      <c r="F39" s="62"/>
      <c r="G39" s="62"/>
      <c r="H39" s="62"/>
      <c r="I39" s="62"/>
      <c r="J39" s="62"/>
      <c r="K39" s="62"/>
      <c r="L39" s="62"/>
      <c r="M39" s="62"/>
      <c r="N39" s="62"/>
      <c r="O39" s="62"/>
      <c r="P39" s="62"/>
      <c r="Q39" s="62"/>
    </row>
    <row r="40" spans="2:17">
      <c r="B40" s="1" t="str">
        <f>'Income Statement'!B4</f>
        <v>Revenue</v>
      </c>
      <c r="C40" s="18">
        <f>'IS Bear'!C4</f>
        <v>42405</v>
      </c>
      <c r="D40" s="18">
        <f>'IS Bear'!D4</f>
        <v>43185</v>
      </c>
      <c r="E40" s="18">
        <f>'IS Bear'!E4</f>
        <v>47049</v>
      </c>
      <c r="F40" s="18">
        <f>'IS Bear'!F4</f>
        <v>53282</v>
      </c>
      <c r="G40" s="18">
        <f>'IS Bear'!G4</f>
        <v>52881</v>
      </c>
      <c r="H40" s="18">
        <f>'IS Bear'!H4</f>
        <v>52352.19</v>
      </c>
      <c r="I40" s="18">
        <f>'IS Bear'!I4</f>
        <v>51828.668100000003</v>
      </c>
      <c r="J40" s="18">
        <f>'IS Bear'!J4</f>
        <v>51310.381419000005</v>
      </c>
      <c r="K40" s="18">
        <f>'IS Bear'!K4</f>
        <v>50797.277604810006</v>
      </c>
      <c r="L40" s="18">
        <f>'IS Bear'!L4</f>
        <v>50289.304828761902</v>
      </c>
      <c r="M40" s="18">
        <f>'IS Bear'!M4</f>
        <v>0</v>
      </c>
      <c r="N40" s="18">
        <f>'IS Bear'!N4</f>
        <v>0</v>
      </c>
      <c r="O40" s="18">
        <f>'IS Bear'!O4</f>
        <v>0</v>
      </c>
      <c r="P40" s="18">
        <f>'IS Bear'!P4</f>
        <v>0</v>
      </c>
      <c r="Q40" s="18">
        <f>'IS Bear'!Q4</f>
        <v>0</v>
      </c>
    </row>
    <row r="41" spans="2:17">
      <c r="B41" s="1" t="str">
        <f>'Income Statement'!B37</f>
        <v>Net Income (Loss), GAAP</v>
      </c>
      <c r="C41" s="18">
        <f>'IS Bear'!C37</f>
        <v>2022</v>
      </c>
      <c r="D41" s="18">
        <f>'IS Bear'!D37</f>
        <v>2061</v>
      </c>
      <c r="E41" s="18">
        <f>'IS Bear'!E37</f>
        <v>3047</v>
      </c>
      <c r="F41" s="18">
        <f>'IS Bear'!F37</f>
        <v>3238</v>
      </c>
      <c r="G41" s="18">
        <f>'IS Bear'!G37</f>
        <v>-648</v>
      </c>
      <c r="H41" s="18">
        <f>'IS Bear'!H37</f>
        <v>2295.3852486969822</v>
      </c>
      <c r="I41" s="18">
        <f>'IS Bear'!I37</f>
        <v>2282.5271703300682</v>
      </c>
      <c r="J41" s="18">
        <f>'IS Bear'!J37</f>
        <v>2256.3399911525116</v>
      </c>
      <c r="K41" s="18">
        <f>'IS Bear'!K37</f>
        <v>2221.6014742025359</v>
      </c>
      <c r="L41" s="18">
        <f>'IS Bear'!L37</f>
        <v>2191.2781701278095</v>
      </c>
      <c r="M41" s="18">
        <f>'IS Bear'!M37</f>
        <v>0</v>
      </c>
      <c r="N41" s="18">
        <f>'IS Bear'!N37</f>
        <v>0</v>
      </c>
      <c r="O41" s="18">
        <f>'IS Bear'!O37</f>
        <v>0</v>
      </c>
      <c r="P41" s="18">
        <f>'IS Bear'!P37</f>
        <v>0</v>
      </c>
      <c r="Q41" s="18">
        <f>'IS Bear'!Q37</f>
        <v>0</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0F0F-7A5B-490B-90F4-3A198BE97339}">
  <sheetPr>
    <tabColor theme="8" tint="0.79998168889431442"/>
  </sheetPr>
  <dimension ref="A2:Q41"/>
  <sheetViews>
    <sheetView zoomScaleNormal="100" workbookViewId="0">
      <pane xSplit="1" ySplit="3" topLeftCell="B4" activePane="bottomRight" state="frozen"/>
      <selection pane="topRight" activeCell="B1" sqref="B1"/>
      <selection pane="bottomLeft" activeCell="A4" sqref="A4"/>
      <selection pane="bottomRight" activeCell="H13" sqref="H13"/>
    </sheetView>
  </sheetViews>
  <sheetFormatPr baseColWidth="10" defaultColWidth="0" defaultRowHeight="11" outlineLevelCol="1"/>
  <cols>
    <col min="1" max="1" width="2.1640625" style="1" customWidth="1"/>
    <col min="2" max="2" width="28.1640625" style="1" bestFit="1" customWidth="1"/>
    <col min="3" max="7" width="8.6640625" style="1" customWidth="1" outlineLevel="1"/>
    <col min="8" max="17" width="8.6640625" style="1" customWidth="1"/>
    <col min="18" max="16384" width="8.6640625" style="1" hidden="1"/>
  </cols>
  <sheetData>
    <row r="2" spans="2:17">
      <c r="B2" s="42" t="s">
        <v>260</v>
      </c>
      <c r="C2" s="42"/>
      <c r="D2" s="42"/>
      <c r="E2" s="42"/>
      <c r="F2" s="42"/>
      <c r="G2" s="42"/>
      <c r="H2" s="42"/>
      <c r="I2" s="42"/>
      <c r="J2" s="42"/>
      <c r="K2" s="42"/>
      <c r="L2" s="42"/>
      <c r="M2" s="42"/>
      <c r="N2" s="42"/>
      <c r="O2" s="42"/>
      <c r="P2" s="42"/>
      <c r="Q2" s="42"/>
    </row>
    <row r="3" spans="2:17">
      <c r="B3" s="22" t="str">
        <f>Assumptions!$B$132</f>
        <v>Year Ending 09/31/2024, In USD Millions</v>
      </c>
      <c r="C3" s="22" cm="1">
        <f t="array" ref="C3:L3">_xlfn.SEQUENCE(1,5+Assumptions!$C$20,(YEAR('Valuation Summary'!$C$4)-5))</f>
        <v>2019</v>
      </c>
      <c r="D3" s="22">
        <v>2020</v>
      </c>
      <c r="E3" s="22">
        <v>2021</v>
      </c>
      <c r="F3" s="22">
        <v>2022</v>
      </c>
      <c r="G3" s="22">
        <v>2023</v>
      </c>
      <c r="H3" s="23">
        <v>2024</v>
      </c>
      <c r="I3" s="23">
        <v>2025</v>
      </c>
      <c r="J3" s="23">
        <v>2026</v>
      </c>
      <c r="K3" s="23">
        <v>2027</v>
      </c>
      <c r="L3" s="23">
        <v>2028</v>
      </c>
      <c r="M3" s="23"/>
      <c r="N3" s="23"/>
      <c r="O3" s="23"/>
      <c r="P3" s="23"/>
      <c r="Q3" s="23"/>
    </row>
    <row r="4" spans="2:17">
      <c r="B4" s="14" t="s">
        <v>261</v>
      </c>
      <c r="C4" s="201"/>
      <c r="D4" s="201"/>
      <c r="E4" s="201"/>
      <c r="F4" s="201"/>
      <c r="G4" s="201"/>
      <c r="H4" s="18"/>
      <c r="I4" s="18"/>
      <c r="J4" s="18"/>
      <c r="K4" s="18"/>
      <c r="L4" s="18"/>
      <c r="M4" s="18"/>
      <c r="N4" s="18"/>
      <c r="O4" s="18"/>
      <c r="P4" s="18"/>
      <c r="Q4" s="18"/>
    </row>
    <row r="5" spans="2:17">
      <c r="B5" s="35" t="str">
        <f>'Income Statement'!B37</f>
        <v>Net Income (Loss), GAAP</v>
      </c>
      <c r="C5" s="201">
        <f>'IS Bull'!C37</f>
        <v>2022</v>
      </c>
      <c r="D5" s="201">
        <f>'IS Bull'!D37</f>
        <v>2061</v>
      </c>
      <c r="E5" s="201">
        <f>'IS Bull'!E37</f>
        <v>3047</v>
      </c>
      <c r="F5" s="201">
        <f>'IS Bull'!F37</f>
        <v>3238</v>
      </c>
      <c r="G5" s="201">
        <f>'IS Bull'!G37</f>
        <v>-648</v>
      </c>
      <c r="H5" s="18">
        <f>IF(H$3="",0,'IS Bull'!H37)</f>
        <v>2399.6324853760543</v>
      </c>
      <c r="I5" s="18">
        <f>IF(I$3="",0,'IS Bull'!I37)</f>
        <v>2493.1065884217974</v>
      </c>
      <c r="J5" s="18">
        <f>IF(J$3="",0,'IS Bull'!J37)</f>
        <v>2575.40950845616</v>
      </c>
      <c r="K5" s="18">
        <f>IF(K$3="",0,'IS Bull'!K37)</f>
        <v>2651.3940665277605</v>
      </c>
      <c r="L5" s="18">
        <f>IF(L$3="",0,'IS Bull'!L37)</f>
        <v>2734.1040198302344</v>
      </c>
      <c r="M5" s="18">
        <f>IF(M$3="",0,'IS Bull'!M37)</f>
        <v>0</v>
      </c>
      <c r="N5" s="18">
        <f>IF(N$3="",0,'IS Bull'!N37)</f>
        <v>0</v>
      </c>
      <c r="O5" s="18">
        <f>IF(O$3="",0,'IS Bull'!O37)</f>
        <v>0</v>
      </c>
      <c r="P5" s="18">
        <f>IF(P$3="",0,'IS Bull'!P37)</f>
        <v>0</v>
      </c>
      <c r="Q5" s="18">
        <f>IF(Q$3="",0,'IS Bull'!Q37)</f>
        <v>0</v>
      </c>
    </row>
    <row r="6" spans="2:17">
      <c r="B6" s="35" t="str">
        <f>'Income Statement'!B47</f>
        <v>Depreciation and Amortization</v>
      </c>
      <c r="C6" s="201">
        <f>'IS Bull'!C47</f>
        <v>1098</v>
      </c>
      <c r="D6" s="201">
        <f>'IS Bull'!D47</f>
        <v>1192</v>
      </c>
      <c r="E6" s="201">
        <f>'IS Bull'!E47</f>
        <v>1214</v>
      </c>
      <c r="F6" s="201">
        <f>'IS Bull'!F47</f>
        <v>1202</v>
      </c>
      <c r="G6" s="201">
        <f>'IS Bull'!G47</f>
        <v>1339</v>
      </c>
      <c r="H6" s="18">
        <f>IF(H$3="",0,'IS Bull'!H47)</f>
        <v>1419.7806854166529</v>
      </c>
      <c r="I6" s="18">
        <f>IF(I$3="",0,'IS Bull'!I47)</f>
        <v>1462.3741059791525</v>
      </c>
      <c r="J6" s="18">
        <f>IF(J$3="",0,'IS Bull'!J47)</f>
        <v>1506.2453291585271</v>
      </c>
      <c r="K6" s="18">
        <f>IF(K$3="",0,'IS Bull'!K47)</f>
        <v>1551.4326890332829</v>
      </c>
      <c r="L6" s="18">
        <f>IF(L$3="",0,'IS Bull'!L47)</f>
        <v>1597.9756697042815</v>
      </c>
      <c r="M6" s="18">
        <f>IF(M$3="",0,'IS Bull'!M47)</f>
        <v>0</v>
      </c>
      <c r="N6" s="18">
        <f>IF(N$3="",0,'IS Bull'!N47)</f>
        <v>0</v>
      </c>
      <c r="O6" s="18">
        <f>IF(O$3="",0,'IS Bull'!O47)</f>
        <v>0</v>
      </c>
      <c r="P6" s="18">
        <f>IF(P$3="",0,'IS Bull'!P47)</f>
        <v>0</v>
      </c>
      <c r="Q6" s="18">
        <f>IF(Q$3="",0,'IS Bull'!Q47)</f>
        <v>0</v>
      </c>
    </row>
    <row r="7" spans="2:17">
      <c r="B7" s="35" t="str">
        <f>Assumptions!B206</f>
        <v>Non-Cash Items</v>
      </c>
      <c r="C7" s="201">
        <f>Assumptions!D206</f>
        <v>70</v>
      </c>
      <c r="D7" s="201">
        <f>Assumptions!E206</f>
        <v>-66</v>
      </c>
      <c r="E7" s="201">
        <f>Assumptions!F206</f>
        <v>-768</v>
      </c>
      <c r="F7" s="201">
        <f>Assumptions!G206</f>
        <v>-6</v>
      </c>
      <c r="G7" s="201">
        <f>Assumptions!H206</f>
        <v>996</v>
      </c>
      <c r="H7" s="18">
        <f>IF(H$3="",0,H40*Assumptions!I208)</f>
        <v>0</v>
      </c>
      <c r="I7" s="18">
        <f>IF(I$3="",0,I40*Assumptions!J208)</f>
        <v>0</v>
      </c>
      <c r="J7" s="18">
        <f>IF(J$3="",0,J40*Assumptions!K208)</f>
        <v>0</v>
      </c>
      <c r="K7" s="18">
        <f>IF(K$3="",0,K40*Assumptions!L208)</f>
        <v>0</v>
      </c>
      <c r="L7" s="18">
        <f>IF(L$3="",0,L40*Assumptions!M208)</f>
        <v>0</v>
      </c>
      <c r="M7" s="18">
        <f>IF(M$3="",0,M40*Assumptions!N208)</f>
        <v>0</v>
      </c>
      <c r="N7" s="18">
        <f>IF(N$3="",0,N40*Assumptions!O208)</f>
        <v>0</v>
      </c>
      <c r="O7" s="18">
        <f>IF(O$3="",0,O40*Assumptions!P208)</f>
        <v>0</v>
      </c>
      <c r="P7" s="18">
        <f>IF(P$3="",0,P40*Assumptions!Q208)</f>
        <v>0</v>
      </c>
      <c r="Q7" s="18">
        <f>IF(Q$3="",0,Q40*Assumptions!R208)</f>
        <v>0</v>
      </c>
    </row>
    <row r="8" spans="2:17">
      <c r="B8" s="35" t="str">
        <f>Assumptions!B213</f>
        <v>Change in Non-Cash Working Capital</v>
      </c>
      <c r="C8" s="201">
        <f>Assumptions!D213</f>
        <v>-846</v>
      </c>
      <c r="D8" s="201">
        <f>Assumptions!E213</f>
        <v>580</v>
      </c>
      <c r="E8" s="201">
        <f>Assumptions!F213</f>
        <v>381</v>
      </c>
      <c r="F8" s="201">
        <f>Assumptions!G213</f>
        <v>-2104</v>
      </c>
      <c r="G8" s="201">
        <f>Assumptions!H213</f>
        <v>187</v>
      </c>
      <c r="H8" s="18">
        <f>IF(H$3="",0,IFERROR(AVERAGE(C8:G8),0))</f>
        <v>-360.4</v>
      </c>
      <c r="I8" s="18">
        <f t="shared" ref="I8:Q8" si="0">IF(I$3="",0,IFERROR(AVERAGE(D8:H8),0))</f>
        <v>-263.28000000000003</v>
      </c>
      <c r="J8" s="18">
        <f t="shared" si="0"/>
        <v>-431.93600000000004</v>
      </c>
      <c r="K8" s="18">
        <f t="shared" si="0"/>
        <v>-594.52320000000009</v>
      </c>
      <c r="L8" s="18">
        <f t="shared" si="0"/>
        <v>-292.62783999999999</v>
      </c>
      <c r="M8" s="18">
        <f t="shared" si="0"/>
        <v>0</v>
      </c>
      <c r="N8" s="18">
        <f t="shared" si="0"/>
        <v>0</v>
      </c>
      <c r="O8" s="18">
        <f t="shared" si="0"/>
        <v>0</v>
      </c>
      <c r="P8" s="18">
        <f t="shared" si="0"/>
        <v>0</v>
      </c>
      <c r="Q8" s="18">
        <f t="shared" si="0"/>
        <v>0</v>
      </c>
    </row>
    <row r="9" spans="2:17">
      <c r="B9" s="35" t="str">
        <f>Assumptions!B224</f>
        <v>Net Cash from Discontinued Operations</v>
      </c>
      <c r="C9" s="201">
        <f>Assumptions!D224</f>
        <v>0</v>
      </c>
      <c r="D9" s="201">
        <f>Assumptions!E224</f>
        <v>0</v>
      </c>
      <c r="E9" s="201">
        <f>Assumptions!F224</f>
        <v>0</v>
      </c>
      <c r="F9" s="201">
        <f>Assumptions!G224</f>
        <v>0</v>
      </c>
      <c r="G9" s="201">
        <f>Assumptions!H224</f>
        <v>0</v>
      </c>
      <c r="H9" s="18">
        <f>IF(H$3="",0,Assumptions!I224)</f>
        <v>0</v>
      </c>
      <c r="I9" s="18">
        <f>IF(I$3="",0,Assumptions!J224)</f>
        <v>0</v>
      </c>
      <c r="J9" s="18">
        <f>IF(J$3="",0,Assumptions!K224)</f>
        <v>0</v>
      </c>
      <c r="K9" s="18">
        <f>IF(K$3="",0,Assumptions!L224)</f>
        <v>0</v>
      </c>
      <c r="L9" s="18">
        <f>IF(L$3="",0,Assumptions!M224)</f>
        <v>0</v>
      </c>
      <c r="M9" s="18">
        <f>IF(M$3="",0,Assumptions!N224)</f>
        <v>0</v>
      </c>
      <c r="N9" s="18">
        <f>IF(N$3="",0,Assumptions!O224)</f>
        <v>0</v>
      </c>
      <c r="O9" s="18">
        <f>IF(O$3="",0,Assumptions!P224)</f>
        <v>0</v>
      </c>
      <c r="P9" s="18">
        <f>IF(P$3="",0,Assumptions!Q224)</f>
        <v>0</v>
      </c>
      <c r="Q9" s="18">
        <f>IF(Q$3="",0,Assumptions!R224)</f>
        <v>0</v>
      </c>
    </row>
    <row r="10" spans="2:17">
      <c r="B10" s="43" t="s">
        <v>262</v>
      </c>
      <c r="C10" s="204">
        <f>SUM(C5:C9)</f>
        <v>2344</v>
      </c>
      <c r="D10" s="204">
        <f t="shared" ref="D10:G10" si="1">SUM(D5:D9)</f>
        <v>3767</v>
      </c>
      <c r="E10" s="204">
        <f t="shared" si="1"/>
        <v>3874</v>
      </c>
      <c r="F10" s="204">
        <f t="shared" si="1"/>
        <v>2330</v>
      </c>
      <c r="G10" s="204">
        <f t="shared" si="1"/>
        <v>1874</v>
      </c>
      <c r="H10" s="44">
        <f t="shared" ref="H10:Q10" si="2">SUM(H5:H9)</f>
        <v>3459.0131707927071</v>
      </c>
      <c r="I10" s="44">
        <f t="shared" si="2"/>
        <v>3692.2006944009495</v>
      </c>
      <c r="J10" s="44">
        <f t="shared" si="2"/>
        <v>3649.7188376146869</v>
      </c>
      <c r="K10" s="44">
        <f t="shared" si="2"/>
        <v>3608.3035555610436</v>
      </c>
      <c r="L10" s="44">
        <f t="shared" si="2"/>
        <v>4039.4518495345155</v>
      </c>
      <c r="M10" s="44">
        <f t="shared" si="2"/>
        <v>0</v>
      </c>
      <c r="N10" s="44">
        <f t="shared" si="2"/>
        <v>0</v>
      </c>
      <c r="O10" s="44">
        <f t="shared" si="2"/>
        <v>0</v>
      </c>
      <c r="P10" s="44">
        <f t="shared" si="2"/>
        <v>0</v>
      </c>
      <c r="Q10" s="44">
        <f t="shared" si="2"/>
        <v>0</v>
      </c>
    </row>
    <row r="11" spans="2:17">
      <c r="C11" s="201"/>
      <c r="D11" s="201"/>
      <c r="E11" s="201"/>
      <c r="F11" s="201"/>
      <c r="G11" s="201"/>
      <c r="H11" s="18"/>
      <c r="I11" s="18"/>
      <c r="J11" s="18"/>
      <c r="K11" s="18"/>
      <c r="L11" s="18"/>
      <c r="M11" s="18"/>
      <c r="N11" s="18"/>
      <c r="O11" s="18"/>
      <c r="P11" s="18"/>
      <c r="Q11" s="18"/>
    </row>
    <row r="12" spans="2:17">
      <c r="B12" s="14" t="s">
        <v>263</v>
      </c>
      <c r="C12" s="201"/>
      <c r="D12" s="201"/>
      <c r="E12" s="201"/>
      <c r="F12" s="201"/>
      <c r="G12" s="201"/>
      <c r="H12" s="18"/>
      <c r="I12" s="18"/>
      <c r="J12" s="18"/>
      <c r="K12" s="18"/>
      <c r="L12" s="18"/>
      <c r="M12" s="18"/>
      <c r="N12" s="18"/>
      <c r="O12" s="18"/>
      <c r="P12" s="18"/>
      <c r="Q12" s="18"/>
    </row>
    <row r="13" spans="2:17">
      <c r="B13" s="35" t="s">
        <v>264</v>
      </c>
      <c r="C13" s="201">
        <f>-'IS Bull'!C44+Assumptions!D229</f>
        <v>-1259</v>
      </c>
      <c r="D13" s="201">
        <f>-'IS Bull'!D44+Assumptions!E229</f>
        <v>-1199</v>
      </c>
      <c r="E13" s="201">
        <f>-'IS Bull'!E44+Assumptions!F229</f>
        <v>-1209</v>
      </c>
      <c r="F13" s="201">
        <f>-'IS Bull'!F44+Assumptions!G229</f>
        <v>-1887</v>
      </c>
      <c r="G13" s="201">
        <f>-'IS Bull'!G44+Assumptions!H229</f>
        <v>-1939</v>
      </c>
      <c r="H13" s="18">
        <f>IF(H$3="",0,-'IS Bull'!H44+('BS Bull'!H12*Assumptions!I230))</f>
        <v>-1691.0323300693508</v>
      </c>
      <c r="I13" s="18">
        <f>IF(I$3="",0,-'IS Bull'!I44+('BS Bull'!I12*Assumptions!J230))</f>
        <v>-1741.7632999714315</v>
      </c>
      <c r="J13" s="18">
        <f>IF(J$3="",0,-'IS Bull'!J44+('BS Bull'!J12*Assumptions!K230))</f>
        <v>-1794.0161989705744</v>
      </c>
      <c r="K13" s="18">
        <f>IF(K$3="",0,-'IS Bull'!K44+('BS Bull'!K12*Assumptions!L230))</f>
        <v>-1847.8366849396916</v>
      </c>
      <c r="L13" s="18">
        <f>IF(L$3="",0,-'IS Bull'!L44+('BS Bull'!L12*Assumptions!M230))</f>
        <v>-1903.2717854878824</v>
      </c>
      <c r="M13" s="18">
        <f>IF(M$3="",0,-'IS Bull'!M44+('BS Bull'!M12*Assumptions!N230))</f>
        <v>0</v>
      </c>
      <c r="N13" s="18">
        <f>IF(N$3="",0,-'IS Bull'!N44+('BS Bull'!N12*Assumptions!O230))</f>
        <v>0</v>
      </c>
      <c r="O13" s="18">
        <f>IF(O$3="",0,-'IS Bull'!O44+('BS Bull'!O12*Assumptions!P230))</f>
        <v>0</v>
      </c>
      <c r="P13" s="18">
        <f>IF(P$3="",0,-'IS Bull'!P44+('BS Bull'!P12*Assumptions!Q230))</f>
        <v>0</v>
      </c>
      <c r="Q13" s="18">
        <f>IF(Q$3="",0,-'IS Bull'!Q44+('BS Bull'!Q12*Assumptions!R230))</f>
        <v>0</v>
      </c>
    </row>
    <row r="14" spans="2:17">
      <c r="B14" s="35" t="s">
        <v>164</v>
      </c>
      <c r="C14" s="201">
        <f>Assumptions!D233</f>
        <v>0</v>
      </c>
      <c r="D14" s="201">
        <f>Assumptions!E233</f>
        <v>0</v>
      </c>
      <c r="E14" s="201">
        <f>Assumptions!F233</f>
        <v>0</v>
      </c>
      <c r="F14" s="201">
        <f>Assumptions!G233</f>
        <v>0</v>
      </c>
      <c r="G14" s="201">
        <f>Assumptions!H233</f>
        <v>0</v>
      </c>
      <c r="H14" s="18">
        <f>IF(H$3="",0,IFERROR(AVERAGE(C14:G14),0))</f>
        <v>0</v>
      </c>
      <c r="I14" s="18">
        <f t="shared" ref="I14:Q14" si="3">IF(I$3="",0,IFERROR(AVERAGE(D14:H14),0))</f>
        <v>0</v>
      </c>
      <c r="J14" s="18">
        <f t="shared" si="3"/>
        <v>0</v>
      </c>
      <c r="K14" s="18">
        <f t="shared" si="3"/>
        <v>0</v>
      </c>
      <c r="L14" s="18">
        <f t="shared" si="3"/>
        <v>0</v>
      </c>
      <c r="M14" s="18">
        <f t="shared" si="3"/>
        <v>0</v>
      </c>
      <c r="N14" s="18">
        <f t="shared" si="3"/>
        <v>0</v>
      </c>
      <c r="O14" s="18">
        <f t="shared" si="3"/>
        <v>0</v>
      </c>
      <c r="P14" s="18">
        <f t="shared" si="3"/>
        <v>0</v>
      </c>
      <c r="Q14" s="18">
        <f t="shared" si="3"/>
        <v>0</v>
      </c>
    </row>
    <row r="15" spans="2:17">
      <c r="B15" s="35" t="s">
        <v>165</v>
      </c>
      <c r="C15" s="201">
        <f>Assumptions!D236</f>
        <v>-2292</v>
      </c>
      <c r="D15" s="201">
        <f>Assumptions!E236</f>
        <v>-154</v>
      </c>
      <c r="E15" s="201">
        <f>Assumptions!F236</f>
        <v>1144</v>
      </c>
      <c r="F15" s="201">
        <f>Assumptions!G236</f>
        <v>-177</v>
      </c>
      <c r="G15" s="201">
        <f>Assumptions!H236</f>
        <v>-262</v>
      </c>
      <c r="H15" s="18">
        <f>IF(H$3="",0,IFERROR(AVERAGE(C15:G15),0))</f>
        <v>-348.2</v>
      </c>
      <c r="I15" s="18">
        <f t="shared" ref="I15:Q15" si="4">IF(I$3="",0,IFERROR(AVERAGE(D15:H15),0))</f>
        <v>40.56</v>
      </c>
      <c r="J15" s="18">
        <f t="shared" si="4"/>
        <v>79.472000000000008</v>
      </c>
      <c r="K15" s="18">
        <f t="shared" si="4"/>
        <v>-133.43360000000001</v>
      </c>
      <c r="L15" s="18">
        <f t="shared" si="4"/>
        <v>-124.72032000000004</v>
      </c>
      <c r="M15" s="18">
        <f t="shared" si="4"/>
        <v>0</v>
      </c>
      <c r="N15" s="18">
        <f t="shared" si="4"/>
        <v>0</v>
      </c>
      <c r="O15" s="18">
        <f t="shared" si="4"/>
        <v>0</v>
      </c>
      <c r="P15" s="18">
        <f t="shared" si="4"/>
        <v>0</v>
      </c>
      <c r="Q15" s="18">
        <f t="shared" si="4"/>
        <v>0</v>
      </c>
    </row>
    <row r="16" spans="2:17">
      <c r="B16" s="35" t="s">
        <v>166</v>
      </c>
      <c r="C16" s="201">
        <f>Assumptions!D239</f>
        <v>89</v>
      </c>
      <c r="D16" s="201">
        <f>Assumptions!E239</f>
        <v>-1068</v>
      </c>
      <c r="E16" s="201">
        <f>Assumptions!F239</f>
        <v>1082</v>
      </c>
      <c r="F16" s="201">
        <f>Assumptions!G239</f>
        <v>-106</v>
      </c>
      <c r="G16" s="201">
        <f>Assumptions!H239</f>
        <v>64</v>
      </c>
      <c r="H16" s="18">
        <f>IF(H$3="",0,IFERROR(AVERAGE(C16:G16),0))</f>
        <v>12.2</v>
      </c>
      <c r="I16" s="18">
        <f t="shared" ref="I16:Q16" si="5">IF(I$3="",0,IFERROR(AVERAGE(D16:H16),0))</f>
        <v>-3.16</v>
      </c>
      <c r="J16" s="18">
        <f t="shared" si="5"/>
        <v>209.80799999999999</v>
      </c>
      <c r="K16" s="18">
        <f t="shared" si="5"/>
        <v>35.369599999999998</v>
      </c>
      <c r="L16" s="18">
        <f t="shared" si="5"/>
        <v>63.643520000000002</v>
      </c>
      <c r="M16" s="18">
        <f t="shared" si="5"/>
        <v>0</v>
      </c>
      <c r="N16" s="18">
        <f t="shared" si="5"/>
        <v>0</v>
      </c>
      <c r="O16" s="18">
        <f t="shared" si="5"/>
        <v>0</v>
      </c>
      <c r="P16" s="18">
        <f t="shared" si="5"/>
        <v>0</v>
      </c>
      <c r="Q16" s="18">
        <f t="shared" si="5"/>
        <v>0</v>
      </c>
    </row>
    <row r="17" spans="2:17">
      <c r="B17" s="35" t="s">
        <v>160</v>
      </c>
      <c r="C17" s="201">
        <f>Assumptions!D242</f>
        <v>0</v>
      </c>
      <c r="D17" s="201">
        <f>Assumptions!E242</f>
        <v>0</v>
      </c>
      <c r="E17" s="201">
        <f>Assumptions!F242</f>
        <v>0</v>
      </c>
      <c r="F17" s="201">
        <f>Assumptions!G242</f>
        <v>0</v>
      </c>
      <c r="G17" s="201">
        <f>Assumptions!H242</f>
        <v>0</v>
      </c>
      <c r="H17" s="18">
        <f>IF(H$3="",0,IFERROR(AVERAGE(C17:G17),0))</f>
        <v>0</v>
      </c>
      <c r="I17" s="18">
        <f t="shared" ref="I17:Q17" si="6">IF(I$3="",0,IFERROR(AVERAGE(D17:H17),0))</f>
        <v>0</v>
      </c>
      <c r="J17" s="18">
        <f t="shared" si="6"/>
        <v>0</v>
      </c>
      <c r="K17" s="18">
        <f t="shared" si="6"/>
        <v>0</v>
      </c>
      <c r="L17" s="18">
        <f t="shared" si="6"/>
        <v>0</v>
      </c>
      <c r="M17" s="18">
        <f t="shared" si="6"/>
        <v>0</v>
      </c>
      <c r="N17" s="18">
        <f t="shared" si="6"/>
        <v>0</v>
      </c>
      <c r="O17" s="18">
        <f t="shared" si="6"/>
        <v>0</v>
      </c>
      <c r="P17" s="18">
        <f t="shared" si="6"/>
        <v>0</v>
      </c>
      <c r="Q17" s="18">
        <f t="shared" si="6"/>
        <v>0</v>
      </c>
    </row>
    <row r="18" spans="2:17">
      <c r="B18" s="43" t="s">
        <v>265</v>
      </c>
      <c r="C18" s="204">
        <f>SUM(C13:C17)</f>
        <v>-3462</v>
      </c>
      <c r="D18" s="204">
        <f t="shared" ref="D18:G18" si="7">SUM(D13:D17)</f>
        <v>-2421</v>
      </c>
      <c r="E18" s="204">
        <f t="shared" si="7"/>
        <v>1017</v>
      </c>
      <c r="F18" s="204">
        <f t="shared" si="7"/>
        <v>-2170</v>
      </c>
      <c r="G18" s="204">
        <f t="shared" si="7"/>
        <v>-2137</v>
      </c>
      <c r="H18" s="44">
        <f t="shared" ref="H18:Q18" si="8">SUM(H13:H17)</f>
        <v>-2027.0323300693508</v>
      </c>
      <c r="I18" s="44">
        <f t="shared" si="8"/>
        <v>-1704.3632999714316</v>
      </c>
      <c r="J18" s="44">
        <f t="shared" si="8"/>
        <v>-1504.7361989705744</v>
      </c>
      <c r="K18" s="44">
        <f t="shared" si="8"/>
        <v>-1945.9006849396917</v>
      </c>
      <c r="L18" s="44">
        <f t="shared" si="8"/>
        <v>-1964.3485854878825</v>
      </c>
      <c r="M18" s="44">
        <f t="shared" si="8"/>
        <v>0</v>
      </c>
      <c r="N18" s="44">
        <f t="shared" si="8"/>
        <v>0</v>
      </c>
      <c r="O18" s="44">
        <f t="shared" si="8"/>
        <v>0</v>
      </c>
      <c r="P18" s="44">
        <f t="shared" si="8"/>
        <v>0</v>
      </c>
      <c r="Q18" s="44">
        <f t="shared" si="8"/>
        <v>0</v>
      </c>
    </row>
    <row r="19" spans="2:17">
      <c r="C19" s="201"/>
      <c r="D19" s="201"/>
      <c r="E19" s="201"/>
      <c r="F19" s="201"/>
      <c r="G19" s="201"/>
      <c r="H19" s="18"/>
      <c r="I19" s="18"/>
      <c r="J19" s="18"/>
      <c r="K19" s="18"/>
      <c r="L19" s="18"/>
      <c r="M19" s="18"/>
      <c r="N19" s="18"/>
      <c r="O19" s="18"/>
      <c r="P19" s="18"/>
      <c r="Q19" s="18"/>
    </row>
    <row r="20" spans="2:17">
      <c r="C20" s="201"/>
      <c r="D20" s="201"/>
      <c r="E20" s="201"/>
      <c r="F20" s="201"/>
      <c r="G20" s="201"/>
      <c r="H20" s="18"/>
      <c r="I20" s="18"/>
      <c r="J20" s="18"/>
      <c r="K20" s="18"/>
      <c r="L20" s="18"/>
      <c r="M20" s="18"/>
      <c r="N20" s="18"/>
      <c r="O20" s="18"/>
      <c r="P20" s="18"/>
      <c r="Q20" s="18"/>
    </row>
    <row r="21" spans="2:17">
      <c r="B21" s="14" t="s">
        <v>266</v>
      </c>
      <c r="C21" s="201"/>
      <c r="D21" s="201"/>
      <c r="E21" s="201"/>
      <c r="F21" s="201"/>
      <c r="G21" s="201"/>
      <c r="H21" s="18"/>
      <c r="I21" s="18"/>
      <c r="J21" s="18"/>
      <c r="K21" s="18"/>
      <c r="L21" s="18"/>
      <c r="M21" s="18"/>
      <c r="N21" s="18"/>
      <c r="O21" s="18"/>
      <c r="P21" s="18"/>
      <c r="Q21" s="18"/>
    </row>
    <row r="22" spans="2:17">
      <c r="B22" s="35" t="str">
        <f>Assumptions!B245</f>
        <v>Dividends Paid</v>
      </c>
      <c r="C22" s="201">
        <f>Assumptions!D245</f>
        <v>-537</v>
      </c>
      <c r="D22" s="201">
        <f>Assumptions!E245</f>
        <v>-601</v>
      </c>
      <c r="E22" s="201">
        <f>Assumptions!F245</f>
        <v>-636</v>
      </c>
      <c r="F22" s="201">
        <f>Assumptions!G245</f>
        <v>-653</v>
      </c>
      <c r="G22" s="201">
        <f>Assumptions!H245</f>
        <v>-670</v>
      </c>
      <c r="H22" s="18">
        <f>IF(H$3="",0,H41*Assumptions!I246)</f>
        <v>31.851940004016079</v>
      </c>
      <c r="I22" s="18">
        <f>IF(I$3="",0,I41*Assumptions!J246)</f>
        <v>33.092684801516036</v>
      </c>
      <c r="J22" s="18">
        <f>IF(J$3="",0,J41*Assumptions!K246)</f>
        <v>34.185146954394007</v>
      </c>
      <c r="K22" s="18">
        <f>IF(K$3="",0,K41*Assumptions!L246)</f>
        <v>35.193741228591385</v>
      </c>
      <c r="L22" s="18">
        <f>IF(L$3="",0,L41*Assumptions!M246)</f>
        <v>36.291606208491629</v>
      </c>
      <c r="M22" s="18">
        <f>IF(M$3="",0,M41*Assumptions!N246)</f>
        <v>0</v>
      </c>
      <c r="N22" s="18">
        <f>IF(N$3="",0,N41*Assumptions!O246)</f>
        <v>0</v>
      </c>
      <c r="O22" s="18">
        <f>IF(O$3="",0,O41*Assumptions!P246)</f>
        <v>0</v>
      </c>
      <c r="P22" s="18">
        <f>IF(P$3="",0,P41*Assumptions!Q246)</f>
        <v>0</v>
      </c>
      <c r="Q22" s="18">
        <f>IF(Q$3="",0,Q41*Assumptions!R246)</f>
        <v>0</v>
      </c>
    </row>
    <row r="23" spans="2:17">
      <c r="B23" s="35" t="str">
        <f>Assumptions!B249</f>
        <v>Net Cash from (Repayment) Debt</v>
      </c>
      <c r="C23" s="201">
        <f>Assumptions!D249</f>
        <v>1891</v>
      </c>
      <c r="D23" s="201">
        <f>Assumptions!E249</f>
        <v>-672</v>
      </c>
      <c r="E23" s="201">
        <f>Assumptions!F249</f>
        <v>-2047</v>
      </c>
      <c r="F23" s="201">
        <f>Assumptions!G249</f>
        <v>-1088</v>
      </c>
      <c r="G23" s="201">
        <f>Assumptions!H249</f>
        <v>1117</v>
      </c>
      <c r="H23" s="18">
        <f>IF(H$3="",0,IFERROR(AVERAGE(C23:G23),0))</f>
        <v>-159.80000000000001</v>
      </c>
      <c r="I23" s="18">
        <f t="shared" ref="I23:Q23" si="9">IF(I$3="",0,IFERROR(AVERAGE(D23:H23),0))</f>
        <v>-569.96</v>
      </c>
      <c r="J23" s="18">
        <f t="shared" si="9"/>
        <v>-549.55200000000002</v>
      </c>
      <c r="K23" s="18">
        <f t="shared" si="9"/>
        <v>-250.06239999999997</v>
      </c>
      <c r="L23" s="18">
        <f t="shared" si="9"/>
        <v>-82.474879999999999</v>
      </c>
      <c r="M23" s="18">
        <f t="shared" si="9"/>
        <v>0</v>
      </c>
      <c r="N23" s="18">
        <f t="shared" si="9"/>
        <v>0</v>
      </c>
      <c r="O23" s="18">
        <f t="shared" si="9"/>
        <v>0</v>
      </c>
      <c r="P23" s="18">
        <f t="shared" si="9"/>
        <v>0</v>
      </c>
      <c r="Q23" s="18">
        <f t="shared" si="9"/>
        <v>0</v>
      </c>
    </row>
    <row r="24" spans="2:17">
      <c r="B24" s="35" t="str">
        <f>Assumptions!B252</f>
        <v>Cash (Repurchase) of Equity</v>
      </c>
      <c r="C24" s="201">
        <f>Assumptions!D252</f>
        <v>-153</v>
      </c>
      <c r="D24" s="201">
        <f>Assumptions!E252</f>
        <v>-177</v>
      </c>
      <c r="E24" s="201">
        <f>Assumptions!F252</f>
        <v>-26</v>
      </c>
      <c r="F24" s="201">
        <f>Assumptions!G252</f>
        <v>-576</v>
      </c>
      <c r="G24" s="201">
        <f>Assumptions!H252</f>
        <v>-343</v>
      </c>
      <c r="H24" s="18">
        <f>IF(H$3="",0,IFERROR(AVERAGE(C24:G24),0))</f>
        <v>-255</v>
      </c>
      <c r="I24" s="18">
        <f t="shared" ref="I24:Q24" si="10">IF(I$3="",0,IFERROR(AVERAGE(D24:H24),0))</f>
        <v>-275.39999999999998</v>
      </c>
      <c r="J24" s="18">
        <f t="shared" si="10"/>
        <v>-295.08000000000004</v>
      </c>
      <c r="K24" s="18">
        <f t="shared" si="10"/>
        <v>-348.89600000000002</v>
      </c>
      <c r="L24" s="18">
        <f t="shared" si="10"/>
        <v>-303.47519999999997</v>
      </c>
      <c r="M24" s="18">
        <f t="shared" si="10"/>
        <v>0</v>
      </c>
      <c r="N24" s="18">
        <f t="shared" si="10"/>
        <v>0</v>
      </c>
      <c r="O24" s="18">
        <f t="shared" si="10"/>
        <v>0</v>
      </c>
      <c r="P24" s="18">
        <f t="shared" si="10"/>
        <v>0</v>
      </c>
      <c r="Q24" s="18">
        <f t="shared" si="10"/>
        <v>0</v>
      </c>
    </row>
    <row r="25" spans="2:17">
      <c r="B25" s="35" t="str">
        <f>Assumptions!B255</f>
        <v>Other Financing Activities</v>
      </c>
      <c r="C25" s="201">
        <f>Assumptions!D255</f>
        <v>-30</v>
      </c>
      <c r="D25" s="201">
        <f>Assumptions!E255</f>
        <v>-18</v>
      </c>
      <c r="E25" s="201">
        <f>Assumptions!F255</f>
        <v>-22</v>
      </c>
      <c r="F25" s="201">
        <f>Assumptions!G255</f>
        <v>-6</v>
      </c>
      <c r="G25" s="201">
        <f>Assumptions!H255</f>
        <v>-16</v>
      </c>
      <c r="H25" s="18">
        <f>IF(H$3="",0,IFERROR(AVERAGE(C25:G25),0))</f>
        <v>-18.399999999999999</v>
      </c>
      <c r="I25" s="18">
        <f t="shared" ref="I25:Q25" si="11">IF(I$3="",0,IFERROR(AVERAGE(D25:H25),0))</f>
        <v>-16.080000000000002</v>
      </c>
      <c r="J25" s="18">
        <f t="shared" si="11"/>
        <v>-15.696000000000002</v>
      </c>
      <c r="K25" s="18">
        <f t="shared" si="11"/>
        <v>-14.4352</v>
      </c>
      <c r="L25" s="18">
        <f t="shared" si="11"/>
        <v>-16.122239999999998</v>
      </c>
      <c r="M25" s="18">
        <f t="shared" si="11"/>
        <v>0</v>
      </c>
      <c r="N25" s="18">
        <f t="shared" si="11"/>
        <v>0</v>
      </c>
      <c r="O25" s="18">
        <f t="shared" si="11"/>
        <v>0</v>
      </c>
      <c r="P25" s="18">
        <f t="shared" si="11"/>
        <v>0</v>
      </c>
      <c r="Q25" s="18">
        <f t="shared" si="11"/>
        <v>0</v>
      </c>
    </row>
    <row r="26" spans="2:17">
      <c r="B26" s="35" t="str">
        <f>Assumptions!B258</f>
        <v>Net Cash from Discontinued Operations</v>
      </c>
      <c r="C26" s="201">
        <f>Assumptions!D258</f>
        <v>0</v>
      </c>
      <c r="D26" s="201">
        <f>Assumptions!E258</f>
        <v>0</v>
      </c>
      <c r="E26" s="201">
        <f>Assumptions!F258</f>
        <v>0</v>
      </c>
      <c r="F26" s="201">
        <f>Assumptions!G258</f>
        <v>0</v>
      </c>
      <c r="G26" s="201">
        <f>Assumptions!H258</f>
        <v>0</v>
      </c>
      <c r="H26" s="18">
        <f>IF(H$3="",0,IFERROR(AVERAGE(C26:G26),0))</f>
        <v>0</v>
      </c>
      <c r="I26" s="18">
        <f t="shared" ref="I26:Q26" si="12">IF(I$3="",0,IFERROR(AVERAGE(D26:H26),0))</f>
        <v>0</v>
      </c>
      <c r="J26" s="18">
        <f t="shared" si="12"/>
        <v>0</v>
      </c>
      <c r="K26" s="18">
        <f t="shared" si="12"/>
        <v>0</v>
      </c>
      <c r="L26" s="18">
        <f t="shared" si="12"/>
        <v>0</v>
      </c>
      <c r="M26" s="18">
        <f t="shared" si="12"/>
        <v>0</v>
      </c>
      <c r="N26" s="18">
        <f t="shared" si="12"/>
        <v>0</v>
      </c>
      <c r="O26" s="18">
        <f t="shared" si="12"/>
        <v>0</v>
      </c>
      <c r="P26" s="18">
        <f t="shared" si="12"/>
        <v>0</v>
      </c>
      <c r="Q26" s="18">
        <f t="shared" si="12"/>
        <v>0</v>
      </c>
    </row>
    <row r="27" spans="2:17">
      <c r="B27" s="43" t="s">
        <v>267</v>
      </c>
      <c r="C27" s="204">
        <f>SUM(C22:C26)</f>
        <v>1171</v>
      </c>
      <c r="D27" s="204">
        <f t="shared" ref="D27:G27" si="13">SUM(D22:D26)</f>
        <v>-1468</v>
      </c>
      <c r="E27" s="204">
        <f t="shared" si="13"/>
        <v>-2731</v>
      </c>
      <c r="F27" s="204">
        <f t="shared" si="13"/>
        <v>-2323</v>
      </c>
      <c r="G27" s="204">
        <f t="shared" si="13"/>
        <v>88</v>
      </c>
      <c r="H27" s="44">
        <f t="shared" ref="H27:Q27" si="14">SUM(H22:H26)</f>
        <v>-401.34805999598393</v>
      </c>
      <c r="I27" s="44">
        <f t="shared" si="14"/>
        <v>-828.34731519848401</v>
      </c>
      <c r="J27" s="44">
        <f t="shared" si="14"/>
        <v>-826.1428530456061</v>
      </c>
      <c r="K27" s="44">
        <f t="shared" si="14"/>
        <v>-578.19985877140857</v>
      </c>
      <c r="L27" s="44">
        <f t="shared" si="14"/>
        <v>-365.78071379150833</v>
      </c>
      <c r="M27" s="44">
        <f t="shared" si="14"/>
        <v>0</v>
      </c>
      <c r="N27" s="44">
        <f t="shared" si="14"/>
        <v>0</v>
      </c>
      <c r="O27" s="44">
        <f t="shared" si="14"/>
        <v>0</v>
      </c>
      <c r="P27" s="44">
        <f t="shared" si="14"/>
        <v>0</v>
      </c>
      <c r="Q27" s="44">
        <f t="shared" si="14"/>
        <v>0</v>
      </c>
    </row>
    <row r="28" spans="2:17">
      <c r="C28" s="201"/>
      <c r="D28" s="201"/>
      <c r="E28" s="201"/>
      <c r="F28" s="201"/>
      <c r="G28" s="201"/>
      <c r="H28" s="18"/>
      <c r="I28" s="18"/>
      <c r="J28" s="18"/>
      <c r="K28" s="18"/>
      <c r="L28" s="18"/>
      <c r="M28" s="18"/>
      <c r="N28" s="18"/>
      <c r="O28" s="18"/>
      <c r="P28" s="18"/>
      <c r="Q28" s="18"/>
    </row>
    <row r="29" spans="2:17">
      <c r="B29" s="60" t="str">
        <f>Assumptions!B261</f>
        <v>Effect of Foreign Exchange Rates</v>
      </c>
      <c r="C29" s="201">
        <f>+Assumptions!D261</f>
        <v>-6</v>
      </c>
      <c r="D29" s="201">
        <f>+Assumptions!E261</f>
        <v>-1</v>
      </c>
      <c r="E29" s="201">
        <f>+Assumptions!F261</f>
        <v>4</v>
      </c>
      <c r="F29" s="201">
        <f>+Assumptions!G261</f>
        <v>-35</v>
      </c>
      <c r="G29" s="201">
        <f>+Assumptions!H261</f>
        <v>1</v>
      </c>
      <c r="H29" s="18">
        <f>IF(H$3="",0,IFERROR(AVERAGE(C29:G29),0))</f>
        <v>-7.4</v>
      </c>
      <c r="I29" s="18">
        <f t="shared" ref="I29:Q29" si="15">IF(I$3="",0,IFERROR(AVERAGE(D29:H29),0))</f>
        <v>-7.68</v>
      </c>
      <c r="J29" s="18">
        <f t="shared" si="15"/>
        <v>-9.016</v>
      </c>
      <c r="K29" s="18">
        <f t="shared" si="15"/>
        <v>-11.619199999999999</v>
      </c>
      <c r="L29" s="18">
        <f t="shared" si="15"/>
        <v>-6.943039999999999</v>
      </c>
      <c r="M29" s="18">
        <f t="shared" si="15"/>
        <v>0</v>
      </c>
      <c r="N29" s="18">
        <f t="shared" si="15"/>
        <v>0</v>
      </c>
      <c r="O29" s="18">
        <f t="shared" si="15"/>
        <v>0</v>
      </c>
      <c r="P29" s="18">
        <f t="shared" si="15"/>
        <v>0</v>
      </c>
      <c r="Q29" s="18">
        <f t="shared" si="15"/>
        <v>0</v>
      </c>
    </row>
    <row r="30" spans="2:17">
      <c r="C30" s="201"/>
      <c r="D30" s="201"/>
      <c r="E30" s="201"/>
      <c r="F30" s="201"/>
      <c r="G30" s="201"/>
      <c r="H30" s="18"/>
      <c r="I30" s="18"/>
      <c r="J30" s="18"/>
      <c r="K30" s="18"/>
      <c r="L30" s="18"/>
      <c r="M30" s="18"/>
      <c r="N30" s="18"/>
      <c r="O30" s="18"/>
      <c r="P30" s="18"/>
      <c r="Q30" s="18"/>
    </row>
    <row r="31" spans="2:17" ht="12" thickBot="1">
      <c r="B31" s="67" t="s">
        <v>268</v>
      </c>
      <c r="C31" s="203">
        <f>SUM(C10,C18,C27,C29)</f>
        <v>47</v>
      </c>
      <c r="D31" s="203">
        <f t="shared" ref="D31:G31" si="16">SUM(D10,D18,D27,D29)</f>
        <v>-123</v>
      </c>
      <c r="E31" s="203">
        <f t="shared" si="16"/>
        <v>2164</v>
      </c>
      <c r="F31" s="203">
        <f t="shared" si="16"/>
        <v>-2198</v>
      </c>
      <c r="G31" s="203">
        <f t="shared" si="16"/>
        <v>-174</v>
      </c>
      <c r="H31" s="54">
        <f t="shared" ref="H31:Q31" si="17">SUM(H10,H18,H27,H29)</f>
        <v>1023.2327807273724</v>
      </c>
      <c r="I31" s="54">
        <f t="shared" si="17"/>
        <v>1151.8100792310338</v>
      </c>
      <c r="J31" s="54">
        <f t="shared" si="17"/>
        <v>1309.8237855985067</v>
      </c>
      <c r="K31" s="54">
        <f t="shared" si="17"/>
        <v>1072.5838118499432</v>
      </c>
      <c r="L31" s="54">
        <f t="shared" si="17"/>
        <v>1702.3795102551244</v>
      </c>
      <c r="M31" s="54">
        <f t="shared" si="17"/>
        <v>0</v>
      </c>
      <c r="N31" s="54">
        <f t="shared" si="17"/>
        <v>0</v>
      </c>
      <c r="O31" s="54">
        <f t="shared" si="17"/>
        <v>0</v>
      </c>
      <c r="P31" s="54">
        <f t="shared" si="17"/>
        <v>0</v>
      </c>
      <c r="Q31" s="54">
        <f t="shared" si="17"/>
        <v>0</v>
      </c>
    </row>
    <row r="32" spans="2:17">
      <c r="C32" s="201"/>
      <c r="D32" s="201"/>
      <c r="E32" s="201"/>
      <c r="F32" s="201"/>
      <c r="G32" s="201"/>
      <c r="H32" s="18"/>
      <c r="I32" s="18"/>
      <c r="J32" s="18"/>
      <c r="K32" s="18"/>
      <c r="L32" s="18"/>
      <c r="M32" s="18"/>
      <c r="N32" s="18"/>
      <c r="O32" s="18"/>
      <c r="P32" s="18"/>
      <c r="Q32" s="18"/>
    </row>
    <row r="33" spans="2:17">
      <c r="B33" s="14" t="s">
        <v>269</v>
      </c>
      <c r="C33" s="201"/>
      <c r="D33" s="201"/>
      <c r="E33" s="201"/>
      <c r="F33" s="201"/>
      <c r="G33" s="201"/>
      <c r="H33" s="18"/>
      <c r="I33" s="18"/>
      <c r="J33" s="18"/>
      <c r="K33" s="18"/>
      <c r="L33" s="18"/>
      <c r="M33" s="18"/>
      <c r="N33" s="18"/>
      <c r="O33" s="18"/>
      <c r="P33" s="18"/>
      <c r="Q33" s="18"/>
    </row>
    <row r="34" spans="2:17">
      <c r="B34" s="35" t="str">
        <f>+Assumptions!B264</f>
        <v>Opening Cash</v>
      </c>
      <c r="C34" s="201">
        <f>+Assumptions!C265+C31</f>
        <v>317</v>
      </c>
      <c r="D34" s="201">
        <f>+C36</f>
        <v>317</v>
      </c>
      <c r="E34" s="201">
        <f t="shared" ref="E34:G34" si="18">+D36</f>
        <v>148</v>
      </c>
      <c r="F34" s="201">
        <f t="shared" si="18"/>
        <v>2228</v>
      </c>
      <c r="G34" s="201">
        <f t="shared" si="18"/>
        <v>160</v>
      </c>
      <c r="H34" s="18">
        <f>IF(H$3="",0,+G36)</f>
        <v>-14</v>
      </c>
      <c r="I34" s="18">
        <f t="shared" ref="I34:Q34" si="19">IF(I$3="",0,+H36)</f>
        <v>1009.2327807273724</v>
      </c>
      <c r="J34" s="18">
        <f t="shared" si="19"/>
        <v>2161.0428599584061</v>
      </c>
      <c r="K34" s="18">
        <f t="shared" si="19"/>
        <v>3470.8666455569128</v>
      </c>
      <c r="L34" s="18">
        <f t="shared" si="19"/>
        <v>4543.450457406856</v>
      </c>
      <c r="M34" s="18">
        <f t="shared" si="19"/>
        <v>0</v>
      </c>
      <c r="N34" s="18">
        <f t="shared" si="19"/>
        <v>0</v>
      </c>
      <c r="O34" s="18">
        <f t="shared" si="19"/>
        <v>0</v>
      </c>
      <c r="P34" s="18">
        <f t="shared" si="19"/>
        <v>0</v>
      </c>
      <c r="Q34" s="18">
        <f t="shared" si="19"/>
        <v>0</v>
      </c>
    </row>
    <row r="35" spans="2:17">
      <c r="B35" s="35" t="str">
        <f>Assumptions!B267</f>
        <v>Restricted Cash</v>
      </c>
      <c r="C35" s="201">
        <f>+Assumptions!D269</f>
        <v>0</v>
      </c>
      <c r="D35" s="201">
        <f>+Assumptions!E269</f>
        <v>46</v>
      </c>
      <c r="E35" s="201">
        <f>+Assumptions!F269</f>
        <v>84</v>
      </c>
      <c r="F35" s="201">
        <f>+Assumptions!G269</f>
        <v>-130</v>
      </c>
      <c r="G35" s="201">
        <f>+Assumptions!H269</f>
        <v>0</v>
      </c>
      <c r="H35" s="18">
        <f>IF(H$3="",0,+Assumptions!I269)</f>
        <v>0</v>
      </c>
      <c r="I35" s="18">
        <f>IF(I$3="",0,+Assumptions!J269)</f>
        <v>0</v>
      </c>
      <c r="J35" s="18">
        <f>IF(J$3="",0,+Assumptions!K269)</f>
        <v>0</v>
      </c>
      <c r="K35" s="18">
        <f>IF(K$3="",0,+Assumptions!L269)</f>
        <v>0</v>
      </c>
      <c r="L35" s="18">
        <f>IF(L$3="",0,+Assumptions!M269)</f>
        <v>0</v>
      </c>
      <c r="M35" s="18">
        <f>IF(M$3="",0,+Assumptions!N269)</f>
        <v>0</v>
      </c>
      <c r="N35" s="18">
        <f>IF(N$3="",0,+Assumptions!O269)</f>
        <v>0</v>
      </c>
      <c r="O35" s="18">
        <f>IF(O$3="",0,+Assumptions!P269)</f>
        <v>0</v>
      </c>
      <c r="P35" s="18">
        <f>IF(P$3="",0,+Assumptions!Q269)</f>
        <v>0</v>
      </c>
      <c r="Q35" s="18">
        <f>IF(Q$3="",0,+Assumptions!R269)</f>
        <v>0</v>
      </c>
    </row>
    <row r="36" spans="2:17" ht="12" thickBot="1">
      <c r="B36" s="66" t="s">
        <v>270</v>
      </c>
      <c r="C36" s="188">
        <f>+C34-C35</f>
        <v>317</v>
      </c>
      <c r="D36" s="188">
        <f>+D31+D34-D35</f>
        <v>148</v>
      </c>
      <c r="E36" s="188">
        <f t="shared" ref="E36:H36" si="20">+E31+E34-E35</f>
        <v>2228</v>
      </c>
      <c r="F36" s="188">
        <f t="shared" si="20"/>
        <v>160</v>
      </c>
      <c r="G36" s="188">
        <f t="shared" si="20"/>
        <v>-14</v>
      </c>
      <c r="H36" s="61">
        <f t="shared" si="20"/>
        <v>1009.2327807273724</v>
      </c>
      <c r="I36" s="61">
        <f t="shared" ref="I36:Q36" si="21">+I31+I34-I35</f>
        <v>2161.0428599584061</v>
      </c>
      <c r="J36" s="61">
        <f t="shared" si="21"/>
        <v>3470.8666455569128</v>
      </c>
      <c r="K36" s="61">
        <f t="shared" si="21"/>
        <v>4543.450457406856</v>
      </c>
      <c r="L36" s="61">
        <f t="shared" si="21"/>
        <v>6245.8299676619808</v>
      </c>
      <c r="M36" s="61">
        <f t="shared" si="21"/>
        <v>0</v>
      </c>
      <c r="N36" s="61">
        <f t="shared" si="21"/>
        <v>0</v>
      </c>
      <c r="O36" s="61">
        <f t="shared" si="21"/>
        <v>0</v>
      </c>
      <c r="P36" s="61">
        <f t="shared" si="21"/>
        <v>0</v>
      </c>
      <c r="Q36" s="61">
        <f t="shared" si="21"/>
        <v>0</v>
      </c>
    </row>
    <row r="37" spans="2:17" ht="12" thickTop="1">
      <c r="C37" s="18"/>
      <c r="D37" s="18"/>
      <c r="E37" s="18"/>
      <c r="F37" s="18"/>
      <c r="G37" s="18"/>
      <c r="H37" s="18"/>
      <c r="I37" s="18"/>
      <c r="J37" s="18"/>
      <c r="K37" s="18"/>
      <c r="L37" s="18"/>
      <c r="M37" s="18"/>
      <c r="N37" s="18"/>
      <c r="O37" s="18"/>
      <c r="P37" s="18"/>
      <c r="Q37" s="18"/>
    </row>
    <row r="38" spans="2:17">
      <c r="C38" s="18"/>
      <c r="D38" s="18"/>
      <c r="E38" s="18"/>
      <c r="F38" s="18"/>
      <c r="G38" s="18"/>
      <c r="H38" s="18"/>
      <c r="I38" s="18"/>
      <c r="J38" s="18"/>
      <c r="K38" s="18"/>
      <c r="L38" s="18"/>
      <c r="M38" s="18"/>
      <c r="N38" s="18"/>
      <c r="O38" s="18"/>
      <c r="P38" s="18"/>
      <c r="Q38" s="18"/>
    </row>
    <row r="39" spans="2:17">
      <c r="B39" s="42" t="s">
        <v>271</v>
      </c>
      <c r="C39" s="62"/>
      <c r="D39" s="62"/>
      <c r="E39" s="62"/>
      <c r="F39" s="62"/>
      <c r="G39" s="62"/>
      <c r="H39" s="62"/>
      <c r="I39" s="62"/>
      <c r="J39" s="62"/>
      <c r="K39" s="62"/>
      <c r="L39" s="62"/>
      <c r="M39" s="62"/>
      <c r="N39" s="62"/>
      <c r="O39" s="62"/>
      <c r="P39" s="62"/>
      <c r="Q39" s="62"/>
    </row>
    <row r="40" spans="2:17">
      <c r="B40" s="1" t="str">
        <f>'Income Statement'!B4</f>
        <v>Revenue</v>
      </c>
      <c r="C40" s="18">
        <f>'IS Bull'!C4</f>
        <v>42405</v>
      </c>
      <c r="D40" s="18">
        <f>'IS Bull'!D4</f>
        <v>43185</v>
      </c>
      <c r="E40" s="18">
        <f>'IS Bull'!E4</f>
        <v>47049</v>
      </c>
      <c r="F40" s="18">
        <f>'IS Bull'!F4</f>
        <v>53282</v>
      </c>
      <c r="G40" s="18">
        <f>'IS Bull'!G4</f>
        <v>52881</v>
      </c>
      <c r="H40" s="18">
        <f>'IS Bull'!H4</f>
        <v>54467.43</v>
      </c>
      <c r="I40" s="18">
        <f>'IS Bull'!I4</f>
        <v>56101.452900000004</v>
      </c>
      <c r="J40" s="18">
        <f>'IS Bull'!J4</f>
        <v>57784.496487000004</v>
      </c>
      <c r="K40" s="18">
        <f>'IS Bull'!K4</f>
        <v>59518.031381610002</v>
      </c>
      <c r="L40" s="18">
        <f>'IS Bull'!L4</f>
        <v>61303.572323058303</v>
      </c>
      <c r="M40" s="18">
        <f>'IS Bull'!M4</f>
        <v>0</v>
      </c>
      <c r="N40" s="18">
        <f>'IS Bull'!N4</f>
        <v>0</v>
      </c>
      <c r="O40" s="18">
        <f>'IS Bull'!O4</f>
        <v>0</v>
      </c>
      <c r="P40" s="18">
        <f>'IS Bull'!P4</f>
        <v>0</v>
      </c>
      <c r="Q40" s="18">
        <f>'IS Bull'!Q4</f>
        <v>0</v>
      </c>
    </row>
    <row r="41" spans="2:17">
      <c r="B41" s="1" t="str">
        <f>'Income Statement'!B37</f>
        <v>Net Income (Loss), GAAP</v>
      </c>
      <c r="C41" s="18">
        <f>'IS Bull'!C37</f>
        <v>2022</v>
      </c>
      <c r="D41" s="18">
        <f>'IS Bull'!D37</f>
        <v>2061</v>
      </c>
      <c r="E41" s="18">
        <f>'IS Bull'!E37</f>
        <v>3047</v>
      </c>
      <c r="F41" s="18">
        <f>'IS Bull'!F37</f>
        <v>3238</v>
      </c>
      <c r="G41" s="18">
        <f>'IS Bull'!G37</f>
        <v>-648</v>
      </c>
      <c r="H41" s="18">
        <f>'IS Bull'!H37</f>
        <v>2399.6324853760543</v>
      </c>
      <c r="I41" s="18">
        <f>'IS Bull'!I37</f>
        <v>2493.1065884217974</v>
      </c>
      <c r="J41" s="18">
        <f>'IS Bull'!J37</f>
        <v>2575.40950845616</v>
      </c>
      <c r="K41" s="18">
        <f>'IS Bull'!K37</f>
        <v>2651.3940665277605</v>
      </c>
      <c r="L41" s="18">
        <f>'IS Bull'!L37</f>
        <v>2734.1040198302344</v>
      </c>
      <c r="M41" s="18">
        <f>'IS Bull'!M37</f>
        <v>0</v>
      </c>
      <c r="N41" s="18">
        <f>'IS Bull'!N37</f>
        <v>0</v>
      </c>
      <c r="O41" s="18">
        <f>'IS Bull'!O37</f>
        <v>0</v>
      </c>
      <c r="P41" s="18">
        <f>'IS Bull'!P37</f>
        <v>0</v>
      </c>
      <c r="Q41" s="18">
        <f>'IS Bull'!Q37</f>
        <v>0</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7CDB-5480-4400-9000-189FA28D0B34}">
  <sheetPr>
    <tabColor theme="7"/>
  </sheetPr>
  <dimension ref="A2:Q57"/>
  <sheetViews>
    <sheetView zoomScaleNormal="100" workbookViewId="0">
      <selection activeCell="C7" sqref="C7"/>
    </sheetView>
  </sheetViews>
  <sheetFormatPr baseColWidth="10" defaultColWidth="0" defaultRowHeight="11" outlineLevelCol="1"/>
  <cols>
    <col min="1" max="1" width="2.1640625" style="1" customWidth="1"/>
    <col min="2" max="2" width="36" style="1" bestFit="1" customWidth="1"/>
    <col min="3" max="7" width="8.6640625" style="1" customWidth="1" outlineLevel="1"/>
    <col min="8" max="17" width="8.6640625" style="1" customWidth="1"/>
    <col min="18" max="16384" width="8.6640625" style="1" hidden="1"/>
  </cols>
  <sheetData>
    <row r="2" spans="2:17">
      <c r="B2" s="42" t="s">
        <v>272</v>
      </c>
      <c r="C2" s="42"/>
      <c r="D2" s="42"/>
      <c r="E2" s="42"/>
      <c r="F2" s="42"/>
      <c r="G2" s="42"/>
      <c r="H2" s="42"/>
      <c r="I2" s="42"/>
      <c r="J2" s="42"/>
      <c r="K2" s="42"/>
      <c r="L2" s="42"/>
      <c r="M2" s="42"/>
      <c r="N2" s="42"/>
      <c r="O2" s="42"/>
      <c r="P2" s="42"/>
      <c r="Q2" s="42"/>
    </row>
    <row r="3" spans="2:17">
      <c r="B3" s="22" t="str">
        <f>Assumptions!$B$132</f>
        <v>Year Ending 09/31/2024, In USD Millions</v>
      </c>
      <c r="C3" s="22" cm="1">
        <f t="array" ref="C3:L3">_xlfn.SEQUENCE(1,5+Assumptions!$C$20,(YEAR('Valuation Summary'!$C$4)-5))</f>
        <v>2019</v>
      </c>
      <c r="D3" s="22">
        <v>2020</v>
      </c>
      <c r="E3" s="22">
        <v>2021</v>
      </c>
      <c r="F3" s="22">
        <v>2022</v>
      </c>
      <c r="G3" s="22">
        <v>2023</v>
      </c>
      <c r="H3" s="23">
        <v>2024</v>
      </c>
      <c r="I3" s="23">
        <v>2025</v>
      </c>
      <c r="J3" s="23">
        <v>2026</v>
      </c>
      <c r="K3" s="23">
        <v>2027</v>
      </c>
      <c r="L3" s="23">
        <v>2028</v>
      </c>
      <c r="M3" s="23"/>
      <c r="N3" s="23"/>
      <c r="O3" s="23"/>
      <c r="P3" s="23"/>
      <c r="Q3" s="23"/>
    </row>
    <row r="4" spans="2:17">
      <c r="B4" s="14" t="s">
        <v>273</v>
      </c>
      <c r="C4" s="201"/>
      <c r="D4" s="201"/>
      <c r="E4" s="201"/>
      <c r="F4" s="201"/>
      <c r="G4" s="201"/>
      <c r="H4" s="18"/>
      <c r="I4" s="18"/>
      <c r="J4" s="18"/>
      <c r="K4" s="18"/>
      <c r="L4" s="18"/>
      <c r="M4" s="18"/>
      <c r="N4" s="18"/>
      <c r="O4" s="18"/>
      <c r="P4" s="18"/>
      <c r="Q4" s="18"/>
    </row>
    <row r="5" spans="2:17">
      <c r="B5" s="16" t="s">
        <v>274</v>
      </c>
      <c r="C5" s="201"/>
      <c r="D5" s="201"/>
      <c r="E5" s="201"/>
      <c r="F5" s="201"/>
      <c r="G5" s="201"/>
      <c r="H5" s="18"/>
      <c r="I5" s="18"/>
      <c r="J5" s="18"/>
      <c r="K5" s="18"/>
      <c r="L5" s="18"/>
      <c r="M5" s="18"/>
      <c r="N5" s="18"/>
      <c r="O5" s="18"/>
      <c r="P5" s="18"/>
      <c r="Q5" s="18"/>
    </row>
    <row r="6" spans="2:17">
      <c r="B6" s="39" t="str">
        <f>Assumptions!B279</f>
        <v>Cash, Cash Equivalents, and Short-Term Investments</v>
      </c>
      <c r="C6" s="201">
        <f>+Assumptions!D280+'Cash Flows'!C36+167</f>
        <v>484</v>
      </c>
      <c r="D6" s="201">
        <f>+Assumptions!E280+'Cash Flows'!D36+1272</f>
        <v>1420</v>
      </c>
      <c r="E6" s="201">
        <f>+Assumptions!F280+'Cash Flows'!E36+279</f>
        <v>2507</v>
      </c>
      <c r="F6" s="201">
        <f>+Assumptions!G280+'Cash Flows'!F36+871</f>
        <v>1031</v>
      </c>
      <c r="G6" s="201">
        <f>+Assumptions!H280+'Cash Flows'!G36+587</f>
        <v>573</v>
      </c>
      <c r="H6" s="211">
        <f>IF(H$3="",0,'Cash Flows'!H36+'Income Statement'!H4*Assumptions!I$281)</f>
        <v>961.68431268193422</v>
      </c>
      <c r="I6" s="211">
        <f>IF(I$3="",0,'Cash Flows'!I36+'Income Statement'!I4*Assumptions!J$281)</f>
        <v>2016.4955171002775</v>
      </c>
      <c r="J6" s="211">
        <f>IF(J$3="",0,'Cash Flows'!J36+'Income Statement'!J4*Assumptions!K$281)</f>
        <v>3177.9062693885612</v>
      </c>
      <c r="K6" s="211">
        <f>IF(K$3="",0,'Cash Flows'!K36+'Income Statement'!K4*Assumptions!L$281)</f>
        <v>4048.6354227532966</v>
      </c>
      <c r="L6" s="211">
        <f>IF(L$3="",0,'Cash Flows'!L36+'Income Statement'!L4*Assumptions!M$281)</f>
        <v>5493.625508251218</v>
      </c>
      <c r="M6" s="211">
        <f>IF(M$3="",0,'Cash Flows'!M36+'Income Statement'!M4*Assumptions!N$281)</f>
        <v>0</v>
      </c>
      <c r="N6" s="211">
        <f>IF(N$3="",0,'Cash Flows'!N36+'Income Statement'!N4*Assumptions!O$281)</f>
        <v>0</v>
      </c>
      <c r="O6" s="211">
        <f>IF(O$3="",0,'Cash Flows'!O36+'Income Statement'!O4*Assumptions!P$281)</f>
        <v>0</v>
      </c>
      <c r="P6" s="211">
        <f>IF(P$3="",0,'Cash Flows'!P36+'Income Statement'!P4*Assumptions!Q$281)</f>
        <v>0</v>
      </c>
      <c r="Q6" s="211">
        <f>IF(Q$3="",0,'Cash Flows'!Q36+'Income Statement'!Q4*Assumptions!R$281)</f>
        <v>0</v>
      </c>
    </row>
    <row r="7" spans="2:17">
      <c r="B7" s="39" t="str">
        <f>Assumptions!B284</f>
        <v>Accounts and Notes Receivable</v>
      </c>
      <c r="C7" s="201">
        <f>Assumptions!D284</f>
        <v>2173</v>
      </c>
      <c r="D7" s="201">
        <f>Assumptions!E284</f>
        <v>1952</v>
      </c>
      <c r="E7" s="201">
        <f>Assumptions!F284</f>
        <v>2400</v>
      </c>
      <c r="F7" s="201">
        <f>Assumptions!G284</f>
        <v>2577</v>
      </c>
      <c r="G7" s="201">
        <f>Assumptions!H284</f>
        <v>2476</v>
      </c>
      <c r="H7" s="211">
        <f>IF(H$3="",0,G7*(1+Assumptions!I$137))</f>
        <v>2500.7600000000002</v>
      </c>
      <c r="I7" s="211">
        <f>IF(I$3="",0,H7*(1+Assumptions!J$137))</f>
        <v>2525.7676000000001</v>
      </c>
      <c r="J7" s="211">
        <f>IF(J$3="",0,I7*(1+Assumptions!K$137))</f>
        <v>2551.0252760000003</v>
      </c>
      <c r="K7" s="211">
        <f>IF(K$3="",0,J7*(1+Assumptions!L$137))</f>
        <v>2576.5355287600005</v>
      </c>
      <c r="L7" s="211">
        <f>IF(L$3="",0,K7*(1+Assumptions!M$137))</f>
        <v>2602.3008840476004</v>
      </c>
      <c r="M7" s="211">
        <f>IF(M$3="",0,L7*(1+Assumptions!N$137))</f>
        <v>0</v>
      </c>
      <c r="N7" s="211">
        <f>IF(N$3="",0,M7*(1+Assumptions!O$137))</f>
        <v>0</v>
      </c>
      <c r="O7" s="211">
        <f>IF(O$3="",0,N7*(1+Assumptions!P$137))</f>
        <v>0</v>
      </c>
      <c r="P7" s="211">
        <f>IF(P$3="",0,O7*(1+Assumptions!Q$137))</f>
        <v>0</v>
      </c>
      <c r="Q7" s="211">
        <f>IF(Q$3="",0,P7*(1+Assumptions!R$137))</f>
        <v>0</v>
      </c>
    </row>
    <row r="8" spans="2:17">
      <c r="B8" s="39" t="str">
        <f>Assumptions!B290</f>
        <v>Inventory</v>
      </c>
      <c r="C8" s="201">
        <f>Assumptions!D290</f>
        <v>4108</v>
      </c>
      <c r="D8" s="201">
        <f>Assumptions!E290</f>
        <v>3859</v>
      </c>
      <c r="E8" s="201">
        <f>Assumptions!F290</f>
        <v>4382</v>
      </c>
      <c r="F8" s="201">
        <f>Assumptions!G290</f>
        <v>5514</v>
      </c>
      <c r="G8" s="201">
        <f>Assumptions!H290</f>
        <v>5328</v>
      </c>
      <c r="H8" s="211">
        <f>IF(H$3="",0,+G8*(1+'Income Statement'!H$10))</f>
        <v>5032.5034890861616</v>
      </c>
      <c r="I8" s="211">
        <f>IF(I$3="",0,+H8*(1+'Income Statement'!I$10))</f>
        <v>5082.828523977023</v>
      </c>
      <c r="J8" s="211">
        <f>IF(J$3="",0,+I8*(1+'Income Statement'!J$10))</f>
        <v>5133.6568092167936</v>
      </c>
      <c r="K8" s="211">
        <f>IF(K$3="",0,+J8*(1+'Income Statement'!K$10))</f>
        <v>5184.9933773089615</v>
      </c>
      <c r="L8" s="211">
        <f>IF(L$3="",0,+K8*(1+'Income Statement'!L$10))</f>
        <v>5236.8433110820515</v>
      </c>
      <c r="M8" s="211">
        <f>IF(M$3="",0,+L8*(1+'Income Statement'!M$10))</f>
        <v>0</v>
      </c>
      <c r="N8" s="211">
        <f>IF(N$3="",0,+M8*(1+'Income Statement'!N$10))</f>
        <v>0</v>
      </c>
      <c r="O8" s="211">
        <f>IF(O$3="",0,+N8*(1+'Income Statement'!O$10))</f>
        <v>0</v>
      </c>
      <c r="P8" s="211">
        <f>IF(P$3="",0,+O8*(1+'Income Statement'!P$10))</f>
        <v>0</v>
      </c>
      <c r="Q8" s="211">
        <f>IF(Q$3="",0,+P8*(1+'Income Statement'!Q$10))</f>
        <v>0</v>
      </c>
    </row>
    <row r="9" spans="2:17">
      <c r="B9" s="39" t="str">
        <f>Assumptions!B293</f>
        <v>Other Short-Term Assets</v>
      </c>
      <c r="C9" s="201">
        <f>Assumptions!D293</f>
        <v>404</v>
      </c>
      <c r="D9" s="201">
        <f>Assumptions!E293</f>
        <v>367</v>
      </c>
      <c r="E9" s="201">
        <f>Assumptions!F293</f>
        <v>533</v>
      </c>
      <c r="F9" s="201">
        <f>Assumptions!G293</f>
        <v>508</v>
      </c>
      <c r="G9" s="201">
        <f>Assumptions!H293</f>
        <v>345</v>
      </c>
      <c r="H9" s="211">
        <f>IF(H$3="",0,G9*(1+Assumptions!I$137))</f>
        <v>348.45</v>
      </c>
      <c r="I9" s="211">
        <f>IF(I$3="",0,H9*(1+Assumptions!J$137))</f>
        <v>351.93450000000001</v>
      </c>
      <c r="J9" s="211">
        <f>IF(J$3="",0,I9*(1+Assumptions!K$137))</f>
        <v>355.453845</v>
      </c>
      <c r="K9" s="211">
        <f>IF(K$3="",0,J9*(1+Assumptions!L$137))</f>
        <v>359.00838345</v>
      </c>
      <c r="L9" s="211">
        <f>IF(L$3="",0,K9*(1+Assumptions!M$137))</f>
        <v>362.59846728449997</v>
      </c>
      <c r="M9" s="211">
        <f>IF(M$3="",0,L9*(1+Assumptions!N$137))</f>
        <v>0</v>
      </c>
      <c r="N9" s="211">
        <f>IF(N$3="",0,M9*(1+Assumptions!O$137))</f>
        <v>0</v>
      </c>
      <c r="O9" s="211">
        <f>IF(O$3="",0,N9*(1+Assumptions!P$137))</f>
        <v>0</v>
      </c>
      <c r="P9" s="211">
        <f>IF(P$3="",0,O9*(1+Assumptions!Q$137))</f>
        <v>0</v>
      </c>
      <c r="Q9" s="211">
        <f>IF(Q$3="",0,P9*(1+Assumptions!R$137))</f>
        <v>0</v>
      </c>
    </row>
    <row r="10" spans="2:17">
      <c r="B10" s="16" t="str">
        <f>"Total "&amp;B5</f>
        <v>Total Current Assets</v>
      </c>
      <c r="C10" s="209">
        <f>SUM(C6:C9)</f>
        <v>7169</v>
      </c>
      <c r="D10" s="209">
        <f t="shared" ref="D10:G10" si="0">SUM(D6:D9)</f>
        <v>7598</v>
      </c>
      <c r="E10" s="209">
        <f t="shared" si="0"/>
        <v>9822</v>
      </c>
      <c r="F10" s="209">
        <f t="shared" si="0"/>
        <v>9630</v>
      </c>
      <c r="G10" s="209">
        <f t="shared" si="0"/>
        <v>8722</v>
      </c>
      <c r="H10" s="210">
        <f t="shared" ref="H10:Q10" si="1">SUM(H6:H9)</f>
        <v>8843.3978017680965</v>
      </c>
      <c r="I10" s="210">
        <f t="shared" si="1"/>
        <v>9977.0261410773001</v>
      </c>
      <c r="J10" s="210">
        <f t="shared" si="1"/>
        <v>11218.042199605356</v>
      </c>
      <c r="K10" s="210">
        <f t="shared" si="1"/>
        <v>12169.172712272259</v>
      </c>
      <c r="L10" s="210">
        <f t="shared" si="1"/>
        <v>13695.36817066537</v>
      </c>
      <c r="M10" s="210">
        <f t="shared" si="1"/>
        <v>0</v>
      </c>
      <c r="N10" s="210">
        <f t="shared" si="1"/>
        <v>0</v>
      </c>
      <c r="O10" s="210">
        <f t="shared" si="1"/>
        <v>0</v>
      </c>
      <c r="P10" s="210">
        <f t="shared" si="1"/>
        <v>0</v>
      </c>
      <c r="Q10" s="210">
        <f t="shared" si="1"/>
        <v>0</v>
      </c>
    </row>
    <row r="11" spans="2:17">
      <c r="B11" s="16" t="s">
        <v>275</v>
      </c>
      <c r="C11" s="201"/>
      <c r="D11" s="201"/>
      <c r="E11" s="201"/>
      <c r="F11" s="201"/>
      <c r="G11" s="201"/>
      <c r="H11" s="18"/>
      <c r="I11" s="18"/>
      <c r="J11" s="18"/>
      <c r="K11" s="18"/>
      <c r="L11" s="18"/>
      <c r="M11" s="18"/>
      <c r="N11" s="18"/>
      <c r="O11" s="18"/>
      <c r="P11" s="18"/>
      <c r="Q11" s="18"/>
    </row>
    <row r="12" spans="2:17">
      <c r="B12" s="39" t="str">
        <f>Assumptions!B296</f>
        <v>Property, Plant, and Equipment</v>
      </c>
      <c r="C12" s="201">
        <f>Assumptions!D296</f>
        <v>7282</v>
      </c>
      <c r="D12" s="201">
        <f>Assumptions!E296</f>
        <v>8128</v>
      </c>
      <c r="E12" s="201">
        <f>Assumptions!F296</f>
        <v>8368</v>
      </c>
      <c r="F12" s="201">
        <f>Assumptions!G296</f>
        <v>9192</v>
      </c>
      <c r="G12" s="201">
        <f>Assumptions!H296</f>
        <v>10178</v>
      </c>
      <c r="H12" s="211">
        <f>IF(H$3="",0,G12+H54-H55)</f>
        <v>10443.984622426433</v>
      </c>
      <c r="I12" s="211">
        <f t="shared" ref="I12:Q12" si="2">IF(I$3="",0,H12+I54-I55)</f>
        <v>10712.629091077129</v>
      </c>
      <c r="J12" s="211">
        <f t="shared" si="2"/>
        <v>10983.960004414332</v>
      </c>
      <c r="K12" s="211">
        <f t="shared" si="2"/>
        <v>11258.004226884908</v>
      </c>
      <c r="L12" s="211">
        <f t="shared" si="2"/>
        <v>11534.78889158019</v>
      </c>
      <c r="M12" s="211">
        <f t="shared" si="2"/>
        <v>0</v>
      </c>
      <c r="N12" s="211">
        <f t="shared" si="2"/>
        <v>0</v>
      </c>
      <c r="O12" s="211">
        <f t="shared" si="2"/>
        <v>0</v>
      </c>
      <c r="P12" s="211">
        <f t="shared" si="2"/>
        <v>0</v>
      </c>
      <c r="Q12" s="211">
        <f t="shared" si="2"/>
        <v>0</v>
      </c>
    </row>
    <row r="13" spans="2:17">
      <c r="B13" s="39" t="str">
        <f>Assumptions!B299</f>
        <v>Long-Term Investments and Receivables</v>
      </c>
      <c r="C13" s="201">
        <f>Assumptions!D299</f>
        <v>0</v>
      </c>
      <c r="D13" s="201">
        <f>Assumptions!E299</f>
        <v>0</v>
      </c>
      <c r="E13" s="201">
        <f>Assumptions!F299</f>
        <v>0</v>
      </c>
      <c r="F13" s="201">
        <f>Assumptions!G299</f>
        <v>0</v>
      </c>
      <c r="G13" s="201">
        <f>Assumptions!H299</f>
        <v>0</v>
      </c>
      <c r="H13" s="18">
        <f>IF(H$3="",0,G13)</f>
        <v>0</v>
      </c>
      <c r="I13" s="18">
        <f t="shared" ref="I13:Q13" si="3">IF(I$3="",0,H13)</f>
        <v>0</v>
      </c>
      <c r="J13" s="18">
        <f t="shared" si="3"/>
        <v>0</v>
      </c>
      <c r="K13" s="18">
        <f t="shared" si="3"/>
        <v>0</v>
      </c>
      <c r="L13" s="18">
        <f t="shared" si="3"/>
        <v>0</v>
      </c>
      <c r="M13" s="18">
        <f t="shared" si="3"/>
        <v>0</v>
      </c>
      <c r="N13" s="18">
        <f t="shared" si="3"/>
        <v>0</v>
      </c>
      <c r="O13" s="18">
        <f t="shared" si="3"/>
        <v>0</v>
      </c>
      <c r="P13" s="18">
        <f t="shared" si="3"/>
        <v>0</v>
      </c>
      <c r="Q13" s="18">
        <f t="shared" si="3"/>
        <v>0</v>
      </c>
    </row>
    <row r="14" spans="2:17">
      <c r="B14" s="39" t="str">
        <f>Assumptions!B302</f>
        <v>Other Long-Term Assets</v>
      </c>
      <c r="C14" s="201">
        <f>Assumptions!D302</f>
        <v>18646</v>
      </c>
      <c r="D14" s="201">
        <f>Assumptions!E302</f>
        <v>18730</v>
      </c>
      <c r="E14" s="201">
        <f>Assumptions!F302</f>
        <v>18119</v>
      </c>
      <c r="F14" s="201">
        <f>Assumptions!G302</f>
        <v>17999</v>
      </c>
      <c r="G14" s="201">
        <f>Assumptions!H302</f>
        <v>17351</v>
      </c>
      <c r="H14" s="18">
        <f>IF(H$3="",0,G14)</f>
        <v>17351</v>
      </c>
      <c r="I14" s="18">
        <f t="shared" ref="I14:Q14" si="4">IF(I$3="",0,H14)</f>
        <v>17351</v>
      </c>
      <c r="J14" s="18">
        <f t="shared" si="4"/>
        <v>17351</v>
      </c>
      <c r="K14" s="18">
        <f t="shared" si="4"/>
        <v>17351</v>
      </c>
      <c r="L14" s="18">
        <f t="shared" si="4"/>
        <v>17351</v>
      </c>
      <c r="M14" s="18">
        <f t="shared" si="4"/>
        <v>0</v>
      </c>
      <c r="N14" s="18">
        <f t="shared" si="4"/>
        <v>0</v>
      </c>
      <c r="O14" s="18">
        <f t="shared" si="4"/>
        <v>0</v>
      </c>
      <c r="P14" s="18">
        <f t="shared" si="4"/>
        <v>0</v>
      </c>
      <c r="Q14" s="18">
        <f t="shared" si="4"/>
        <v>0</v>
      </c>
    </row>
    <row r="15" spans="2:17">
      <c r="B15" s="16" t="str">
        <f>"Total "&amp;B11</f>
        <v>Total Non-Current Assets</v>
      </c>
      <c r="C15" s="202">
        <f>SUM(C12:C14)</f>
        <v>25928</v>
      </c>
      <c r="D15" s="202">
        <f t="shared" ref="D15:G15" si="5">SUM(D12:D14)</f>
        <v>26858</v>
      </c>
      <c r="E15" s="202">
        <f t="shared" si="5"/>
        <v>26487</v>
      </c>
      <c r="F15" s="202">
        <f t="shared" si="5"/>
        <v>27191</v>
      </c>
      <c r="G15" s="202">
        <f t="shared" si="5"/>
        <v>27529</v>
      </c>
      <c r="H15" s="19">
        <f>IF(H$3="",0,SUM(H12:H14))</f>
        <v>27794.984622426433</v>
      </c>
      <c r="I15" s="19">
        <f t="shared" ref="I15:Q15" si="6">IF(I$3="",0,SUM(I12:I14))</f>
        <v>28063.629091077128</v>
      </c>
      <c r="J15" s="19">
        <f t="shared" si="6"/>
        <v>28334.96000441433</v>
      </c>
      <c r="K15" s="19">
        <f t="shared" si="6"/>
        <v>28609.004226884907</v>
      </c>
      <c r="L15" s="19">
        <f t="shared" si="6"/>
        <v>28885.788891580189</v>
      </c>
      <c r="M15" s="19">
        <f t="shared" si="6"/>
        <v>0</v>
      </c>
      <c r="N15" s="19">
        <f t="shared" si="6"/>
        <v>0</v>
      </c>
      <c r="O15" s="19">
        <f t="shared" si="6"/>
        <v>0</v>
      </c>
      <c r="P15" s="19">
        <f t="shared" si="6"/>
        <v>0</v>
      </c>
      <c r="Q15" s="19">
        <f t="shared" si="6"/>
        <v>0</v>
      </c>
    </row>
    <row r="16" spans="2:17" ht="12" thickBot="1">
      <c r="B16" s="53" t="str">
        <f>"Total "&amp;B4</f>
        <v>Total Assets</v>
      </c>
      <c r="C16" s="203">
        <f>SUM(C10,C15)</f>
        <v>33097</v>
      </c>
      <c r="D16" s="203">
        <f t="shared" ref="D16:H16" si="7">SUM(D10,D15)</f>
        <v>34456</v>
      </c>
      <c r="E16" s="203">
        <f t="shared" si="7"/>
        <v>36309</v>
      </c>
      <c r="F16" s="203">
        <f t="shared" si="7"/>
        <v>36821</v>
      </c>
      <c r="G16" s="203">
        <f t="shared" si="7"/>
        <v>36251</v>
      </c>
      <c r="H16" s="54">
        <f t="shared" si="7"/>
        <v>36638.382424194526</v>
      </c>
      <c r="I16" s="54">
        <f t="shared" ref="I16:Q16" si="8">SUM(I10,I15)</f>
        <v>38040.65523215443</v>
      </c>
      <c r="J16" s="54">
        <f t="shared" si="8"/>
        <v>39553.002204019685</v>
      </c>
      <c r="K16" s="54">
        <f t="shared" si="8"/>
        <v>40778.176939157165</v>
      </c>
      <c r="L16" s="54">
        <f t="shared" si="8"/>
        <v>42581.157062245562</v>
      </c>
      <c r="M16" s="54">
        <f t="shared" si="8"/>
        <v>0</v>
      </c>
      <c r="N16" s="54">
        <f t="shared" si="8"/>
        <v>0</v>
      </c>
      <c r="O16" s="54">
        <f t="shared" si="8"/>
        <v>0</v>
      </c>
      <c r="P16" s="54">
        <f t="shared" si="8"/>
        <v>0</v>
      </c>
      <c r="Q16" s="54">
        <f t="shared" si="8"/>
        <v>0</v>
      </c>
    </row>
    <row r="17" spans="2:17">
      <c r="C17" s="201"/>
      <c r="D17" s="201"/>
      <c r="E17" s="201"/>
      <c r="F17" s="201"/>
      <c r="G17" s="201"/>
      <c r="H17" s="18"/>
      <c r="I17" s="18"/>
      <c r="J17" s="18"/>
      <c r="K17" s="18"/>
      <c r="L17" s="18"/>
      <c r="M17" s="18"/>
      <c r="N17" s="18"/>
      <c r="O17" s="18"/>
      <c r="P17" s="18"/>
      <c r="Q17" s="18"/>
    </row>
    <row r="18" spans="2:17">
      <c r="C18" s="201"/>
      <c r="D18" s="201"/>
      <c r="E18" s="201"/>
      <c r="F18" s="201"/>
      <c r="G18" s="201"/>
      <c r="H18" s="18"/>
      <c r="I18" s="18"/>
      <c r="J18" s="18"/>
      <c r="K18" s="18"/>
      <c r="L18" s="18"/>
      <c r="M18" s="18"/>
      <c r="N18" s="18"/>
      <c r="O18" s="18"/>
      <c r="P18" s="18"/>
      <c r="Q18" s="18"/>
    </row>
    <row r="19" spans="2:17">
      <c r="B19" s="14" t="s">
        <v>276</v>
      </c>
      <c r="C19" s="201"/>
      <c r="D19" s="201"/>
      <c r="E19" s="201"/>
      <c r="F19" s="201"/>
      <c r="G19" s="201"/>
      <c r="H19" s="18"/>
      <c r="I19" s="18"/>
      <c r="J19" s="18"/>
      <c r="K19" s="18"/>
      <c r="L19" s="18"/>
      <c r="M19" s="18"/>
      <c r="N19" s="18"/>
      <c r="O19" s="18"/>
      <c r="P19" s="18"/>
      <c r="Q19" s="18"/>
    </row>
    <row r="20" spans="2:17">
      <c r="B20" s="16" t="s">
        <v>277</v>
      </c>
      <c r="C20" s="201"/>
      <c r="D20" s="201"/>
      <c r="E20" s="201"/>
      <c r="F20" s="201"/>
      <c r="G20" s="201"/>
      <c r="H20" s="18"/>
      <c r="I20" s="18"/>
      <c r="J20" s="18"/>
      <c r="K20" s="18"/>
      <c r="L20" s="18"/>
      <c r="M20" s="18"/>
      <c r="N20" s="18"/>
      <c r="O20" s="18"/>
      <c r="P20" s="18"/>
      <c r="Q20" s="18"/>
    </row>
    <row r="21" spans="2:17">
      <c r="B21" s="39" t="str">
        <f>Assumptions!B305</f>
        <v>Payables and Accruals</v>
      </c>
      <c r="C21" s="201">
        <f>Assumptions!D305</f>
        <v>1926</v>
      </c>
      <c r="D21" s="201">
        <f>Assumptions!E305</f>
        <v>1876</v>
      </c>
      <c r="E21" s="201">
        <f>Assumptions!F305</f>
        <v>2225</v>
      </c>
      <c r="F21" s="201">
        <f>Assumptions!G305</f>
        <v>2483</v>
      </c>
      <c r="G21" s="201">
        <f>Assumptions!H305</f>
        <v>2594</v>
      </c>
      <c r="H21" s="211">
        <f>IF(H$3="",0,+G21*(1+'Income Statement'!H$10))</f>
        <v>2450.1340185228046</v>
      </c>
      <c r="I21" s="211">
        <f>IF(I$3="",0,+H21*(1+'Income Statement'!I$10))</f>
        <v>2474.6353587080325</v>
      </c>
      <c r="J21" s="211">
        <f>IF(J$3="",0,+I21*(1+'Income Statement'!J$10))</f>
        <v>2499.3817122951127</v>
      </c>
      <c r="K21" s="211">
        <f>IF(K$3="",0,+J21*(1+'Income Statement'!K$10))</f>
        <v>2524.3755294180637</v>
      </c>
      <c r="L21" s="211">
        <f>IF(L$3="",0,+K21*(1+'Income Statement'!L$10))</f>
        <v>2549.6192847122443</v>
      </c>
      <c r="M21" s="211">
        <f>IF(M$3="",0,+L21*(1+'Income Statement'!M$10))</f>
        <v>0</v>
      </c>
      <c r="N21" s="211">
        <f>IF(N$3="",0,+M21*(1+'Income Statement'!N$10))</f>
        <v>0</v>
      </c>
      <c r="O21" s="211">
        <f>IF(O$3="",0,+N21*(1+'Income Statement'!O$10))</f>
        <v>0</v>
      </c>
      <c r="P21" s="211">
        <f>IF(P$3="",0,+O21*(1+'Income Statement'!P$10))</f>
        <v>0</v>
      </c>
      <c r="Q21" s="211">
        <f>IF(Q$3="",0,+P21*(1+'Income Statement'!Q$10))</f>
        <v>0</v>
      </c>
    </row>
    <row r="22" spans="2:17">
      <c r="B22" s="39" t="str">
        <f>Assumptions!B308</f>
        <v>Short-Term Debt</v>
      </c>
      <c r="C22" s="201">
        <f>Assumptions!D308</f>
        <v>2102</v>
      </c>
      <c r="D22" s="201">
        <f>Assumptions!E308</f>
        <v>709</v>
      </c>
      <c r="E22" s="201">
        <f>Assumptions!F308</f>
        <v>1222</v>
      </c>
      <c r="F22" s="201">
        <f>Assumptions!G308</f>
        <v>604</v>
      </c>
      <c r="G22" s="201">
        <f>Assumptions!H308</f>
        <v>2048</v>
      </c>
      <c r="H22" s="211">
        <f>IF(H$3="",0,(Assumptions!I$162*Assumptions!I$161)+'Cash Flows'!H$23)</f>
        <v>1036.056683415103</v>
      </c>
      <c r="I22" s="211">
        <f>IF(I$3="",0,(Assumptions!J$162*Assumptions!J$161)+'Cash Flows'!I$23)</f>
        <v>625.89668341510287</v>
      </c>
      <c r="J22" s="211">
        <f>IF(J$3="",0,(Assumptions!K$162*Assumptions!K$161)+'Cash Flows'!J$23)</f>
        <v>646.30468341510289</v>
      </c>
      <c r="K22" s="211">
        <f>IF(K$3="",0,(Assumptions!L$162*Assumptions!L$161)+'Cash Flows'!K$23)</f>
        <v>945.79428341510288</v>
      </c>
      <c r="L22" s="211">
        <f>IF(L$3="",0,(Assumptions!M$162*Assumptions!M$161)+'Cash Flows'!L$23)</f>
        <v>1113.3818034151029</v>
      </c>
      <c r="M22" s="211">
        <f>IF(M$3="",0,(Assumptions!N$162*Assumptions!N$161)+'Cash Flows'!M$23)</f>
        <v>0</v>
      </c>
      <c r="N22" s="211">
        <f>IF(N$3="",0,(Assumptions!O$162*Assumptions!O$161)+'Cash Flows'!N$23)</f>
        <v>0</v>
      </c>
      <c r="O22" s="211">
        <f>IF(O$3="",0,(Assumptions!P$162*Assumptions!P$161)+'Cash Flows'!O$23)</f>
        <v>0</v>
      </c>
      <c r="P22" s="211">
        <f>IF(P$3="",0,(Assumptions!Q$162*Assumptions!Q$161)+'Cash Flows'!P$23)</f>
        <v>0</v>
      </c>
      <c r="Q22" s="211">
        <f>IF(Q$3="",0,(Assumptions!R$162*Assumptions!R$161)+'Cash Flows'!Q$23)</f>
        <v>0</v>
      </c>
    </row>
    <row r="23" spans="2:17">
      <c r="B23" s="39" t="str">
        <f>Assumptions!B311</f>
        <v>Other Short-Term Liabilities</v>
      </c>
      <c r="C23" s="201">
        <f>Assumptions!D311</f>
        <v>1485</v>
      </c>
      <c r="D23" s="201">
        <f>Assumptions!E311</f>
        <v>1649</v>
      </c>
      <c r="E23" s="201">
        <f>Assumptions!F311</f>
        <v>2878</v>
      </c>
      <c r="F23" s="201">
        <f>Assumptions!G311</f>
        <v>2226</v>
      </c>
      <c r="G23" s="201">
        <f>Assumptions!H311</f>
        <v>1857</v>
      </c>
      <c r="H23" s="211">
        <f>IF(H$3="",0,G23*(1+Assumptions!I137))</f>
        <v>1875.57</v>
      </c>
      <c r="I23" s="211">
        <f>IF(I$3="",0,H23*(1+Assumptions!J137))</f>
        <v>1894.3256999999999</v>
      </c>
      <c r="J23" s="211">
        <f>IF(J$3="",0,I23*(1+Assumptions!K137))</f>
        <v>1913.2689569999998</v>
      </c>
      <c r="K23" s="211">
        <f>IF(K$3="",0,J23*(1+Assumptions!L137))</f>
        <v>1932.4016465699997</v>
      </c>
      <c r="L23" s="211">
        <f>IF(L$3="",0,K23*(1+Assumptions!M137))</f>
        <v>1951.7256630356997</v>
      </c>
      <c r="M23" s="211">
        <f>IF(M$3="",0,L23*(1+Assumptions!N137))</f>
        <v>0</v>
      </c>
      <c r="N23" s="211">
        <f>IF(N$3="",0,M23*(1+Assumptions!O137))</f>
        <v>0</v>
      </c>
      <c r="O23" s="211">
        <f>IF(O$3="",0,N23*(1+Assumptions!P137))</f>
        <v>0</v>
      </c>
      <c r="P23" s="211">
        <f>IF(P$3="",0,O23*(1+Assumptions!Q137))</f>
        <v>0</v>
      </c>
      <c r="Q23" s="211">
        <f>IF(Q$3="",0,P23*(1+Assumptions!R137))</f>
        <v>0</v>
      </c>
    </row>
    <row r="24" spans="2:17">
      <c r="B24" s="16" t="str">
        <f>"Total "&amp;B20</f>
        <v>Total Current Liabilities</v>
      </c>
      <c r="C24" s="209">
        <f>SUM(C21:C23)</f>
        <v>5513</v>
      </c>
      <c r="D24" s="209">
        <f t="shared" ref="D24:G24" si="9">SUM(D21:D23)</f>
        <v>4234</v>
      </c>
      <c r="E24" s="209">
        <f t="shared" si="9"/>
        <v>6325</v>
      </c>
      <c r="F24" s="209">
        <f t="shared" si="9"/>
        <v>5313</v>
      </c>
      <c r="G24" s="209">
        <f t="shared" si="9"/>
        <v>6499</v>
      </c>
      <c r="H24" s="210">
        <f>IF(H$3="",0,SUM(H21:H23))</f>
        <v>5361.7607019379075</v>
      </c>
      <c r="I24" s="210">
        <f t="shared" ref="I24:Q24" si="10">IF(I$3="",0,SUM(I21:I23))</f>
        <v>4994.8577421231348</v>
      </c>
      <c r="J24" s="210">
        <f t="shared" si="10"/>
        <v>5058.9553527102153</v>
      </c>
      <c r="K24" s="210">
        <f t="shared" si="10"/>
        <v>5402.571459403166</v>
      </c>
      <c r="L24" s="210">
        <f t="shared" si="10"/>
        <v>5614.7267511630471</v>
      </c>
      <c r="M24" s="210">
        <f t="shared" si="10"/>
        <v>0</v>
      </c>
      <c r="N24" s="210">
        <f t="shared" si="10"/>
        <v>0</v>
      </c>
      <c r="O24" s="210">
        <f t="shared" si="10"/>
        <v>0</v>
      </c>
      <c r="P24" s="210">
        <f t="shared" si="10"/>
        <v>0</v>
      </c>
      <c r="Q24" s="210">
        <f t="shared" si="10"/>
        <v>0</v>
      </c>
    </row>
    <row r="25" spans="2:17">
      <c r="B25" s="16" t="s">
        <v>278</v>
      </c>
      <c r="C25" s="201"/>
      <c r="D25" s="201"/>
      <c r="E25" s="201"/>
      <c r="F25" s="201"/>
      <c r="G25" s="201"/>
      <c r="H25" s="18"/>
      <c r="I25" s="18"/>
      <c r="J25" s="18"/>
      <c r="K25" s="18"/>
      <c r="L25" s="18"/>
      <c r="M25" s="18"/>
      <c r="N25" s="18"/>
      <c r="O25" s="18"/>
      <c r="P25" s="18"/>
      <c r="Q25" s="18"/>
    </row>
    <row r="26" spans="2:17">
      <c r="B26" s="39" t="str">
        <f>Assumptions!B314</f>
        <v>Long-Term Debt</v>
      </c>
      <c r="C26" s="201">
        <f>Assumptions!D314</f>
        <v>9830</v>
      </c>
      <c r="D26" s="201">
        <f>Assumptions!E314</f>
        <v>11159</v>
      </c>
      <c r="E26" s="201">
        <f>Assumptions!F314</f>
        <v>8649</v>
      </c>
      <c r="F26" s="201">
        <f>Assumptions!G314</f>
        <v>8212</v>
      </c>
      <c r="G26" s="201">
        <f>Assumptions!H314</f>
        <v>7987</v>
      </c>
      <c r="H26" s="18">
        <f>IF(H$3="",0,G26)</f>
        <v>7987</v>
      </c>
      <c r="I26" s="18">
        <f t="shared" ref="I26:Q26" si="11">IF(I$3="",0,H26)</f>
        <v>7987</v>
      </c>
      <c r="J26" s="18">
        <f t="shared" si="11"/>
        <v>7987</v>
      </c>
      <c r="K26" s="18">
        <f t="shared" si="11"/>
        <v>7987</v>
      </c>
      <c r="L26" s="18">
        <f t="shared" si="11"/>
        <v>7987</v>
      </c>
      <c r="M26" s="18">
        <f t="shared" si="11"/>
        <v>0</v>
      </c>
      <c r="N26" s="18">
        <f t="shared" si="11"/>
        <v>0</v>
      </c>
      <c r="O26" s="18">
        <f t="shared" si="11"/>
        <v>0</v>
      </c>
      <c r="P26" s="18">
        <f t="shared" si="11"/>
        <v>0</v>
      </c>
      <c r="Q26" s="18">
        <f t="shared" si="11"/>
        <v>0</v>
      </c>
    </row>
    <row r="27" spans="2:17">
      <c r="B27" s="39" t="str">
        <f>Assumptions!B317</f>
        <v>Other Long-Term Liabilities</v>
      </c>
      <c r="C27" s="201">
        <f>Assumptions!D317</f>
        <v>3528</v>
      </c>
      <c r="D27" s="201">
        <f>Assumptions!E317</f>
        <v>3677</v>
      </c>
      <c r="E27" s="201">
        <f>Assumptions!F317</f>
        <v>3481</v>
      </c>
      <c r="F27" s="201">
        <f>Assumptions!G317</f>
        <v>3485</v>
      </c>
      <c r="G27" s="201">
        <f>Assumptions!H317</f>
        <v>3510</v>
      </c>
      <c r="H27" s="18">
        <f>IF(H$3="",0,G27)</f>
        <v>3510</v>
      </c>
      <c r="I27" s="18">
        <f t="shared" ref="I27:Q27" si="12">IF(I$3="",0,H27)</f>
        <v>3510</v>
      </c>
      <c r="J27" s="18">
        <f t="shared" si="12"/>
        <v>3510</v>
      </c>
      <c r="K27" s="18">
        <f t="shared" si="12"/>
        <v>3510</v>
      </c>
      <c r="L27" s="18">
        <f t="shared" si="12"/>
        <v>3510</v>
      </c>
      <c r="M27" s="18">
        <f t="shared" si="12"/>
        <v>0</v>
      </c>
      <c r="N27" s="18">
        <f t="shared" si="12"/>
        <v>0</v>
      </c>
      <c r="O27" s="18">
        <f t="shared" si="12"/>
        <v>0</v>
      </c>
      <c r="P27" s="18">
        <f t="shared" si="12"/>
        <v>0</v>
      </c>
      <c r="Q27" s="18">
        <f t="shared" si="12"/>
        <v>0</v>
      </c>
    </row>
    <row r="28" spans="2:17">
      <c r="B28" s="16" t="str">
        <f>"Total "&amp;B25</f>
        <v>Total Non-Current Liabilities</v>
      </c>
      <c r="C28" s="202">
        <f>SUM(C26:C27)</f>
        <v>13358</v>
      </c>
      <c r="D28" s="202">
        <f t="shared" ref="D28:H28" si="13">SUM(D26:D27)</f>
        <v>14836</v>
      </c>
      <c r="E28" s="202">
        <f t="shared" si="13"/>
        <v>12130</v>
      </c>
      <c r="F28" s="202">
        <f t="shared" si="13"/>
        <v>11697</v>
      </c>
      <c r="G28" s="202">
        <f t="shared" si="13"/>
        <v>11497</v>
      </c>
      <c r="H28" s="19">
        <f t="shared" si="13"/>
        <v>11497</v>
      </c>
      <c r="I28" s="19">
        <f t="shared" ref="I28:Q28" si="14">SUM(I26:I27)</f>
        <v>11497</v>
      </c>
      <c r="J28" s="19">
        <f t="shared" si="14"/>
        <v>11497</v>
      </c>
      <c r="K28" s="19">
        <f t="shared" si="14"/>
        <v>11497</v>
      </c>
      <c r="L28" s="19">
        <f t="shared" si="14"/>
        <v>11497</v>
      </c>
      <c r="M28" s="19">
        <f t="shared" si="14"/>
        <v>0</v>
      </c>
      <c r="N28" s="19">
        <f t="shared" si="14"/>
        <v>0</v>
      </c>
      <c r="O28" s="19">
        <f t="shared" si="14"/>
        <v>0</v>
      </c>
      <c r="P28" s="19">
        <f t="shared" si="14"/>
        <v>0</v>
      </c>
      <c r="Q28" s="19">
        <f t="shared" si="14"/>
        <v>0</v>
      </c>
    </row>
    <row r="29" spans="2:17">
      <c r="B29" s="43" t="str">
        <f>"Total "&amp;B19</f>
        <v>Total Liabilities</v>
      </c>
      <c r="C29" s="204">
        <f>SUM(C24,C28)</f>
        <v>18871</v>
      </c>
      <c r="D29" s="204">
        <f t="shared" ref="D29:H29" si="15">SUM(D24,D28)</f>
        <v>19070</v>
      </c>
      <c r="E29" s="204">
        <f t="shared" si="15"/>
        <v>18455</v>
      </c>
      <c r="F29" s="204">
        <f t="shared" si="15"/>
        <v>17010</v>
      </c>
      <c r="G29" s="204">
        <f t="shared" si="15"/>
        <v>17996</v>
      </c>
      <c r="H29" s="44">
        <f t="shared" si="15"/>
        <v>16858.760701937907</v>
      </c>
      <c r="I29" s="44">
        <f t="shared" ref="I29:Q29" si="16">SUM(I24,I28)</f>
        <v>16491.857742123135</v>
      </c>
      <c r="J29" s="44">
        <f t="shared" si="16"/>
        <v>16555.955352710214</v>
      </c>
      <c r="K29" s="44">
        <f t="shared" si="16"/>
        <v>16899.571459403167</v>
      </c>
      <c r="L29" s="44">
        <f t="shared" si="16"/>
        <v>17111.726751163049</v>
      </c>
      <c r="M29" s="44">
        <f t="shared" si="16"/>
        <v>0</v>
      </c>
      <c r="N29" s="44">
        <f t="shared" si="16"/>
        <v>0</v>
      </c>
      <c r="O29" s="44">
        <f t="shared" si="16"/>
        <v>0</v>
      </c>
      <c r="P29" s="44">
        <f t="shared" si="16"/>
        <v>0</v>
      </c>
      <c r="Q29" s="44">
        <f t="shared" si="16"/>
        <v>0</v>
      </c>
    </row>
    <row r="30" spans="2:17">
      <c r="C30" s="201"/>
      <c r="D30" s="201"/>
      <c r="E30" s="201"/>
      <c r="F30" s="201"/>
      <c r="G30" s="201"/>
      <c r="H30" s="18"/>
      <c r="I30" s="18"/>
      <c r="J30" s="18"/>
      <c r="K30" s="18"/>
      <c r="L30" s="18"/>
      <c r="M30" s="18"/>
      <c r="N30" s="18"/>
      <c r="O30" s="18"/>
      <c r="P30" s="18"/>
      <c r="Q30" s="18"/>
    </row>
    <row r="31" spans="2:17">
      <c r="C31" s="201"/>
      <c r="D31" s="201"/>
      <c r="E31" s="201"/>
      <c r="F31" s="201"/>
      <c r="G31" s="201"/>
      <c r="H31" s="18"/>
      <c r="I31" s="18"/>
      <c r="J31" s="18"/>
      <c r="K31" s="18"/>
      <c r="L31" s="18"/>
      <c r="M31" s="18"/>
      <c r="N31" s="18"/>
      <c r="O31" s="18"/>
      <c r="P31" s="18"/>
      <c r="Q31" s="18"/>
    </row>
    <row r="32" spans="2:17">
      <c r="B32" s="14" t="s">
        <v>279</v>
      </c>
      <c r="C32" s="201"/>
      <c r="D32" s="201"/>
      <c r="E32" s="201"/>
      <c r="F32" s="201"/>
      <c r="G32" s="201"/>
      <c r="H32" s="18"/>
      <c r="I32" s="18"/>
      <c r="J32" s="18"/>
      <c r="K32" s="18"/>
      <c r="L32" s="18"/>
      <c r="M32" s="18"/>
      <c r="N32" s="18"/>
      <c r="O32" s="18"/>
      <c r="P32" s="18"/>
      <c r="Q32" s="18"/>
    </row>
    <row r="33" spans="2:17">
      <c r="B33" s="35" t="str">
        <f>Assumptions!B326</f>
        <v>Retained Earnings</v>
      </c>
      <c r="C33" s="201">
        <f>Assumptions!D326</f>
        <v>13787</v>
      </c>
      <c r="D33" s="201">
        <f>Assumptions!E326</f>
        <v>15100</v>
      </c>
      <c r="E33" s="201">
        <f>Assumptions!F326</f>
        <v>17502</v>
      </c>
      <c r="F33" s="201">
        <f>Assumptions!G326</f>
        <v>20084</v>
      </c>
      <c r="G33" s="201">
        <f>Assumptions!H326</f>
        <v>18760</v>
      </c>
      <c r="H33" s="211">
        <f>IF(H$3="",0,G33+H56+H57)</f>
        <v>21138.668935108366</v>
      </c>
      <c r="I33" s="211">
        <f t="shared" ref="I33:Q33" si="17">IF(I$3="",0,H33+I56+I57)</f>
        <v>23557.124608177404</v>
      </c>
      <c r="J33" s="211">
        <f t="shared" si="17"/>
        <v>26001.866273802891</v>
      </c>
      <c r="K33" s="211">
        <f t="shared" si="17"/>
        <v>28464.239649638203</v>
      </c>
      <c r="L33" s="211">
        <f t="shared" si="17"/>
        <v>30948.734399831406</v>
      </c>
      <c r="M33" s="211">
        <f t="shared" si="17"/>
        <v>0</v>
      </c>
      <c r="N33" s="211">
        <f t="shared" si="17"/>
        <v>0</v>
      </c>
      <c r="O33" s="211">
        <f t="shared" si="17"/>
        <v>0</v>
      </c>
      <c r="P33" s="211">
        <f t="shared" si="17"/>
        <v>0</v>
      </c>
      <c r="Q33" s="211">
        <f t="shared" si="17"/>
        <v>0</v>
      </c>
    </row>
    <row r="34" spans="2:17">
      <c r="B34" s="35" t="str">
        <f>Assumptions!B320</f>
        <v>Preferred and Hybrid Capital</v>
      </c>
      <c r="C34" s="201">
        <f>Assumptions!D320</f>
        <v>0</v>
      </c>
      <c r="D34" s="201">
        <f>Assumptions!E320</f>
        <v>0</v>
      </c>
      <c r="E34" s="201">
        <f>Assumptions!F320</f>
        <v>0</v>
      </c>
      <c r="F34" s="201">
        <f>Assumptions!G320</f>
        <v>0</v>
      </c>
      <c r="G34" s="201">
        <f>Assumptions!H320</f>
        <v>0</v>
      </c>
      <c r="H34" s="18">
        <f>IF(H$3="",0,G34)</f>
        <v>0</v>
      </c>
      <c r="I34" s="18">
        <f t="shared" ref="I34:Q34" si="18">IF(I$3="",0,H34)</f>
        <v>0</v>
      </c>
      <c r="J34" s="18">
        <f t="shared" si="18"/>
        <v>0</v>
      </c>
      <c r="K34" s="18">
        <f t="shared" si="18"/>
        <v>0</v>
      </c>
      <c r="L34" s="18">
        <f t="shared" si="18"/>
        <v>0</v>
      </c>
      <c r="M34" s="18">
        <f t="shared" si="18"/>
        <v>0</v>
      </c>
      <c r="N34" s="18">
        <f t="shared" si="18"/>
        <v>0</v>
      </c>
      <c r="O34" s="18">
        <f t="shared" si="18"/>
        <v>0</v>
      </c>
      <c r="P34" s="18">
        <f t="shared" si="18"/>
        <v>0</v>
      </c>
      <c r="Q34" s="18">
        <f t="shared" si="18"/>
        <v>0</v>
      </c>
    </row>
    <row r="35" spans="2:17">
      <c r="B35" s="35" t="str">
        <f>Assumptions!B323</f>
        <v>Share Capital and Additional Paid in Capital</v>
      </c>
      <c r="C35" s="201">
        <f>Assumptions!D323</f>
        <v>4423</v>
      </c>
      <c r="D35" s="201">
        <f>Assumptions!E323</f>
        <v>4478</v>
      </c>
      <c r="E35" s="201">
        <f>Assumptions!F323</f>
        <v>4531</v>
      </c>
      <c r="F35" s="201">
        <f>Assumptions!G323</f>
        <v>4598</v>
      </c>
      <c r="G35" s="201">
        <f>Assumptions!H323</f>
        <v>4605</v>
      </c>
      <c r="H35" s="18">
        <f>IF(H$3="",0,G35)</f>
        <v>4605</v>
      </c>
      <c r="I35" s="18">
        <f t="shared" ref="I35:Q35" si="19">IF(I$3="",0,H35)</f>
        <v>4605</v>
      </c>
      <c r="J35" s="18">
        <f t="shared" si="19"/>
        <v>4605</v>
      </c>
      <c r="K35" s="18">
        <f t="shared" si="19"/>
        <v>4605</v>
      </c>
      <c r="L35" s="18">
        <f t="shared" si="19"/>
        <v>4605</v>
      </c>
      <c r="M35" s="18">
        <f t="shared" si="19"/>
        <v>0</v>
      </c>
      <c r="N35" s="18">
        <f t="shared" si="19"/>
        <v>0</v>
      </c>
      <c r="O35" s="18">
        <f t="shared" si="19"/>
        <v>0</v>
      </c>
      <c r="P35" s="18">
        <f t="shared" si="19"/>
        <v>0</v>
      </c>
      <c r="Q35" s="18">
        <f t="shared" si="19"/>
        <v>0</v>
      </c>
    </row>
    <row r="36" spans="2:17">
      <c r="B36" s="35" t="str">
        <f>Assumptions!B329</f>
        <v>Other Equity</v>
      </c>
      <c r="C36" s="201">
        <f>Assumptions!D329</f>
        <v>-117</v>
      </c>
      <c r="D36" s="201">
        <f>Assumptions!E329</f>
        <v>-179</v>
      </c>
      <c r="E36" s="201">
        <f>Assumptions!F329</f>
        <v>-172</v>
      </c>
      <c r="F36" s="201">
        <f>Assumptions!G329</f>
        <v>-297</v>
      </c>
      <c r="G36" s="201">
        <f>Assumptions!H329</f>
        <v>-260</v>
      </c>
      <c r="H36" s="18">
        <f>IF(H$3="",0,G36)</f>
        <v>-260</v>
      </c>
      <c r="I36" s="18">
        <f t="shared" ref="I36:Q36" si="20">IF(I$3="",0,H36)</f>
        <v>-260</v>
      </c>
      <c r="J36" s="18">
        <f t="shared" si="20"/>
        <v>-260</v>
      </c>
      <c r="K36" s="18">
        <f t="shared" si="20"/>
        <v>-260</v>
      </c>
      <c r="L36" s="18">
        <f t="shared" si="20"/>
        <v>-260</v>
      </c>
      <c r="M36" s="18">
        <f t="shared" si="20"/>
        <v>0</v>
      </c>
      <c r="N36" s="18">
        <f t="shared" si="20"/>
        <v>0</v>
      </c>
      <c r="O36" s="18">
        <f t="shared" si="20"/>
        <v>0</v>
      </c>
      <c r="P36" s="18">
        <f t="shared" si="20"/>
        <v>0</v>
      </c>
      <c r="Q36" s="18">
        <f t="shared" si="20"/>
        <v>0</v>
      </c>
    </row>
    <row r="37" spans="2:17">
      <c r="B37" s="35" t="str">
        <f>Assumptions!B332</f>
        <v>Minority and Non-Controlling Interest</v>
      </c>
      <c r="C37" s="201">
        <f>Assumptions!D332</f>
        <v>144</v>
      </c>
      <c r="D37" s="201">
        <f>Assumptions!E332</f>
        <v>132</v>
      </c>
      <c r="E37" s="201">
        <f>Assumptions!F332</f>
        <v>131</v>
      </c>
      <c r="F37" s="201">
        <f>Assumptions!G332</f>
        <v>109</v>
      </c>
      <c r="G37" s="201">
        <f>Assumptions!H332</f>
        <v>122</v>
      </c>
      <c r="H37" s="18">
        <f>IF(H$3="",0,G37)</f>
        <v>122</v>
      </c>
      <c r="I37" s="18">
        <f t="shared" ref="I37:Q37" si="21">IF(I$3="",0,H37)</f>
        <v>122</v>
      </c>
      <c r="J37" s="18">
        <f t="shared" si="21"/>
        <v>122</v>
      </c>
      <c r="K37" s="18">
        <f t="shared" si="21"/>
        <v>122</v>
      </c>
      <c r="L37" s="18">
        <f t="shared" si="21"/>
        <v>122</v>
      </c>
      <c r="M37" s="18">
        <f t="shared" si="21"/>
        <v>0</v>
      </c>
      <c r="N37" s="18">
        <f t="shared" si="21"/>
        <v>0</v>
      </c>
      <c r="O37" s="18">
        <f t="shared" si="21"/>
        <v>0</v>
      </c>
      <c r="P37" s="18">
        <f t="shared" si="21"/>
        <v>0</v>
      </c>
      <c r="Q37" s="18">
        <f t="shared" si="21"/>
        <v>0</v>
      </c>
    </row>
    <row r="38" spans="2:17">
      <c r="B38" s="35" t="str">
        <f>Assumptions!B335</f>
        <v>Treasury Stock</v>
      </c>
      <c r="C38" s="201">
        <f>Assumptions!D335</f>
        <v>4011</v>
      </c>
      <c r="D38" s="201">
        <f>Assumptions!E335</f>
        <v>4145</v>
      </c>
      <c r="E38" s="201">
        <f>Assumptions!F335</f>
        <v>4138</v>
      </c>
      <c r="F38" s="201">
        <f>Assumptions!G335</f>
        <v>4683</v>
      </c>
      <c r="G38" s="201">
        <f>Assumptions!H335</f>
        <v>4972</v>
      </c>
      <c r="H38" s="18">
        <f>IF(H$3="",0,G38)</f>
        <v>4972</v>
      </c>
      <c r="I38" s="18">
        <f t="shared" ref="I38:Q38" si="22">IF(I$3="",0,H38)</f>
        <v>4972</v>
      </c>
      <c r="J38" s="18">
        <f t="shared" si="22"/>
        <v>4972</v>
      </c>
      <c r="K38" s="18">
        <f t="shared" si="22"/>
        <v>4972</v>
      </c>
      <c r="L38" s="18">
        <f t="shared" si="22"/>
        <v>4972</v>
      </c>
      <c r="M38" s="18">
        <f t="shared" si="22"/>
        <v>0</v>
      </c>
      <c r="N38" s="18">
        <f t="shared" si="22"/>
        <v>0</v>
      </c>
      <c r="O38" s="18">
        <f t="shared" si="22"/>
        <v>0</v>
      </c>
      <c r="P38" s="18">
        <f t="shared" si="22"/>
        <v>0</v>
      </c>
      <c r="Q38" s="18">
        <f t="shared" si="22"/>
        <v>0</v>
      </c>
    </row>
    <row r="39" spans="2:17">
      <c r="B39" s="36" t="s">
        <v>280</v>
      </c>
      <c r="C39" s="205"/>
      <c r="D39" s="205"/>
      <c r="E39" s="205"/>
      <c r="F39" s="205"/>
      <c r="G39" s="205"/>
      <c r="H39" s="72"/>
      <c r="I39" s="72"/>
      <c r="J39" s="72"/>
      <c r="K39" s="72"/>
      <c r="L39" s="72"/>
      <c r="M39" s="72"/>
      <c r="N39" s="72"/>
      <c r="O39" s="72"/>
      <c r="P39" s="72"/>
      <c r="Q39" s="72"/>
    </row>
    <row r="40" spans="2:17">
      <c r="B40" s="43" t="str">
        <f>"Total "&amp;B32</f>
        <v>Total Equity</v>
      </c>
      <c r="C40" s="204">
        <f>SUM(C33:C37)-C38+C39</f>
        <v>14226</v>
      </c>
      <c r="D40" s="204">
        <f t="shared" ref="D40:H40" si="23">SUM(D33:D37)-D38+D39</f>
        <v>15386</v>
      </c>
      <c r="E40" s="204">
        <f t="shared" si="23"/>
        <v>17854</v>
      </c>
      <c r="F40" s="204">
        <f t="shared" si="23"/>
        <v>19811</v>
      </c>
      <c r="G40" s="204">
        <f t="shared" si="23"/>
        <v>18255</v>
      </c>
      <c r="H40" s="204">
        <f t="shared" si="23"/>
        <v>20633.668935108366</v>
      </c>
      <c r="I40" s="204">
        <f t="shared" ref="I40" si="24">SUM(I33:I37)-I38+I39</f>
        <v>23052.124608177404</v>
      </c>
      <c r="J40" s="204">
        <f t="shared" ref="J40" si="25">SUM(J33:J37)-J38+J39</f>
        <v>25496.866273802891</v>
      </c>
      <c r="K40" s="204">
        <f t="shared" ref="K40" si="26">SUM(K33:K37)-K38+K39</f>
        <v>27959.239649638199</v>
      </c>
      <c r="L40" s="204">
        <f t="shared" ref="L40" si="27">SUM(L33:L37)-L38+L39</f>
        <v>30443.734399831403</v>
      </c>
      <c r="M40" s="204">
        <f t="shared" ref="M40" si="28">SUM(M33:M37)-M38+M39</f>
        <v>0</v>
      </c>
      <c r="N40" s="204">
        <f t="shared" ref="N40" si="29">SUM(N33:N37)-N38+N39</f>
        <v>0</v>
      </c>
      <c r="O40" s="204">
        <f t="shared" ref="O40" si="30">SUM(O33:O37)-O38+O39</f>
        <v>0</v>
      </c>
      <c r="P40" s="204">
        <f t="shared" ref="P40" si="31">SUM(P33:P37)-P38+P39</f>
        <v>0</v>
      </c>
      <c r="Q40" s="204">
        <f t="shared" ref="Q40" si="32">SUM(Q33:Q37)-Q38+Q39</f>
        <v>0</v>
      </c>
    </row>
    <row r="41" spans="2:17">
      <c r="C41" s="206"/>
      <c r="D41" s="206"/>
      <c r="E41" s="206"/>
      <c r="F41" s="206"/>
      <c r="G41" s="206"/>
    </row>
    <row r="42" spans="2:17" ht="12" thickBot="1">
      <c r="B42" s="53" t="str">
        <f>"Total "&amp;B19&amp;" and "&amp;B32</f>
        <v>Total Liabilities and Equity</v>
      </c>
      <c r="C42" s="207">
        <f t="shared" ref="C42:H42" si="33">C29+C40</f>
        <v>33097</v>
      </c>
      <c r="D42" s="207">
        <f t="shared" si="33"/>
        <v>34456</v>
      </c>
      <c r="E42" s="207">
        <f t="shared" si="33"/>
        <v>36309</v>
      </c>
      <c r="F42" s="207">
        <f t="shared" si="33"/>
        <v>36821</v>
      </c>
      <c r="G42" s="207">
        <f t="shared" si="33"/>
        <v>36251</v>
      </c>
      <c r="H42" s="55">
        <f t="shared" si="33"/>
        <v>37492.429637046269</v>
      </c>
      <c r="I42" s="55">
        <f t="shared" ref="I42:Q42" si="34">I29+I40</f>
        <v>39543.982350300539</v>
      </c>
      <c r="J42" s="55">
        <f t="shared" si="34"/>
        <v>42052.821626513105</v>
      </c>
      <c r="K42" s="55">
        <f t="shared" si="34"/>
        <v>44858.811109041366</v>
      </c>
      <c r="L42" s="55">
        <f t="shared" si="34"/>
        <v>47555.461150994452</v>
      </c>
      <c r="M42" s="55">
        <f t="shared" si="34"/>
        <v>0</v>
      </c>
      <c r="N42" s="55">
        <f t="shared" si="34"/>
        <v>0</v>
      </c>
      <c r="O42" s="55">
        <f t="shared" si="34"/>
        <v>0</v>
      </c>
      <c r="P42" s="55">
        <f t="shared" si="34"/>
        <v>0</v>
      </c>
      <c r="Q42" s="55">
        <f t="shared" si="34"/>
        <v>0</v>
      </c>
    </row>
    <row r="43" spans="2:17">
      <c r="B43" s="56" t="s">
        <v>281</v>
      </c>
      <c r="C43" s="208">
        <f t="shared" ref="C43:H43" si="35">C16-C42</f>
        <v>0</v>
      </c>
      <c r="D43" s="208">
        <f t="shared" si="35"/>
        <v>0</v>
      </c>
      <c r="E43" s="208">
        <f t="shared" si="35"/>
        <v>0</v>
      </c>
      <c r="F43" s="208">
        <f t="shared" si="35"/>
        <v>0</v>
      </c>
      <c r="G43" s="208">
        <f t="shared" si="35"/>
        <v>0</v>
      </c>
      <c r="H43" s="57">
        <f t="shared" si="35"/>
        <v>-854.0472128517431</v>
      </c>
      <c r="I43" s="57">
        <f t="shared" ref="I43:Q43" si="36">I16-I42</f>
        <v>-1503.3271181461096</v>
      </c>
      <c r="J43" s="57">
        <f t="shared" si="36"/>
        <v>-2499.8194224934196</v>
      </c>
      <c r="K43" s="57">
        <f t="shared" si="36"/>
        <v>-4080.6341698842007</v>
      </c>
      <c r="L43" s="57">
        <f t="shared" si="36"/>
        <v>-4974.3040887488896</v>
      </c>
      <c r="M43" s="57">
        <f t="shared" si="36"/>
        <v>0</v>
      </c>
      <c r="N43" s="57">
        <f t="shared" si="36"/>
        <v>0</v>
      </c>
      <c r="O43" s="57">
        <f t="shared" si="36"/>
        <v>0</v>
      </c>
      <c r="P43" s="57">
        <f t="shared" si="36"/>
        <v>0</v>
      </c>
      <c r="Q43" s="57">
        <f t="shared" si="36"/>
        <v>0</v>
      </c>
    </row>
    <row r="46" spans="2:17">
      <c r="B46" s="42" t="s">
        <v>282</v>
      </c>
      <c r="C46" s="42"/>
      <c r="D46" s="42"/>
      <c r="E46" s="42"/>
      <c r="F46" s="42"/>
      <c r="G46" s="42"/>
      <c r="H46" s="42"/>
      <c r="I46" s="42"/>
      <c r="J46" s="42"/>
      <c r="K46" s="42"/>
      <c r="L46" s="42"/>
      <c r="M46" s="42"/>
      <c r="N46" s="42"/>
      <c r="O46" s="42"/>
      <c r="P46" s="42"/>
      <c r="Q46" s="42"/>
    </row>
    <row r="47" spans="2:17">
      <c r="B47" s="1" t="s">
        <v>283</v>
      </c>
      <c r="C47" s="71">
        <f t="shared" ref="C47:Q47" si="37">C10-C24</f>
        <v>1656</v>
      </c>
      <c r="D47" s="71">
        <f t="shared" si="37"/>
        <v>3364</v>
      </c>
      <c r="E47" s="71">
        <f t="shared" si="37"/>
        <v>3497</v>
      </c>
      <c r="F47" s="71">
        <f t="shared" si="37"/>
        <v>4317</v>
      </c>
      <c r="G47" s="71">
        <f t="shared" si="37"/>
        <v>2223</v>
      </c>
      <c r="H47" s="71">
        <f t="shared" si="37"/>
        <v>3481.6370998301891</v>
      </c>
      <c r="I47" s="71">
        <f t="shared" si="37"/>
        <v>4982.1683989541652</v>
      </c>
      <c r="J47" s="71">
        <f t="shared" si="37"/>
        <v>6159.0868468951403</v>
      </c>
      <c r="K47" s="71">
        <f t="shared" si="37"/>
        <v>6766.6012528690926</v>
      </c>
      <c r="L47" s="71">
        <f t="shared" si="37"/>
        <v>8080.6414195023226</v>
      </c>
      <c r="M47" s="71">
        <f t="shared" si="37"/>
        <v>0</v>
      </c>
      <c r="N47" s="71">
        <f t="shared" si="37"/>
        <v>0</v>
      </c>
      <c r="O47" s="71">
        <f t="shared" si="37"/>
        <v>0</v>
      </c>
      <c r="P47" s="71">
        <f t="shared" si="37"/>
        <v>0</v>
      </c>
      <c r="Q47" s="71">
        <f t="shared" si="37"/>
        <v>0</v>
      </c>
    </row>
    <row r="48" spans="2:17">
      <c r="B48" s="1" t="s">
        <v>211</v>
      </c>
      <c r="C48" s="71">
        <f t="shared" ref="C48:Q48" si="38">+C22+C26-C6</f>
        <v>11448</v>
      </c>
      <c r="D48" s="71">
        <f t="shared" si="38"/>
        <v>10448</v>
      </c>
      <c r="E48" s="71">
        <f t="shared" si="38"/>
        <v>7364</v>
      </c>
      <c r="F48" s="71">
        <f t="shared" si="38"/>
        <v>7785</v>
      </c>
      <c r="G48" s="71">
        <f t="shared" si="38"/>
        <v>9462</v>
      </c>
      <c r="H48" s="71">
        <f t="shared" si="38"/>
        <v>8061.3723707331692</v>
      </c>
      <c r="I48" s="71">
        <f t="shared" si="38"/>
        <v>6596.4011663148258</v>
      </c>
      <c r="J48" s="71">
        <f t="shared" si="38"/>
        <v>5455.398414026542</v>
      </c>
      <c r="K48" s="71">
        <f t="shared" si="38"/>
        <v>4884.158860661807</v>
      </c>
      <c r="L48" s="71">
        <f t="shared" si="38"/>
        <v>3606.7562951638847</v>
      </c>
      <c r="M48" s="71">
        <f t="shared" si="38"/>
        <v>0</v>
      </c>
      <c r="N48" s="71">
        <f t="shared" si="38"/>
        <v>0</v>
      </c>
      <c r="O48" s="71">
        <f t="shared" si="38"/>
        <v>0</v>
      </c>
      <c r="P48" s="71">
        <f t="shared" si="38"/>
        <v>0</v>
      </c>
      <c r="Q48" s="71">
        <f t="shared" si="38"/>
        <v>0</v>
      </c>
    </row>
    <row r="51" spans="2:17">
      <c r="B51" s="42" t="s">
        <v>271</v>
      </c>
      <c r="C51" s="42"/>
      <c r="D51" s="42"/>
      <c r="E51" s="42"/>
      <c r="F51" s="42"/>
      <c r="G51" s="42"/>
      <c r="H51" s="42"/>
      <c r="I51" s="42"/>
      <c r="J51" s="42"/>
      <c r="K51" s="42"/>
      <c r="L51" s="42"/>
      <c r="M51" s="42"/>
      <c r="N51" s="42"/>
      <c r="O51" s="42"/>
      <c r="P51" s="42"/>
      <c r="Q51" s="42"/>
    </row>
    <row r="52" spans="2:17">
      <c r="B52" s="1" t="str">
        <f>'Income Statement'!B4</f>
        <v>Revenue</v>
      </c>
      <c r="C52" s="18">
        <f>'Income Statement'!C4</f>
        <v>42405</v>
      </c>
      <c r="D52" s="18">
        <f>'Income Statement'!D4</f>
        <v>43185</v>
      </c>
      <c r="E52" s="18">
        <f>'Income Statement'!E4</f>
        <v>47049</v>
      </c>
      <c r="F52" s="18">
        <f>'Income Statement'!F4</f>
        <v>53282</v>
      </c>
      <c r="G52" s="18">
        <f>'Income Statement'!G4</f>
        <v>52881</v>
      </c>
      <c r="H52" s="18">
        <f>'Income Statement'!H4</f>
        <v>53409.81</v>
      </c>
      <c r="I52" s="18">
        <f>'Income Statement'!I4</f>
        <v>53943.908100000001</v>
      </c>
      <c r="J52" s="18">
        <f>'Income Statement'!J4</f>
        <v>54483.347181000005</v>
      </c>
      <c r="K52" s="18">
        <f>'Income Statement'!K4</f>
        <v>55028.180652810006</v>
      </c>
      <c r="L52" s="18">
        <f>'Income Statement'!L4</f>
        <v>55578.462459338109</v>
      </c>
      <c r="M52" s="18">
        <f>'Income Statement'!M4</f>
        <v>0</v>
      </c>
      <c r="N52" s="18">
        <f>'Income Statement'!N4</f>
        <v>0</v>
      </c>
      <c r="O52" s="18">
        <f>'Income Statement'!O4</f>
        <v>0</v>
      </c>
      <c r="P52" s="18">
        <f>'Income Statement'!P4</f>
        <v>0</v>
      </c>
      <c r="Q52" s="18">
        <f>'Income Statement'!Q4</f>
        <v>0</v>
      </c>
    </row>
    <row r="53" spans="2:17">
      <c r="B53" s="1" t="str">
        <f>'Income Statement'!B8</f>
        <v>Cost of Revenue ~ Cost of Goods Sold</v>
      </c>
      <c r="C53" s="18">
        <f>'Income Statement'!C8</f>
        <v>37383</v>
      </c>
      <c r="D53" s="18">
        <f>'Income Statement'!D8</f>
        <v>37801</v>
      </c>
      <c r="E53" s="18">
        <f>'Income Statement'!E8</f>
        <v>40523</v>
      </c>
      <c r="F53" s="18">
        <f>'Income Statement'!F8</f>
        <v>46614</v>
      </c>
      <c r="G53" s="18">
        <f>'Income Statement'!G8</f>
        <v>50250</v>
      </c>
      <c r="H53" s="18">
        <f>'Income Statement'!H8</f>
        <v>47463.081893126808</v>
      </c>
      <c r="I53" s="18">
        <f>'Income Statement'!I8</f>
        <v>47937.712712058077</v>
      </c>
      <c r="J53" s="18">
        <f>'Income Statement'!J8</f>
        <v>48417.089839178661</v>
      </c>
      <c r="K53" s="18">
        <f>'Income Statement'!K8</f>
        <v>48901.260737570447</v>
      </c>
      <c r="L53" s="18">
        <f>'Income Statement'!L8</f>
        <v>49390.273344946152</v>
      </c>
      <c r="M53" s="18">
        <f>'Income Statement'!M8</f>
        <v>0</v>
      </c>
      <c r="N53" s="18">
        <f>'Income Statement'!N8</f>
        <v>0</v>
      </c>
      <c r="O53" s="18">
        <f>'Income Statement'!O8</f>
        <v>0</v>
      </c>
      <c r="P53" s="18">
        <f>'Income Statement'!P8</f>
        <v>0</v>
      </c>
      <c r="Q53" s="18">
        <f>'Income Statement'!Q8</f>
        <v>0</v>
      </c>
    </row>
    <row r="54" spans="2:17">
      <c r="B54" s="1" t="str">
        <f>'Income Statement'!B44</f>
        <v>Capital Expenditures</v>
      </c>
      <c r="C54" s="18">
        <f>'Income Statement'!C44</f>
        <v>1259</v>
      </c>
      <c r="D54" s="18">
        <f>'Income Statement'!D44</f>
        <v>1199</v>
      </c>
      <c r="E54" s="18">
        <f>'Income Statement'!E44</f>
        <v>1209</v>
      </c>
      <c r="F54" s="18">
        <f>'Income Statement'!F44</f>
        <v>1887</v>
      </c>
      <c r="G54" s="18">
        <f>'Income Statement'!G44</f>
        <v>1939</v>
      </c>
      <c r="H54" s="18">
        <f>'Income Statement'!H44</f>
        <v>1658.1967508447033</v>
      </c>
      <c r="I54" s="18">
        <f>'Income Statement'!I44</f>
        <v>1674.7787183531502</v>
      </c>
      <c r="J54" s="18">
        <f>'Income Statement'!J44</f>
        <v>1691.526505536682</v>
      </c>
      <c r="K54" s="18">
        <f>'Income Statement'!K44</f>
        <v>1708.4417705920489</v>
      </c>
      <c r="L54" s="18">
        <f>'Income Statement'!L44</f>
        <v>1725.5261882979694</v>
      </c>
      <c r="M54" s="18">
        <f>'Income Statement'!M44</f>
        <v>0</v>
      </c>
      <c r="N54" s="18">
        <f>'Income Statement'!N44</f>
        <v>0</v>
      </c>
      <c r="O54" s="18">
        <f>'Income Statement'!O44</f>
        <v>0</v>
      </c>
      <c r="P54" s="18">
        <f>'Income Statement'!P44</f>
        <v>0</v>
      </c>
      <c r="Q54" s="18">
        <f>'Income Statement'!Q44</f>
        <v>0</v>
      </c>
    </row>
    <row r="55" spans="2:17">
      <c r="B55" s="1" t="str">
        <f>'Income Statement'!B47</f>
        <v>Depreciation and Amortization</v>
      </c>
      <c r="C55" s="18">
        <f>'Income Statement'!C47</f>
        <v>1098</v>
      </c>
      <c r="D55" s="18">
        <f>'Income Statement'!D47</f>
        <v>1192</v>
      </c>
      <c r="E55" s="18">
        <f>'Income Statement'!E47</f>
        <v>1214</v>
      </c>
      <c r="F55" s="18">
        <f>'Income Statement'!F47</f>
        <v>1202</v>
      </c>
      <c r="G55" s="18">
        <f>'Income Statement'!G47</f>
        <v>1339</v>
      </c>
      <c r="H55" s="18">
        <f>'Income Statement'!H47</f>
        <v>1392.2121284182713</v>
      </c>
      <c r="I55" s="18">
        <f>'Income Statement'!I47</f>
        <v>1406.1342497024541</v>
      </c>
      <c r="J55" s="18">
        <f>'Income Statement'!J47</f>
        <v>1420.1955921994788</v>
      </c>
      <c r="K55" s="18">
        <f>'Income Statement'!K47</f>
        <v>1434.3975481214736</v>
      </c>
      <c r="L55" s="18">
        <f>'Income Statement'!L47</f>
        <v>1448.7415236026884</v>
      </c>
      <c r="M55" s="18">
        <f>'Income Statement'!M47</f>
        <v>0</v>
      </c>
      <c r="N55" s="18">
        <f>'Income Statement'!N47</f>
        <v>0</v>
      </c>
      <c r="O55" s="18">
        <f>'Income Statement'!O47</f>
        <v>0</v>
      </c>
      <c r="P55" s="18">
        <f>'Income Statement'!P47</f>
        <v>0</v>
      </c>
      <c r="Q55" s="18">
        <f>'Income Statement'!Q47</f>
        <v>0</v>
      </c>
    </row>
    <row r="56" spans="2:17">
      <c r="B56" s="1" t="str">
        <f>'Income Statement'!B37</f>
        <v>Net Income (Loss), GAAP</v>
      </c>
      <c r="C56" s="18">
        <f>'Income Statement'!C37</f>
        <v>2022</v>
      </c>
      <c r="D56" s="18">
        <f>'Income Statement'!D37</f>
        <v>2061</v>
      </c>
      <c r="E56" s="18">
        <f>'Income Statement'!E37</f>
        <v>3047</v>
      </c>
      <c r="F56" s="18">
        <f>'Income Statement'!F37</f>
        <v>3238</v>
      </c>
      <c r="G56" s="18">
        <f>'Income Statement'!G37</f>
        <v>-648</v>
      </c>
      <c r="H56" s="18">
        <f>'Income Statement'!H37</f>
        <v>2347.5088670365153</v>
      </c>
      <c r="I56" s="18">
        <f>'Income Statement'!I37</f>
        <v>2386.7744070091408</v>
      </c>
      <c r="J56" s="18">
        <f>'Income Statement'!J37</f>
        <v>2412.7160585329598</v>
      </c>
      <c r="K56" s="18">
        <f>'Income Statement'!K37</f>
        <v>2430.1167970080232</v>
      </c>
      <c r="L56" s="18">
        <f>'Income Statement'!L37</f>
        <v>2451.9483859650727</v>
      </c>
      <c r="M56" s="18">
        <f>'Income Statement'!M37</f>
        <v>0</v>
      </c>
      <c r="N56" s="18">
        <f>'Income Statement'!N37</f>
        <v>0</v>
      </c>
      <c r="O56" s="18">
        <f>'Income Statement'!O37</f>
        <v>0</v>
      </c>
      <c r="P56" s="18">
        <f>'Income Statement'!P37</f>
        <v>0</v>
      </c>
      <c r="Q56" s="18">
        <f>'Income Statement'!Q37</f>
        <v>0</v>
      </c>
    </row>
    <row r="57" spans="2:17">
      <c r="B57" s="1" t="str">
        <f>'Cash Flows'!B22</f>
        <v>Dividends Paid</v>
      </c>
      <c r="C57" s="18">
        <f>'Cash Flows'!C22</f>
        <v>-537</v>
      </c>
      <c r="D57" s="18">
        <f>'Cash Flows'!D22</f>
        <v>-601</v>
      </c>
      <c r="E57" s="18">
        <f>'Cash Flows'!E22</f>
        <v>-636</v>
      </c>
      <c r="F57" s="18">
        <f>'Cash Flows'!F22</f>
        <v>-653</v>
      </c>
      <c r="G57" s="18">
        <f>'Cash Flows'!G22</f>
        <v>-670</v>
      </c>
      <c r="H57" s="18">
        <f>'Cash Flows'!H22</f>
        <v>31.160068071850997</v>
      </c>
      <c r="I57" s="18">
        <f>'Cash Flows'!I22</f>
        <v>31.681266059899308</v>
      </c>
      <c r="J57" s="18">
        <f>'Cash Flows'!J22</f>
        <v>32.025607092527181</v>
      </c>
      <c r="K57" s="18">
        <f>'Cash Flows'!K22</f>
        <v>32.256578827286987</v>
      </c>
      <c r="L57" s="18">
        <f>'Cash Flows'!L22</f>
        <v>32.546364228130692</v>
      </c>
      <c r="M57" s="18">
        <f>'Cash Flows'!M22</f>
        <v>0</v>
      </c>
      <c r="N57" s="18">
        <f>'Cash Flows'!N22</f>
        <v>0</v>
      </c>
      <c r="O57" s="18">
        <f>'Cash Flows'!O22</f>
        <v>0</v>
      </c>
      <c r="P57" s="18">
        <f>'Cash Flows'!P22</f>
        <v>0</v>
      </c>
      <c r="Q57" s="18">
        <f>'Cash Flows'!Q22</f>
        <v>0</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D23F-EC20-475D-A354-A9149E66C24C}">
  <sheetPr>
    <tabColor theme="7" tint="0.79998168889431442"/>
  </sheetPr>
  <dimension ref="A2:Q57"/>
  <sheetViews>
    <sheetView zoomScaleNormal="100" workbookViewId="0">
      <selection activeCell="H8" sqref="H8"/>
    </sheetView>
  </sheetViews>
  <sheetFormatPr baseColWidth="10" defaultColWidth="0" defaultRowHeight="11" outlineLevelCol="1"/>
  <cols>
    <col min="1" max="1" width="2.1640625" style="1" customWidth="1"/>
    <col min="2" max="2" width="36" style="1" bestFit="1" customWidth="1"/>
    <col min="3" max="7" width="8.6640625" style="1" customWidth="1" outlineLevel="1"/>
    <col min="8" max="17" width="8.6640625" style="1" customWidth="1"/>
    <col min="18" max="16384" width="8.6640625" style="1" hidden="1"/>
  </cols>
  <sheetData>
    <row r="2" spans="2:17">
      <c r="B2" s="42" t="s">
        <v>272</v>
      </c>
      <c r="C2" s="42"/>
      <c r="D2" s="42"/>
      <c r="E2" s="42"/>
      <c r="F2" s="42"/>
      <c r="G2" s="42"/>
      <c r="H2" s="42"/>
      <c r="I2" s="42"/>
      <c r="J2" s="42"/>
      <c r="K2" s="42"/>
      <c r="L2" s="42"/>
      <c r="M2" s="42"/>
      <c r="N2" s="42"/>
      <c r="O2" s="42"/>
      <c r="P2" s="42"/>
      <c r="Q2" s="42"/>
    </row>
    <row r="3" spans="2:17">
      <c r="B3" s="22" t="str">
        <f>Assumptions!$B$132</f>
        <v>Year Ending 09/31/2024, In USD Millions</v>
      </c>
      <c r="C3" s="22" cm="1">
        <f t="array" ref="C3:L3">_xlfn.SEQUENCE(1,5+Assumptions!$C$20,(YEAR('Valuation Summary'!$C$4)-5))</f>
        <v>2019</v>
      </c>
      <c r="D3" s="22">
        <v>2020</v>
      </c>
      <c r="E3" s="22">
        <v>2021</v>
      </c>
      <c r="F3" s="22">
        <v>2022</v>
      </c>
      <c r="G3" s="22">
        <v>2023</v>
      </c>
      <c r="H3" s="23">
        <v>2024</v>
      </c>
      <c r="I3" s="23">
        <v>2025</v>
      </c>
      <c r="J3" s="23">
        <v>2026</v>
      </c>
      <c r="K3" s="23">
        <v>2027</v>
      </c>
      <c r="L3" s="23">
        <v>2028</v>
      </c>
      <c r="M3" s="23"/>
      <c r="N3" s="23"/>
      <c r="O3" s="23"/>
      <c r="P3" s="23"/>
      <c r="Q3" s="23"/>
    </row>
    <row r="4" spans="2:17">
      <c r="B4" s="14" t="s">
        <v>273</v>
      </c>
      <c r="C4" s="201"/>
      <c r="D4" s="201"/>
      <c r="E4" s="201"/>
      <c r="F4" s="201"/>
      <c r="G4" s="201"/>
      <c r="H4" s="18"/>
      <c r="I4" s="18"/>
      <c r="J4" s="18"/>
      <c r="K4" s="18"/>
      <c r="L4" s="18"/>
      <c r="M4" s="18"/>
      <c r="N4" s="18"/>
      <c r="O4" s="18"/>
      <c r="P4" s="18"/>
      <c r="Q4" s="18"/>
    </row>
    <row r="5" spans="2:17">
      <c r="B5" s="16" t="s">
        <v>274</v>
      </c>
      <c r="C5" s="201"/>
      <c r="D5" s="201"/>
      <c r="E5" s="201"/>
      <c r="F5" s="201"/>
      <c r="G5" s="201"/>
      <c r="H5" s="18"/>
      <c r="I5" s="18"/>
      <c r="J5" s="18"/>
      <c r="K5" s="18"/>
      <c r="L5" s="18"/>
      <c r="M5" s="18"/>
      <c r="N5" s="18"/>
      <c r="O5" s="18"/>
      <c r="P5" s="18"/>
      <c r="Q5" s="18"/>
    </row>
    <row r="6" spans="2:17">
      <c r="B6" s="39" t="str">
        <f>Assumptions!B279</f>
        <v>Cash, Cash Equivalents, and Short-Term Investments</v>
      </c>
      <c r="C6" s="201">
        <f>+Assumptions!D280+'CF Bear'!C36</f>
        <v>317</v>
      </c>
      <c r="D6" s="201">
        <f>+Assumptions!E280+'CF Bear'!D36</f>
        <v>148</v>
      </c>
      <c r="E6" s="201">
        <f>+Assumptions!F280+'CF Bear'!E36</f>
        <v>2228</v>
      </c>
      <c r="F6" s="201">
        <f>+Assumptions!G280+'CF Bear'!F36</f>
        <v>160</v>
      </c>
      <c r="G6" s="201">
        <f>+Assumptions!H280+'CF Bear'!G36</f>
        <v>-14</v>
      </c>
      <c r="H6" s="211">
        <f>IF(H$3="",0,'CF Bear'!H36+'IS Bear'!H4*Assumptions!I$281)</f>
        <v>914.1358446365025</v>
      </c>
      <c r="I6" s="211">
        <f>IF(I$3="",0,'CF Bear'!I36+'IS Bear'!I4*Assumptions!J$281)</f>
        <v>1873.8501129639749</v>
      </c>
      <c r="J6" s="211">
        <f>IF(J$3="",0,'CF Bear'!J36+'IS Bear'!J4*Assumptions!K$281)</f>
        <v>2892.6107062691422</v>
      </c>
      <c r="K6" s="211">
        <f>IF(K$3="",0,'CF Bear'!K36+'IS Bear'!K4*Assumptions!L$281)</f>
        <v>3573.1269680649111</v>
      </c>
      <c r="L6" s="211">
        <f>IF(L$3="",0,'CF Bear'!L36+'IS Bear'!L4*Assumptions!M$281)</f>
        <v>4780.3271643921198</v>
      </c>
      <c r="M6" s="211">
        <f>IF(M$3="",0,'CF Bear'!M36+'IS Bear'!M4*Assumptions!N$281)</f>
        <v>0</v>
      </c>
      <c r="N6" s="211">
        <f>IF(N$3="",0,'CF Bear'!N36+'IS Bear'!N4*Assumptions!O$281)</f>
        <v>0</v>
      </c>
      <c r="O6" s="211">
        <f>IF(O$3="",0,'CF Bear'!O36+'IS Bear'!O4*Assumptions!P$281)</f>
        <v>0</v>
      </c>
      <c r="P6" s="211">
        <f>IF(P$3="",0,'CF Bear'!P36+'IS Bear'!P4*Assumptions!Q$281)</f>
        <v>0</v>
      </c>
      <c r="Q6" s="211">
        <f>IF(Q$3="",0,'CF Bear'!Q36+'IS Bear'!Q4*Assumptions!R$281)</f>
        <v>0</v>
      </c>
    </row>
    <row r="7" spans="2:17">
      <c r="B7" s="39" t="str">
        <f>Assumptions!B284</f>
        <v>Accounts and Notes Receivable</v>
      </c>
      <c r="C7" s="201">
        <f>Assumptions!D284</f>
        <v>2173</v>
      </c>
      <c r="D7" s="201">
        <f>Assumptions!E284</f>
        <v>1952</v>
      </c>
      <c r="E7" s="201">
        <f>Assumptions!F284</f>
        <v>2400</v>
      </c>
      <c r="F7" s="201">
        <f>Assumptions!G284</f>
        <v>2577</v>
      </c>
      <c r="G7" s="201">
        <f>Assumptions!H284</f>
        <v>2476</v>
      </c>
      <c r="H7" s="211">
        <f>IF(H$3="",0,G7*(1+Assumptions!I$138))</f>
        <v>2451.2399999999998</v>
      </c>
      <c r="I7" s="211">
        <f>IF(I$3="",0,H7*(1+Assumptions!J$138))</f>
        <v>2426.7275999999997</v>
      </c>
      <c r="J7" s="211">
        <f>IF(J$3="",0,I7*(1+Assumptions!K$138))</f>
        <v>2402.4603239999997</v>
      </c>
      <c r="K7" s="211">
        <f>IF(K$3="",0,J7*(1+Assumptions!L$138))</f>
        <v>2378.4357207599996</v>
      </c>
      <c r="L7" s="211">
        <f>IF(L$3="",0,K7*(1+Assumptions!M$138))</f>
        <v>2354.6513635523997</v>
      </c>
      <c r="M7" s="211">
        <f>IF(M$3="",0,L7*(1+Assumptions!N$138))</f>
        <v>0</v>
      </c>
      <c r="N7" s="211">
        <f>IF(N$3="",0,M7*(1+Assumptions!O$138))</f>
        <v>0</v>
      </c>
      <c r="O7" s="211">
        <f>IF(O$3="",0,N7*(1+Assumptions!P$138))</f>
        <v>0</v>
      </c>
      <c r="P7" s="211">
        <f>IF(P$3="",0,O7*(1+Assumptions!Q$138))</f>
        <v>0</v>
      </c>
      <c r="Q7" s="211">
        <f>IF(Q$3="",0,P7*(1+Assumptions!R$138))</f>
        <v>0</v>
      </c>
    </row>
    <row r="8" spans="2:17">
      <c r="B8" s="39" t="str">
        <f>Assumptions!B290</f>
        <v>Inventory</v>
      </c>
      <c r="C8" s="201">
        <f>Assumptions!D290</f>
        <v>4108</v>
      </c>
      <c r="D8" s="201">
        <f>Assumptions!E290</f>
        <v>3859</v>
      </c>
      <c r="E8" s="201">
        <f>Assumptions!F290</f>
        <v>4382</v>
      </c>
      <c r="F8" s="201">
        <f>Assumptions!G290</f>
        <v>5514</v>
      </c>
      <c r="G8" s="201">
        <f>Assumptions!H290</f>
        <v>5328</v>
      </c>
      <c r="H8" s="211">
        <f>IF(H$3="",0,+G8*(1+'IS Bear'!H$10))</f>
        <v>4932.8499546488119</v>
      </c>
      <c r="I8" s="211">
        <f>IF(I$3="",0,+H8*(1+'IS Bear'!I$10))</f>
        <v>4883.5214551023237</v>
      </c>
      <c r="J8" s="211">
        <f>IF(J$3="",0,+I8*(1+'IS Bear'!J$10))</f>
        <v>4834.6862405513011</v>
      </c>
      <c r="K8" s="211">
        <f>IF(K$3="",0,+J8*(1+'IS Bear'!K$10))</f>
        <v>4786.339378145788</v>
      </c>
      <c r="L8" s="211">
        <f>IF(L$3="",0,+K8*(1+'IS Bear'!L$10))</f>
        <v>4738.4759843643296</v>
      </c>
      <c r="M8" s="211">
        <f>IF(M$3="",0,+L8*(1+'IS Bear'!M$10))</f>
        <v>0</v>
      </c>
      <c r="N8" s="211">
        <f>IF(N$3="",0,+M8*(1+'IS Bear'!N$10))</f>
        <v>0</v>
      </c>
      <c r="O8" s="211">
        <f>IF(O$3="",0,+N8*(1+'IS Bear'!O$10))</f>
        <v>0</v>
      </c>
      <c r="P8" s="211">
        <f>IF(P$3="",0,+O8*(1+'IS Bear'!P$10))</f>
        <v>0</v>
      </c>
      <c r="Q8" s="211">
        <f>IF(Q$3="",0,+P8*(1+'IS Bear'!Q$10))</f>
        <v>0</v>
      </c>
    </row>
    <row r="9" spans="2:17">
      <c r="B9" s="39" t="str">
        <f>Assumptions!B293</f>
        <v>Other Short-Term Assets</v>
      </c>
      <c r="C9" s="201">
        <f>Assumptions!D293</f>
        <v>404</v>
      </c>
      <c r="D9" s="201">
        <f>Assumptions!E293</f>
        <v>367</v>
      </c>
      <c r="E9" s="201">
        <f>Assumptions!F293</f>
        <v>533</v>
      </c>
      <c r="F9" s="201">
        <f>Assumptions!G293</f>
        <v>508</v>
      </c>
      <c r="G9" s="201">
        <f>Assumptions!H293</f>
        <v>345</v>
      </c>
      <c r="H9" s="211">
        <f>IF(H$3="",0,G9*(1+Assumptions!I$138))</f>
        <v>341.55</v>
      </c>
      <c r="I9" s="211">
        <f>IF(I$3="",0,H9*(1+Assumptions!J$138))</f>
        <v>338.1345</v>
      </c>
      <c r="J9" s="211">
        <f>IF(J$3="",0,I9*(1+Assumptions!K$138))</f>
        <v>334.75315499999999</v>
      </c>
      <c r="K9" s="211">
        <f>IF(K$3="",0,J9*(1+Assumptions!L$138))</f>
        <v>331.40562345000001</v>
      </c>
      <c r="L9" s="211">
        <f>IF(L$3="",0,K9*(1+Assumptions!M$138))</f>
        <v>328.09156721549999</v>
      </c>
      <c r="M9" s="211">
        <f>IF(M$3="",0,L9*(1+Assumptions!N$138))</f>
        <v>0</v>
      </c>
      <c r="N9" s="211">
        <f>IF(N$3="",0,M9*(1+Assumptions!O$138))</f>
        <v>0</v>
      </c>
      <c r="O9" s="211">
        <f>IF(O$3="",0,N9*(1+Assumptions!P$138))</f>
        <v>0</v>
      </c>
      <c r="P9" s="211">
        <f>IF(P$3="",0,O9*(1+Assumptions!Q$138))</f>
        <v>0</v>
      </c>
      <c r="Q9" s="211">
        <f>IF(Q$3="",0,P9*(1+Assumptions!R$138))</f>
        <v>0</v>
      </c>
    </row>
    <row r="10" spans="2:17">
      <c r="B10" s="16" t="str">
        <f>"Total "&amp;B5</f>
        <v>Total Current Assets</v>
      </c>
      <c r="C10" s="209">
        <f>SUM(C6:C9)</f>
        <v>7002</v>
      </c>
      <c r="D10" s="209">
        <f t="shared" ref="D10:G10" si="0">SUM(D6:D9)</f>
        <v>6326</v>
      </c>
      <c r="E10" s="209">
        <f t="shared" si="0"/>
        <v>9543</v>
      </c>
      <c r="F10" s="209">
        <f t="shared" si="0"/>
        <v>8759</v>
      </c>
      <c r="G10" s="209">
        <f t="shared" si="0"/>
        <v>8135</v>
      </c>
      <c r="H10" s="210">
        <f t="shared" ref="H10:Q10" si="1">SUM(H6:H9)</f>
        <v>8639.775799285313</v>
      </c>
      <c r="I10" s="210">
        <f t="shared" si="1"/>
        <v>9522.2336680662993</v>
      </c>
      <c r="J10" s="210">
        <f t="shared" si="1"/>
        <v>10464.510425820443</v>
      </c>
      <c r="K10" s="210">
        <f t="shared" si="1"/>
        <v>11069.307690420699</v>
      </c>
      <c r="L10" s="210">
        <f t="shared" si="1"/>
        <v>12201.546079524351</v>
      </c>
      <c r="M10" s="210">
        <f t="shared" si="1"/>
        <v>0</v>
      </c>
      <c r="N10" s="210">
        <f t="shared" si="1"/>
        <v>0</v>
      </c>
      <c r="O10" s="210">
        <f t="shared" si="1"/>
        <v>0</v>
      </c>
      <c r="P10" s="210">
        <f t="shared" si="1"/>
        <v>0</v>
      </c>
      <c r="Q10" s="210">
        <f t="shared" si="1"/>
        <v>0</v>
      </c>
    </row>
    <row r="11" spans="2:17">
      <c r="B11" s="16" t="s">
        <v>275</v>
      </c>
      <c r="C11" s="201"/>
      <c r="D11" s="201"/>
      <c r="E11" s="201"/>
      <c r="F11" s="201"/>
      <c r="G11" s="201"/>
      <c r="H11" s="18"/>
      <c r="I11" s="18"/>
      <c r="J11" s="18"/>
      <c r="K11" s="18"/>
      <c r="L11" s="18"/>
      <c r="M11" s="18"/>
      <c r="N11" s="18"/>
      <c r="O11" s="18"/>
      <c r="P11" s="18"/>
      <c r="Q11" s="18"/>
    </row>
    <row r="12" spans="2:17">
      <c r="B12" s="39" t="str">
        <f>Assumptions!B296</f>
        <v>Property, Plant, and Equipment</v>
      </c>
      <c r="C12" s="201">
        <f>Assumptions!D296</f>
        <v>7282</v>
      </c>
      <c r="D12" s="201">
        <f>Assumptions!E296</f>
        <v>8128</v>
      </c>
      <c r="E12" s="201">
        <f>Assumptions!F296</f>
        <v>8368</v>
      </c>
      <c r="F12" s="201">
        <f>Assumptions!G296</f>
        <v>9192</v>
      </c>
      <c r="G12" s="201">
        <f>Assumptions!H296</f>
        <v>10178</v>
      </c>
      <c r="H12" s="211">
        <f>IF(H$3="",0,G12+H54-H55)</f>
        <v>10438.717600200165</v>
      </c>
      <c r="I12" s="211">
        <f t="shared" ref="I12:Q12" si="2">IF(I$3="",0,H12+I54-I55)</f>
        <v>10696.82802439833</v>
      </c>
      <c r="J12" s="211">
        <f t="shared" si="2"/>
        <v>10952.357344354514</v>
      </c>
      <c r="K12" s="211">
        <f t="shared" si="2"/>
        <v>11205.331371111135</v>
      </c>
      <c r="L12" s="211">
        <f t="shared" si="2"/>
        <v>11455.775657600188</v>
      </c>
      <c r="M12" s="211">
        <f t="shared" si="2"/>
        <v>0</v>
      </c>
      <c r="N12" s="211">
        <f t="shared" si="2"/>
        <v>0</v>
      </c>
      <c r="O12" s="211">
        <f t="shared" si="2"/>
        <v>0</v>
      </c>
      <c r="P12" s="211">
        <f t="shared" si="2"/>
        <v>0</v>
      </c>
      <c r="Q12" s="211">
        <f t="shared" si="2"/>
        <v>0</v>
      </c>
    </row>
    <row r="13" spans="2:17">
      <c r="B13" s="39" t="str">
        <f>Assumptions!B299</f>
        <v>Long-Term Investments and Receivables</v>
      </c>
      <c r="C13" s="201">
        <f>Assumptions!D299</f>
        <v>0</v>
      </c>
      <c r="D13" s="201">
        <f>Assumptions!E299</f>
        <v>0</v>
      </c>
      <c r="E13" s="201">
        <f>Assumptions!F299</f>
        <v>0</v>
      </c>
      <c r="F13" s="201">
        <f>Assumptions!G299</f>
        <v>0</v>
      </c>
      <c r="G13" s="201">
        <f>Assumptions!H299</f>
        <v>0</v>
      </c>
      <c r="H13" s="18">
        <f>IF(H$3="",0,G13)</f>
        <v>0</v>
      </c>
      <c r="I13" s="18">
        <f t="shared" ref="I13:Q13" si="3">IF(I$3="",0,H13)</f>
        <v>0</v>
      </c>
      <c r="J13" s="18">
        <f t="shared" si="3"/>
        <v>0</v>
      </c>
      <c r="K13" s="18">
        <f t="shared" si="3"/>
        <v>0</v>
      </c>
      <c r="L13" s="18">
        <f t="shared" si="3"/>
        <v>0</v>
      </c>
      <c r="M13" s="18">
        <f t="shared" si="3"/>
        <v>0</v>
      </c>
      <c r="N13" s="18">
        <f t="shared" si="3"/>
        <v>0</v>
      </c>
      <c r="O13" s="18">
        <f t="shared" si="3"/>
        <v>0</v>
      </c>
      <c r="P13" s="18">
        <f t="shared" si="3"/>
        <v>0</v>
      </c>
      <c r="Q13" s="18">
        <f t="shared" si="3"/>
        <v>0</v>
      </c>
    </row>
    <row r="14" spans="2:17">
      <c r="B14" s="39" t="str">
        <f>Assumptions!B302</f>
        <v>Other Long-Term Assets</v>
      </c>
      <c r="C14" s="201">
        <f>Assumptions!D302</f>
        <v>18646</v>
      </c>
      <c r="D14" s="201">
        <f>Assumptions!E302</f>
        <v>18730</v>
      </c>
      <c r="E14" s="201">
        <f>Assumptions!F302</f>
        <v>18119</v>
      </c>
      <c r="F14" s="201">
        <f>Assumptions!G302</f>
        <v>17999</v>
      </c>
      <c r="G14" s="201">
        <f>Assumptions!H302</f>
        <v>17351</v>
      </c>
      <c r="H14" s="18">
        <f>IF(H$3="",0,G14)</f>
        <v>17351</v>
      </c>
      <c r="I14" s="18">
        <f t="shared" ref="I14:Q14" si="4">IF(I$3="",0,H14)</f>
        <v>17351</v>
      </c>
      <c r="J14" s="18">
        <f t="shared" si="4"/>
        <v>17351</v>
      </c>
      <c r="K14" s="18">
        <f t="shared" si="4"/>
        <v>17351</v>
      </c>
      <c r="L14" s="18">
        <f t="shared" si="4"/>
        <v>17351</v>
      </c>
      <c r="M14" s="18">
        <f t="shared" si="4"/>
        <v>0</v>
      </c>
      <c r="N14" s="18">
        <f t="shared" si="4"/>
        <v>0</v>
      </c>
      <c r="O14" s="18">
        <f t="shared" si="4"/>
        <v>0</v>
      </c>
      <c r="P14" s="18">
        <f t="shared" si="4"/>
        <v>0</v>
      </c>
      <c r="Q14" s="18">
        <f t="shared" si="4"/>
        <v>0</v>
      </c>
    </row>
    <row r="15" spans="2:17">
      <c r="B15" s="16" t="str">
        <f>"Total "&amp;B11</f>
        <v>Total Non-Current Assets</v>
      </c>
      <c r="C15" s="202">
        <f>SUM(C12:C14)</f>
        <v>25928</v>
      </c>
      <c r="D15" s="202">
        <f t="shared" ref="D15:G15" si="5">SUM(D12:D14)</f>
        <v>26858</v>
      </c>
      <c r="E15" s="202">
        <f t="shared" si="5"/>
        <v>26487</v>
      </c>
      <c r="F15" s="202">
        <f t="shared" si="5"/>
        <v>27191</v>
      </c>
      <c r="G15" s="202">
        <f t="shared" si="5"/>
        <v>27529</v>
      </c>
      <c r="H15" s="19">
        <f t="shared" ref="H15:Q15" si="6">SUM(H12:H14)</f>
        <v>27789.717600200165</v>
      </c>
      <c r="I15" s="19">
        <f t="shared" si="6"/>
        <v>28047.828024398332</v>
      </c>
      <c r="J15" s="19">
        <f t="shared" si="6"/>
        <v>28303.357344354514</v>
      </c>
      <c r="K15" s="19">
        <f t="shared" si="6"/>
        <v>28556.331371111133</v>
      </c>
      <c r="L15" s="19">
        <f t="shared" si="6"/>
        <v>28806.775657600188</v>
      </c>
      <c r="M15" s="19">
        <f t="shared" si="6"/>
        <v>0</v>
      </c>
      <c r="N15" s="19">
        <f t="shared" si="6"/>
        <v>0</v>
      </c>
      <c r="O15" s="19">
        <f t="shared" si="6"/>
        <v>0</v>
      </c>
      <c r="P15" s="19">
        <f t="shared" si="6"/>
        <v>0</v>
      </c>
      <c r="Q15" s="19">
        <f t="shared" si="6"/>
        <v>0</v>
      </c>
    </row>
    <row r="16" spans="2:17" ht="12" thickBot="1">
      <c r="B16" s="53" t="str">
        <f>"Total "&amp;B4</f>
        <v>Total Assets</v>
      </c>
      <c r="C16" s="203">
        <f>SUM(C10,C15)</f>
        <v>32930</v>
      </c>
      <c r="D16" s="203">
        <f t="shared" ref="D16:G16" si="7">SUM(D10,D15)</f>
        <v>33184</v>
      </c>
      <c r="E16" s="203">
        <f t="shared" si="7"/>
        <v>36030</v>
      </c>
      <c r="F16" s="203">
        <f t="shared" si="7"/>
        <v>35950</v>
      </c>
      <c r="G16" s="203">
        <f t="shared" si="7"/>
        <v>35664</v>
      </c>
      <c r="H16" s="54">
        <f t="shared" ref="H16:Q16" si="8">SUM(H10,H15)</f>
        <v>36429.49339948548</v>
      </c>
      <c r="I16" s="54">
        <f t="shared" si="8"/>
        <v>37570.061692464631</v>
      </c>
      <c r="J16" s="54">
        <f t="shared" si="8"/>
        <v>38767.867770174955</v>
      </c>
      <c r="K16" s="54">
        <f t="shared" si="8"/>
        <v>39625.639061531831</v>
      </c>
      <c r="L16" s="54">
        <f t="shared" si="8"/>
        <v>41008.321737124541</v>
      </c>
      <c r="M16" s="54">
        <f t="shared" si="8"/>
        <v>0</v>
      </c>
      <c r="N16" s="54">
        <f t="shared" si="8"/>
        <v>0</v>
      </c>
      <c r="O16" s="54">
        <f t="shared" si="8"/>
        <v>0</v>
      </c>
      <c r="P16" s="54">
        <f t="shared" si="8"/>
        <v>0</v>
      </c>
      <c r="Q16" s="54">
        <f t="shared" si="8"/>
        <v>0</v>
      </c>
    </row>
    <row r="17" spans="2:17">
      <c r="C17" s="201"/>
      <c r="D17" s="201"/>
      <c r="E17" s="201"/>
      <c r="F17" s="201"/>
      <c r="G17" s="201"/>
      <c r="H17" s="18"/>
      <c r="I17" s="18"/>
      <c r="J17" s="18"/>
      <c r="K17" s="18"/>
      <c r="L17" s="18"/>
      <c r="M17" s="18"/>
      <c r="N17" s="18"/>
      <c r="O17" s="18"/>
      <c r="P17" s="18"/>
      <c r="Q17" s="18"/>
    </row>
    <row r="18" spans="2:17">
      <c r="C18" s="201"/>
      <c r="D18" s="201"/>
      <c r="E18" s="201"/>
      <c r="F18" s="201"/>
      <c r="G18" s="201"/>
      <c r="H18" s="18"/>
      <c r="I18" s="18"/>
      <c r="J18" s="18"/>
      <c r="K18" s="18"/>
      <c r="L18" s="18"/>
      <c r="M18" s="18"/>
      <c r="N18" s="18"/>
      <c r="O18" s="18"/>
      <c r="P18" s="18"/>
      <c r="Q18" s="18"/>
    </row>
    <row r="19" spans="2:17">
      <c r="B19" s="14" t="s">
        <v>276</v>
      </c>
      <c r="C19" s="201"/>
      <c r="D19" s="201"/>
      <c r="E19" s="201"/>
      <c r="F19" s="201"/>
      <c r="G19" s="201"/>
      <c r="H19" s="18"/>
      <c r="I19" s="18"/>
      <c r="J19" s="18"/>
      <c r="K19" s="18"/>
      <c r="L19" s="18"/>
      <c r="M19" s="18"/>
      <c r="N19" s="18"/>
      <c r="O19" s="18"/>
      <c r="P19" s="18"/>
      <c r="Q19" s="18"/>
    </row>
    <row r="20" spans="2:17">
      <c r="B20" s="16" t="s">
        <v>277</v>
      </c>
      <c r="C20" s="201"/>
      <c r="D20" s="201"/>
      <c r="E20" s="201"/>
      <c r="F20" s="201"/>
      <c r="G20" s="201"/>
      <c r="H20" s="18"/>
      <c r="I20" s="18"/>
      <c r="J20" s="18"/>
      <c r="K20" s="18"/>
      <c r="L20" s="18"/>
      <c r="M20" s="18"/>
      <c r="N20" s="18"/>
      <c r="O20" s="18"/>
      <c r="P20" s="18"/>
      <c r="Q20" s="18"/>
    </row>
    <row r="21" spans="2:17">
      <c r="B21" s="39" t="str">
        <f>Assumptions!B305</f>
        <v>Payables and Accruals</v>
      </c>
      <c r="C21" s="201">
        <f>Assumptions!D305</f>
        <v>1926</v>
      </c>
      <c r="D21" s="201">
        <f>Assumptions!E305</f>
        <v>1876</v>
      </c>
      <c r="E21" s="201">
        <f>Assumptions!F305</f>
        <v>2225</v>
      </c>
      <c r="F21" s="201">
        <f>Assumptions!G305</f>
        <v>2483</v>
      </c>
      <c r="G21" s="201">
        <f>Assumptions!H305</f>
        <v>2594</v>
      </c>
      <c r="H21" s="211">
        <f>IF(H$3="",0,+G21*(1+'IS Bear'!H$10))</f>
        <v>2401.6165132055216</v>
      </c>
      <c r="I21" s="211">
        <f>IF(I$3="",0,+H21*(1+'IS Bear'!I$10))</f>
        <v>2377.6003480734662</v>
      </c>
      <c r="J21" s="211">
        <f>IF(J$3="",0,+I21*(1+'IS Bear'!J$10))</f>
        <v>2353.8243445927319</v>
      </c>
      <c r="K21" s="211">
        <f>IF(K$3="",0,+J21*(1+'IS Bear'!K$10))</f>
        <v>2330.2861011468044</v>
      </c>
      <c r="L21" s="211">
        <f>IF(L$3="",0,+K21*(1+'IS Bear'!L$10))</f>
        <v>2306.983240135336</v>
      </c>
      <c r="M21" s="211">
        <f>IF(M$3="",0,+L21*(1+'IS Bear'!M$10))</f>
        <v>0</v>
      </c>
      <c r="N21" s="211">
        <f>IF(N$3="",0,+M21*(1+'IS Bear'!N$10))</f>
        <v>0</v>
      </c>
      <c r="O21" s="211">
        <f>IF(O$3="",0,+N21*(1+'IS Bear'!O$10))</f>
        <v>0</v>
      </c>
      <c r="P21" s="211">
        <f>IF(P$3="",0,+O21*(1+'IS Bear'!P$10))</f>
        <v>0</v>
      </c>
      <c r="Q21" s="211">
        <f>IF(Q$3="",0,+P21*(1+'IS Bear'!Q$10))</f>
        <v>0</v>
      </c>
    </row>
    <row r="22" spans="2:17">
      <c r="B22" s="39" t="str">
        <f>Assumptions!B308</f>
        <v>Short-Term Debt</v>
      </c>
      <c r="C22" s="201">
        <f>Assumptions!D308</f>
        <v>2102</v>
      </c>
      <c r="D22" s="201">
        <f>Assumptions!E308</f>
        <v>709</v>
      </c>
      <c r="E22" s="201">
        <f>Assumptions!F308</f>
        <v>1222</v>
      </c>
      <c r="F22" s="201">
        <f>Assumptions!G308</f>
        <v>604</v>
      </c>
      <c r="G22" s="201">
        <f>Assumptions!H308</f>
        <v>2048</v>
      </c>
      <c r="H22" s="211">
        <f>IF(H$3="",0,(Assumptions!I$162*Assumptions!I$161)+'CF Bear'!H$23)</f>
        <v>1036.056683415103</v>
      </c>
      <c r="I22" s="211">
        <f>IF(I$3="",0,(Assumptions!J$162*Assumptions!J$161)+'CF Bear'!I$23)</f>
        <v>625.89668341510287</v>
      </c>
      <c r="J22" s="211">
        <f>IF(J$3="",0,(Assumptions!K$162*Assumptions!K$161)+'CF Bear'!J$23)</f>
        <v>646.30468341510289</v>
      </c>
      <c r="K22" s="211">
        <f>IF(K$3="",0,(Assumptions!L$162*Assumptions!L$161)+'CF Bear'!K$23)</f>
        <v>945.79428341510288</v>
      </c>
      <c r="L22" s="211">
        <f>IF(L$3="",0,(Assumptions!M$162*Assumptions!M$161)+'CF Bear'!L$23)</f>
        <v>1113.3818034151029</v>
      </c>
      <c r="M22" s="211">
        <f>IF(M$3="",0,(Assumptions!N$162*Assumptions!N$161)+'CF Bear'!M$23)</f>
        <v>0</v>
      </c>
      <c r="N22" s="211">
        <f>IF(N$3="",0,(Assumptions!O$162*Assumptions!O$161)+'CF Bear'!N$23)</f>
        <v>0</v>
      </c>
      <c r="O22" s="211">
        <f>IF(O$3="",0,(Assumptions!P$162*Assumptions!P$161)+'CF Bear'!O$23)</f>
        <v>0</v>
      </c>
      <c r="P22" s="211">
        <f>IF(P$3="",0,(Assumptions!Q$162*Assumptions!Q$161)+'CF Bear'!P$23)</f>
        <v>0</v>
      </c>
      <c r="Q22" s="211">
        <f>IF(Q$3="",0,(Assumptions!R$162*Assumptions!R$161)+'CF Bear'!Q$23)</f>
        <v>0</v>
      </c>
    </row>
    <row r="23" spans="2:17">
      <c r="B23" s="39" t="str">
        <f>Assumptions!B311</f>
        <v>Other Short-Term Liabilities</v>
      </c>
      <c r="C23" s="201">
        <f>Assumptions!D311</f>
        <v>1485</v>
      </c>
      <c r="D23" s="201">
        <f>Assumptions!E311</f>
        <v>1649</v>
      </c>
      <c r="E23" s="201">
        <f>Assumptions!F311</f>
        <v>2878</v>
      </c>
      <c r="F23" s="201">
        <f>Assumptions!G311</f>
        <v>2226</v>
      </c>
      <c r="G23" s="201">
        <f>Assumptions!H311</f>
        <v>1857</v>
      </c>
      <c r="H23" s="211">
        <f>IF(H$3="",0,G23*(1+Assumptions!I138))</f>
        <v>1838.43</v>
      </c>
      <c r="I23" s="211">
        <f>IF(I$3="",0,H23*(1+Assumptions!J138))</f>
        <v>1820.0457000000001</v>
      </c>
      <c r="J23" s="211">
        <f>IF(J$3="",0,I23*(1+Assumptions!K138))</f>
        <v>1801.8452430000002</v>
      </c>
      <c r="K23" s="211">
        <f>IF(K$3="",0,J23*(1+Assumptions!L138))</f>
        <v>1783.8267905700002</v>
      </c>
      <c r="L23" s="211">
        <f>IF(L$3="",0,K23*(1+Assumptions!M138))</f>
        <v>1765.9885226643003</v>
      </c>
      <c r="M23" s="211">
        <f>IF(M$3="",0,L23*(1+Assumptions!N138))</f>
        <v>0</v>
      </c>
      <c r="N23" s="211">
        <f>IF(N$3="",0,M23*(1+Assumptions!O138))</f>
        <v>0</v>
      </c>
      <c r="O23" s="211">
        <f>IF(O$3="",0,N23*(1+Assumptions!P138))</f>
        <v>0</v>
      </c>
      <c r="P23" s="211">
        <f>IF(P$3="",0,O23*(1+Assumptions!Q138))</f>
        <v>0</v>
      </c>
      <c r="Q23" s="211">
        <f>IF(Q$3="",0,P23*(1+Assumptions!R138))</f>
        <v>0</v>
      </c>
    </row>
    <row r="24" spans="2:17">
      <c r="B24" s="16" t="str">
        <f>"Total "&amp;B20</f>
        <v>Total Current Liabilities</v>
      </c>
      <c r="C24" s="209">
        <f>SUM(C21:C23)</f>
        <v>5513</v>
      </c>
      <c r="D24" s="209">
        <f t="shared" ref="D24:G24" si="9">SUM(D21:D23)</f>
        <v>4234</v>
      </c>
      <c r="E24" s="209">
        <f t="shared" si="9"/>
        <v>6325</v>
      </c>
      <c r="F24" s="209">
        <f t="shared" si="9"/>
        <v>5313</v>
      </c>
      <c r="G24" s="209">
        <f t="shared" si="9"/>
        <v>6499</v>
      </c>
      <c r="H24" s="210">
        <f t="shared" ref="H24:Q24" si="10">SUM(H21:H23)</f>
        <v>5276.1031966206247</v>
      </c>
      <c r="I24" s="210">
        <f t="shared" si="10"/>
        <v>4823.5427314885692</v>
      </c>
      <c r="J24" s="210">
        <f t="shared" si="10"/>
        <v>4801.9742710078353</v>
      </c>
      <c r="K24" s="210">
        <f t="shared" si="10"/>
        <v>5059.9071751319079</v>
      </c>
      <c r="L24" s="210">
        <f t="shared" si="10"/>
        <v>5186.3535662147387</v>
      </c>
      <c r="M24" s="210">
        <f t="shared" si="10"/>
        <v>0</v>
      </c>
      <c r="N24" s="210">
        <f t="shared" si="10"/>
        <v>0</v>
      </c>
      <c r="O24" s="210">
        <f t="shared" si="10"/>
        <v>0</v>
      </c>
      <c r="P24" s="210">
        <f t="shared" si="10"/>
        <v>0</v>
      </c>
      <c r="Q24" s="210">
        <f t="shared" si="10"/>
        <v>0</v>
      </c>
    </row>
    <row r="25" spans="2:17">
      <c r="B25" s="16" t="s">
        <v>278</v>
      </c>
      <c r="C25" s="201"/>
      <c r="D25" s="201"/>
      <c r="E25" s="201"/>
      <c r="F25" s="201"/>
      <c r="G25" s="201"/>
      <c r="H25" s="18"/>
      <c r="I25" s="18"/>
      <c r="J25" s="18"/>
      <c r="K25" s="18"/>
      <c r="L25" s="18"/>
      <c r="M25" s="18"/>
      <c r="N25" s="18"/>
      <c r="O25" s="18"/>
      <c r="P25" s="18"/>
      <c r="Q25" s="18"/>
    </row>
    <row r="26" spans="2:17">
      <c r="B26" s="39" t="str">
        <f>Assumptions!B314</f>
        <v>Long-Term Debt</v>
      </c>
      <c r="C26" s="201">
        <f>Assumptions!D314</f>
        <v>9830</v>
      </c>
      <c r="D26" s="201">
        <f>Assumptions!E314</f>
        <v>11159</v>
      </c>
      <c r="E26" s="201">
        <f>Assumptions!F314</f>
        <v>8649</v>
      </c>
      <c r="F26" s="201">
        <f>Assumptions!G314</f>
        <v>8212</v>
      </c>
      <c r="G26" s="201">
        <f>Assumptions!H314</f>
        <v>7987</v>
      </c>
      <c r="H26" s="18">
        <f>IF(H$3="",0,G26)</f>
        <v>7987</v>
      </c>
      <c r="I26" s="18">
        <f t="shared" ref="I26:Q26" si="11">IF(I$3="",0,H26)</f>
        <v>7987</v>
      </c>
      <c r="J26" s="18">
        <f t="shared" si="11"/>
        <v>7987</v>
      </c>
      <c r="K26" s="18">
        <f t="shared" si="11"/>
        <v>7987</v>
      </c>
      <c r="L26" s="18">
        <f t="shared" si="11"/>
        <v>7987</v>
      </c>
      <c r="M26" s="18">
        <f t="shared" si="11"/>
        <v>0</v>
      </c>
      <c r="N26" s="18">
        <f t="shared" si="11"/>
        <v>0</v>
      </c>
      <c r="O26" s="18">
        <f t="shared" si="11"/>
        <v>0</v>
      </c>
      <c r="P26" s="18">
        <f t="shared" si="11"/>
        <v>0</v>
      </c>
      <c r="Q26" s="18">
        <f t="shared" si="11"/>
        <v>0</v>
      </c>
    </row>
    <row r="27" spans="2:17">
      <c r="B27" s="39" t="str">
        <f>Assumptions!B317</f>
        <v>Other Long-Term Liabilities</v>
      </c>
      <c r="C27" s="201">
        <f>Assumptions!D317</f>
        <v>3528</v>
      </c>
      <c r="D27" s="201">
        <f>Assumptions!E317</f>
        <v>3677</v>
      </c>
      <c r="E27" s="201">
        <f>Assumptions!F317</f>
        <v>3481</v>
      </c>
      <c r="F27" s="201">
        <f>Assumptions!G317</f>
        <v>3485</v>
      </c>
      <c r="G27" s="201">
        <f>Assumptions!H317</f>
        <v>3510</v>
      </c>
      <c r="H27" s="18">
        <f>IF(H$3="",0,G27)</f>
        <v>3510</v>
      </c>
      <c r="I27" s="18">
        <f t="shared" ref="I27:Q27" si="12">IF(I$3="",0,H27)</f>
        <v>3510</v>
      </c>
      <c r="J27" s="18">
        <f t="shared" si="12"/>
        <v>3510</v>
      </c>
      <c r="K27" s="18">
        <f t="shared" si="12"/>
        <v>3510</v>
      </c>
      <c r="L27" s="18">
        <f t="shared" si="12"/>
        <v>3510</v>
      </c>
      <c r="M27" s="18">
        <f t="shared" si="12"/>
        <v>0</v>
      </c>
      <c r="N27" s="18">
        <f t="shared" si="12"/>
        <v>0</v>
      </c>
      <c r="O27" s="18">
        <f t="shared" si="12"/>
        <v>0</v>
      </c>
      <c r="P27" s="18">
        <f t="shared" si="12"/>
        <v>0</v>
      </c>
      <c r="Q27" s="18">
        <f t="shared" si="12"/>
        <v>0</v>
      </c>
    </row>
    <row r="28" spans="2:17">
      <c r="B28" s="16" t="str">
        <f>"Total "&amp;B25</f>
        <v>Total Non-Current Liabilities</v>
      </c>
      <c r="C28" s="202">
        <f>SUM(C26:C27)</f>
        <v>13358</v>
      </c>
      <c r="D28" s="202">
        <f t="shared" ref="D28:G28" si="13">SUM(D26:D27)</f>
        <v>14836</v>
      </c>
      <c r="E28" s="202">
        <f t="shared" si="13"/>
        <v>12130</v>
      </c>
      <c r="F28" s="202">
        <f t="shared" si="13"/>
        <v>11697</v>
      </c>
      <c r="G28" s="202">
        <f t="shared" si="13"/>
        <v>11497</v>
      </c>
      <c r="H28" s="19">
        <f t="shared" ref="H28:Q28" si="14">SUM(H26:H27)</f>
        <v>11497</v>
      </c>
      <c r="I28" s="19">
        <f t="shared" si="14"/>
        <v>11497</v>
      </c>
      <c r="J28" s="19">
        <f t="shared" si="14"/>
        <v>11497</v>
      </c>
      <c r="K28" s="19">
        <f t="shared" si="14"/>
        <v>11497</v>
      </c>
      <c r="L28" s="19">
        <f t="shared" si="14"/>
        <v>11497</v>
      </c>
      <c r="M28" s="19">
        <f t="shared" si="14"/>
        <v>0</v>
      </c>
      <c r="N28" s="19">
        <f t="shared" si="14"/>
        <v>0</v>
      </c>
      <c r="O28" s="19">
        <f t="shared" si="14"/>
        <v>0</v>
      </c>
      <c r="P28" s="19">
        <f t="shared" si="14"/>
        <v>0</v>
      </c>
      <c r="Q28" s="19">
        <f t="shared" si="14"/>
        <v>0</v>
      </c>
    </row>
    <row r="29" spans="2:17">
      <c r="B29" s="43" t="str">
        <f>"Total "&amp;B19</f>
        <v>Total Liabilities</v>
      </c>
      <c r="C29" s="204">
        <f>SUM(C24,C28)</f>
        <v>18871</v>
      </c>
      <c r="D29" s="204">
        <f t="shared" ref="D29:G29" si="15">SUM(D24,D28)</f>
        <v>19070</v>
      </c>
      <c r="E29" s="204">
        <f t="shared" si="15"/>
        <v>18455</v>
      </c>
      <c r="F29" s="204">
        <f t="shared" si="15"/>
        <v>17010</v>
      </c>
      <c r="G29" s="204">
        <f t="shared" si="15"/>
        <v>17996</v>
      </c>
      <c r="H29" s="44">
        <f t="shared" ref="H29:Q29" si="16">SUM(H24,H28)</f>
        <v>16773.103196620625</v>
      </c>
      <c r="I29" s="44">
        <f t="shared" si="16"/>
        <v>16320.542731488569</v>
      </c>
      <c r="J29" s="44">
        <f t="shared" si="16"/>
        <v>16298.974271007835</v>
      </c>
      <c r="K29" s="44">
        <f t="shared" si="16"/>
        <v>16556.907175131906</v>
      </c>
      <c r="L29" s="44">
        <f t="shared" si="16"/>
        <v>16683.353566214741</v>
      </c>
      <c r="M29" s="44">
        <f t="shared" si="16"/>
        <v>0</v>
      </c>
      <c r="N29" s="44">
        <f t="shared" si="16"/>
        <v>0</v>
      </c>
      <c r="O29" s="44">
        <f t="shared" si="16"/>
        <v>0</v>
      </c>
      <c r="P29" s="44">
        <f t="shared" si="16"/>
        <v>0</v>
      </c>
      <c r="Q29" s="44">
        <f t="shared" si="16"/>
        <v>0</v>
      </c>
    </row>
    <row r="30" spans="2:17">
      <c r="C30" s="201"/>
      <c r="D30" s="201"/>
      <c r="E30" s="201"/>
      <c r="F30" s="201"/>
      <c r="G30" s="201"/>
      <c r="H30" s="18"/>
      <c r="I30" s="18"/>
      <c r="J30" s="18"/>
      <c r="K30" s="18"/>
      <c r="L30" s="18"/>
      <c r="M30" s="18"/>
      <c r="N30" s="18"/>
      <c r="O30" s="18"/>
      <c r="P30" s="18"/>
      <c r="Q30" s="18"/>
    </row>
    <row r="31" spans="2:17">
      <c r="C31" s="201"/>
      <c r="D31" s="201"/>
      <c r="E31" s="201"/>
      <c r="F31" s="201"/>
      <c r="G31" s="201"/>
      <c r="H31" s="18"/>
      <c r="I31" s="18"/>
      <c r="J31" s="18"/>
      <c r="K31" s="18"/>
      <c r="L31" s="18"/>
      <c r="M31" s="18"/>
      <c r="N31" s="18"/>
      <c r="O31" s="18"/>
      <c r="P31" s="18"/>
      <c r="Q31" s="18"/>
    </row>
    <row r="32" spans="2:17">
      <c r="B32" s="14" t="s">
        <v>279</v>
      </c>
      <c r="C32" s="201"/>
      <c r="D32" s="201"/>
      <c r="E32" s="201"/>
      <c r="F32" s="201"/>
      <c r="G32" s="201"/>
      <c r="H32" s="18"/>
      <c r="I32" s="18"/>
      <c r="J32" s="18"/>
      <c r="K32" s="18"/>
      <c r="L32" s="18"/>
      <c r="M32" s="18"/>
      <c r="N32" s="18"/>
      <c r="O32" s="18"/>
      <c r="P32" s="18"/>
      <c r="Q32" s="18"/>
    </row>
    <row r="33" spans="2:17">
      <c r="B33" s="35" t="str">
        <f>Assumptions!B326</f>
        <v>Retained Earnings</v>
      </c>
      <c r="C33" s="201">
        <f>Assumptions!D326</f>
        <v>13787</v>
      </c>
      <c r="D33" s="201">
        <f>Assumptions!E326</f>
        <v>15100</v>
      </c>
      <c r="E33" s="201">
        <f>Assumptions!F326</f>
        <v>17502</v>
      </c>
      <c r="F33" s="201">
        <f>Assumptions!G326</f>
        <v>20084</v>
      </c>
      <c r="G33" s="201">
        <f>Assumptions!H326</f>
        <v>18760</v>
      </c>
      <c r="H33" s="211">
        <f>IF(H$3="",0,G33+H56+H57)</f>
        <v>21085.853444836666</v>
      </c>
      <c r="I33" s="211">
        <f t="shared" ref="I33:Q33" si="17">IF(I$3="",0,H33+I56+I57)</f>
        <v>23398.678137362302</v>
      </c>
      <c r="J33" s="211">
        <f t="shared" si="17"/>
        <v>25684.968050623651</v>
      </c>
      <c r="K33" s="211">
        <f t="shared" si="17"/>
        <v>27936.058339176041</v>
      </c>
      <c r="L33" s="211">
        <f t="shared" si="17"/>
        <v>30156.422821992306</v>
      </c>
      <c r="M33" s="211">
        <f t="shared" si="17"/>
        <v>0</v>
      </c>
      <c r="N33" s="211">
        <f t="shared" si="17"/>
        <v>0</v>
      </c>
      <c r="O33" s="211">
        <f t="shared" si="17"/>
        <v>0</v>
      </c>
      <c r="P33" s="211">
        <f t="shared" si="17"/>
        <v>0</v>
      </c>
      <c r="Q33" s="211">
        <f t="shared" si="17"/>
        <v>0</v>
      </c>
    </row>
    <row r="34" spans="2:17">
      <c r="B34" s="35" t="str">
        <f>Assumptions!B320</f>
        <v>Preferred and Hybrid Capital</v>
      </c>
      <c r="C34" s="201">
        <f>Assumptions!D320</f>
        <v>0</v>
      </c>
      <c r="D34" s="201">
        <f>Assumptions!E320</f>
        <v>0</v>
      </c>
      <c r="E34" s="201">
        <f>Assumptions!F320</f>
        <v>0</v>
      </c>
      <c r="F34" s="201">
        <f>Assumptions!G320</f>
        <v>0</v>
      </c>
      <c r="G34" s="201">
        <f>Assumptions!H320</f>
        <v>0</v>
      </c>
      <c r="H34" s="18">
        <f>IF(H$3="",0,G34)</f>
        <v>0</v>
      </c>
      <c r="I34" s="18">
        <f t="shared" ref="I34:Q34" si="18">IF(I$3="",0,H34)</f>
        <v>0</v>
      </c>
      <c r="J34" s="18">
        <f t="shared" si="18"/>
        <v>0</v>
      </c>
      <c r="K34" s="18">
        <f t="shared" si="18"/>
        <v>0</v>
      </c>
      <c r="L34" s="18">
        <f t="shared" si="18"/>
        <v>0</v>
      </c>
      <c r="M34" s="18">
        <f t="shared" si="18"/>
        <v>0</v>
      </c>
      <c r="N34" s="18">
        <f t="shared" si="18"/>
        <v>0</v>
      </c>
      <c r="O34" s="18">
        <f t="shared" si="18"/>
        <v>0</v>
      </c>
      <c r="P34" s="18">
        <f t="shared" si="18"/>
        <v>0</v>
      </c>
      <c r="Q34" s="18">
        <f t="shared" si="18"/>
        <v>0</v>
      </c>
    </row>
    <row r="35" spans="2:17">
      <c r="B35" s="35" t="str">
        <f>Assumptions!B323</f>
        <v>Share Capital and Additional Paid in Capital</v>
      </c>
      <c r="C35" s="201">
        <f>Assumptions!D323</f>
        <v>4423</v>
      </c>
      <c r="D35" s="201">
        <f>Assumptions!E323</f>
        <v>4478</v>
      </c>
      <c r="E35" s="201">
        <f>Assumptions!F323</f>
        <v>4531</v>
      </c>
      <c r="F35" s="201">
        <f>Assumptions!G323</f>
        <v>4598</v>
      </c>
      <c r="G35" s="201">
        <f>Assumptions!H323</f>
        <v>4605</v>
      </c>
      <c r="H35" s="18">
        <f>IF(H$3="",0,G35)</f>
        <v>4605</v>
      </c>
      <c r="I35" s="18">
        <f t="shared" ref="I35:Q35" si="19">IF(I$3="",0,H35)</f>
        <v>4605</v>
      </c>
      <c r="J35" s="18">
        <f t="shared" si="19"/>
        <v>4605</v>
      </c>
      <c r="K35" s="18">
        <f t="shared" si="19"/>
        <v>4605</v>
      </c>
      <c r="L35" s="18">
        <f t="shared" si="19"/>
        <v>4605</v>
      </c>
      <c r="M35" s="18">
        <f t="shared" si="19"/>
        <v>0</v>
      </c>
      <c r="N35" s="18">
        <f t="shared" si="19"/>
        <v>0</v>
      </c>
      <c r="O35" s="18">
        <f t="shared" si="19"/>
        <v>0</v>
      </c>
      <c r="P35" s="18">
        <f t="shared" si="19"/>
        <v>0</v>
      </c>
      <c r="Q35" s="18">
        <f t="shared" si="19"/>
        <v>0</v>
      </c>
    </row>
    <row r="36" spans="2:17">
      <c r="B36" s="35" t="str">
        <f>Assumptions!B329</f>
        <v>Other Equity</v>
      </c>
      <c r="C36" s="201">
        <f>Assumptions!D329</f>
        <v>-117</v>
      </c>
      <c r="D36" s="201">
        <f>Assumptions!E329</f>
        <v>-179</v>
      </c>
      <c r="E36" s="201">
        <f>Assumptions!F329</f>
        <v>-172</v>
      </c>
      <c r="F36" s="201">
        <f>Assumptions!G329</f>
        <v>-297</v>
      </c>
      <c r="G36" s="201">
        <f>Assumptions!H329</f>
        <v>-260</v>
      </c>
      <c r="H36" s="18">
        <f>IF(H$3="",0,G36)</f>
        <v>-260</v>
      </c>
      <c r="I36" s="18">
        <f t="shared" ref="I36:Q36" si="20">IF(I$3="",0,H36)</f>
        <v>-260</v>
      </c>
      <c r="J36" s="18">
        <f t="shared" si="20"/>
        <v>-260</v>
      </c>
      <c r="K36" s="18">
        <f t="shared" si="20"/>
        <v>-260</v>
      </c>
      <c r="L36" s="18">
        <f t="shared" si="20"/>
        <v>-260</v>
      </c>
      <c r="M36" s="18">
        <f t="shared" si="20"/>
        <v>0</v>
      </c>
      <c r="N36" s="18">
        <f t="shared" si="20"/>
        <v>0</v>
      </c>
      <c r="O36" s="18">
        <f t="shared" si="20"/>
        <v>0</v>
      </c>
      <c r="P36" s="18">
        <f t="shared" si="20"/>
        <v>0</v>
      </c>
      <c r="Q36" s="18">
        <f t="shared" si="20"/>
        <v>0</v>
      </c>
    </row>
    <row r="37" spans="2:17">
      <c r="B37" s="35" t="str">
        <f>Assumptions!B332</f>
        <v>Minority and Non-Controlling Interest</v>
      </c>
      <c r="C37" s="201">
        <f>Assumptions!D332</f>
        <v>144</v>
      </c>
      <c r="D37" s="201">
        <f>Assumptions!E332</f>
        <v>132</v>
      </c>
      <c r="E37" s="201">
        <f>Assumptions!F332</f>
        <v>131</v>
      </c>
      <c r="F37" s="201">
        <f>Assumptions!G332</f>
        <v>109</v>
      </c>
      <c r="G37" s="201">
        <f>Assumptions!H332</f>
        <v>122</v>
      </c>
      <c r="H37" s="18">
        <f>IF(H$3="",0,G37)</f>
        <v>122</v>
      </c>
      <c r="I37" s="18">
        <f t="shared" ref="I37:Q37" si="21">IF(I$3="",0,H37)</f>
        <v>122</v>
      </c>
      <c r="J37" s="18">
        <f t="shared" si="21"/>
        <v>122</v>
      </c>
      <c r="K37" s="18">
        <f t="shared" si="21"/>
        <v>122</v>
      </c>
      <c r="L37" s="18">
        <f t="shared" si="21"/>
        <v>122</v>
      </c>
      <c r="M37" s="18">
        <f t="shared" si="21"/>
        <v>0</v>
      </c>
      <c r="N37" s="18">
        <f t="shared" si="21"/>
        <v>0</v>
      </c>
      <c r="O37" s="18">
        <f t="shared" si="21"/>
        <v>0</v>
      </c>
      <c r="P37" s="18">
        <f t="shared" si="21"/>
        <v>0</v>
      </c>
      <c r="Q37" s="18">
        <f t="shared" si="21"/>
        <v>0</v>
      </c>
    </row>
    <row r="38" spans="2:17">
      <c r="B38" s="35" t="str">
        <f>Assumptions!B335</f>
        <v>Treasury Stock</v>
      </c>
      <c r="C38" s="201">
        <f>Assumptions!D335</f>
        <v>4011</v>
      </c>
      <c r="D38" s="201">
        <f>Assumptions!E335</f>
        <v>4145</v>
      </c>
      <c r="E38" s="201">
        <f>Assumptions!F335</f>
        <v>4138</v>
      </c>
      <c r="F38" s="201">
        <f>Assumptions!G335</f>
        <v>4683</v>
      </c>
      <c r="G38" s="201">
        <f>Assumptions!H335</f>
        <v>4972</v>
      </c>
      <c r="H38" s="18">
        <f>IF(H$3="",0,G38)</f>
        <v>4972</v>
      </c>
      <c r="I38" s="18">
        <f t="shared" ref="I38:Q38" si="22">IF(I$3="",0,H38)</f>
        <v>4972</v>
      </c>
      <c r="J38" s="18">
        <f t="shared" si="22"/>
        <v>4972</v>
      </c>
      <c r="K38" s="18">
        <f t="shared" si="22"/>
        <v>4972</v>
      </c>
      <c r="L38" s="18">
        <f t="shared" si="22"/>
        <v>4972</v>
      </c>
      <c r="M38" s="18">
        <f t="shared" si="22"/>
        <v>0</v>
      </c>
      <c r="N38" s="18">
        <f t="shared" si="22"/>
        <v>0</v>
      </c>
      <c r="O38" s="18">
        <f t="shared" si="22"/>
        <v>0</v>
      </c>
      <c r="P38" s="18">
        <f t="shared" si="22"/>
        <v>0</v>
      </c>
      <c r="Q38" s="18">
        <f t="shared" si="22"/>
        <v>0</v>
      </c>
    </row>
    <row r="39" spans="2:17">
      <c r="B39" s="36" t="s">
        <v>280</v>
      </c>
      <c r="C39" s="205"/>
      <c r="D39" s="205"/>
      <c r="E39" s="205"/>
      <c r="F39" s="205"/>
      <c r="G39" s="205"/>
      <c r="H39" s="72"/>
      <c r="I39" s="72"/>
      <c r="J39" s="72"/>
      <c r="K39" s="72"/>
      <c r="L39" s="72"/>
      <c r="M39" s="72"/>
      <c r="N39" s="72"/>
      <c r="O39" s="72"/>
      <c r="P39" s="72"/>
      <c r="Q39" s="72"/>
    </row>
    <row r="40" spans="2:17">
      <c r="B40" s="43" t="str">
        <f>"Total "&amp;B32</f>
        <v>Total Equity</v>
      </c>
      <c r="C40" s="204">
        <f>SUM(C33:C37)-C38+C39</f>
        <v>14226</v>
      </c>
      <c r="D40" s="204">
        <f t="shared" ref="D40:H40" si="23">SUM(D33:D37)-D38+D39</f>
        <v>15386</v>
      </c>
      <c r="E40" s="204">
        <f t="shared" si="23"/>
        <v>17854</v>
      </c>
      <c r="F40" s="204">
        <f t="shared" si="23"/>
        <v>19811</v>
      </c>
      <c r="G40" s="204">
        <f t="shared" si="23"/>
        <v>18255</v>
      </c>
      <c r="H40" s="204">
        <f t="shared" si="23"/>
        <v>20580.853444836666</v>
      </c>
      <c r="I40" s="204">
        <f t="shared" ref="I40" si="24">SUM(I33:I37)-I38+I39</f>
        <v>22893.678137362302</v>
      </c>
      <c r="J40" s="204">
        <f t="shared" ref="J40" si="25">SUM(J33:J37)-J38+J39</f>
        <v>25179.968050623651</v>
      </c>
      <c r="K40" s="204">
        <f t="shared" ref="K40" si="26">SUM(K33:K37)-K38+K39</f>
        <v>27431.058339176041</v>
      </c>
      <c r="L40" s="204">
        <f t="shared" ref="L40" si="27">SUM(L33:L37)-L38+L39</f>
        <v>29651.42282199231</v>
      </c>
      <c r="M40" s="204">
        <f t="shared" ref="M40" si="28">SUM(M33:M37)-M38+M39</f>
        <v>0</v>
      </c>
      <c r="N40" s="204">
        <f t="shared" ref="N40" si="29">SUM(N33:N37)-N38+N39</f>
        <v>0</v>
      </c>
      <c r="O40" s="204">
        <f t="shared" ref="O40" si="30">SUM(O33:O37)-O38+O39</f>
        <v>0</v>
      </c>
      <c r="P40" s="204">
        <f t="shared" ref="P40" si="31">SUM(P33:P37)-P38+P39</f>
        <v>0</v>
      </c>
      <c r="Q40" s="204">
        <f t="shared" ref="Q40" si="32">SUM(Q33:Q37)-Q38+Q39</f>
        <v>0</v>
      </c>
    </row>
    <row r="41" spans="2:17">
      <c r="C41" s="206"/>
      <c r="D41" s="206"/>
      <c r="E41" s="206"/>
      <c r="F41" s="206"/>
      <c r="G41" s="206"/>
    </row>
    <row r="42" spans="2:17" ht="12" thickBot="1">
      <c r="B42" s="53" t="str">
        <f>"Total "&amp;B19&amp;" and "&amp;B32</f>
        <v>Total Liabilities and Equity</v>
      </c>
      <c r="C42" s="207">
        <f t="shared" ref="C42:H42" si="33">C29+C40</f>
        <v>33097</v>
      </c>
      <c r="D42" s="207">
        <f t="shared" si="33"/>
        <v>34456</v>
      </c>
      <c r="E42" s="207">
        <f t="shared" si="33"/>
        <v>36309</v>
      </c>
      <c r="F42" s="207">
        <f t="shared" si="33"/>
        <v>36821</v>
      </c>
      <c r="G42" s="207">
        <f t="shared" si="33"/>
        <v>36251</v>
      </c>
      <c r="H42" s="55">
        <f t="shared" si="33"/>
        <v>37353.956641457291</v>
      </c>
      <c r="I42" s="55">
        <f t="shared" ref="I42:Q42" si="34">I29+I40</f>
        <v>39214.220868850869</v>
      </c>
      <c r="J42" s="55">
        <f t="shared" si="34"/>
        <v>41478.94232163149</v>
      </c>
      <c r="K42" s="55">
        <f t="shared" si="34"/>
        <v>43987.965514307944</v>
      </c>
      <c r="L42" s="55">
        <f t="shared" si="34"/>
        <v>46334.77638820705</v>
      </c>
      <c r="M42" s="55">
        <f t="shared" si="34"/>
        <v>0</v>
      </c>
      <c r="N42" s="55">
        <f t="shared" si="34"/>
        <v>0</v>
      </c>
      <c r="O42" s="55">
        <f t="shared" si="34"/>
        <v>0</v>
      </c>
      <c r="P42" s="55">
        <f t="shared" si="34"/>
        <v>0</v>
      </c>
      <c r="Q42" s="55">
        <f t="shared" si="34"/>
        <v>0</v>
      </c>
    </row>
    <row r="43" spans="2:17">
      <c r="B43" s="56" t="s">
        <v>281</v>
      </c>
      <c r="C43" s="208">
        <f t="shared" ref="C43:H43" si="35">C16-C42</f>
        <v>-167</v>
      </c>
      <c r="D43" s="208">
        <f t="shared" si="35"/>
        <v>-1272</v>
      </c>
      <c r="E43" s="208">
        <f t="shared" si="35"/>
        <v>-279</v>
      </c>
      <c r="F43" s="208">
        <f t="shared" si="35"/>
        <v>-871</v>
      </c>
      <c r="G43" s="208">
        <f t="shared" si="35"/>
        <v>-587</v>
      </c>
      <c r="H43" s="57">
        <f t="shared" si="35"/>
        <v>-924.46324197181093</v>
      </c>
      <c r="I43" s="57">
        <f t="shared" ref="I43:Q43" si="36">I16-I42</f>
        <v>-1644.159176386238</v>
      </c>
      <c r="J43" s="57">
        <f t="shared" si="36"/>
        <v>-2711.0745514565351</v>
      </c>
      <c r="K43" s="57">
        <f t="shared" si="36"/>
        <v>-4362.326452776113</v>
      </c>
      <c r="L43" s="57">
        <f t="shared" si="36"/>
        <v>-5326.4546510825094</v>
      </c>
      <c r="M43" s="57">
        <f t="shared" si="36"/>
        <v>0</v>
      </c>
      <c r="N43" s="57">
        <f t="shared" si="36"/>
        <v>0</v>
      </c>
      <c r="O43" s="57">
        <f t="shared" si="36"/>
        <v>0</v>
      </c>
      <c r="P43" s="57">
        <f t="shared" si="36"/>
        <v>0</v>
      </c>
      <c r="Q43" s="57">
        <f t="shared" si="36"/>
        <v>0</v>
      </c>
    </row>
    <row r="46" spans="2:17">
      <c r="B46" s="42" t="s">
        <v>282</v>
      </c>
      <c r="C46" s="42"/>
      <c r="D46" s="42"/>
      <c r="E46" s="42"/>
      <c r="F46" s="42"/>
      <c r="G46" s="42"/>
      <c r="H46" s="42"/>
      <c r="I46" s="42"/>
      <c r="J46" s="42"/>
      <c r="K46" s="42"/>
      <c r="L46" s="42"/>
      <c r="M46" s="42"/>
      <c r="N46" s="42"/>
      <c r="O46" s="42"/>
      <c r="P46" s="42"/>
      <c r="Q46" s="42"/>
    </row>
    <row r="47" spans="2:17">
      <c r="B47" s="1" t="s">
        <v>283</v>
      </c>
      <c r="C47" s="71">
        <f>C10-C24</f>
        <v>1489</v>
      </c>
      <c r="D47" s="71">
        <f t="shared" ref="D47:Q47" si="37">D10-D24</f>
        <v>2092</v>
      </c>
      <c r="E47" s="71">
        <f t="shared" si="37"/>
        <v>3218</v>
      </c>
      <c r="F47" s="71">
        <f t="shared" si="37"/>
        <v>3446</v>
      </c>
      <c r="G47" s="71">
        <f t="shared" si="37"/>
        <v>1636</v>
      </c>
      <c r="H47" s="71">
        <f t="shared" si="37"/>
        <v>3363.6726026646884</v>
      </c>
      <c r="I47" s="71">
        <f t="shared" si="37"/>
        <v>4698.6909365777301</v>
      </c>
      <c r="J47" s="71">
        <f t="shared" si="37"/>
        <v>5662.5361548126075</v>
      </c>
      <c r="K47" s="71">
        <f t="shared" si="37"/>
        <v>6009.4005152887912</v>
      </c>
      <c r="L47" s="71">
        <f t="shared" si="37"/>
        <v>7015.192513309612</v>
      </c>
      <c r="M47" s="71">
        <f t="shared" si="37"/>
        <v>0</v>
      </c>
      <c r="N47" s="71">
        <f t="shared" si="37"/>
        <v>0</v>
      </c>
      <c r="O47" s="71">
        <f t="shared" si="37"/>
        <v>0</v>
      </c>
      <c r="P47" s="71">
        <f t="shared" si="37"/>
        <v>0</v>
      </c>
      <c r="Q47" s="71">
        <f t="shared" si="37"/>
        <v>0</v>
      </c>
    </row>
    <row r="48" spans="2:17">
      <c r="B48" s="1" t="s">
        <v>211</v>
      </c>
      <c r="C48" s="71">
        <f>+C22+C26-C6</f>
        <v>11615</v>
      </c>
      <c r="D48" s="71">
        <f t="shared" ref="D48:Q48" si="38">+D22+D26-D6</f>
        <v>11720</v>
      </c>
      <c r="E48" s="71">
        <f t="shared" si="38"/>
        <v>7643</v>
      </c>
      <c r="F48" s="71">
        <f t="shared" si="38"/>
        <v>8656</v>
      </c>
      <c r="G48" s="71">
        <f t="shared" si="38"/>
        <v>10049</v>
      </c>
      <c r="H48" s="71">
        <f t="shared" si="38"/>
        <v>8108.9208387786002</v>
      </c>
      <c r="I48" s="71">
        <f t="shared" si="38"/>
        <v>6739.046570451128</v>
      </c>
      <c r="J48" s="71">
        <f t="shared" si="38"/>
        <v>5740.6939771459602</v>
      </c>
      <c r="K48" s="71">
        <f t="shared" si="38"/>
        <v>5359.6673153501924</v>
      </c>
      <c r="L48" s="71">
        <f t="shared" si="38"/>
        <v>4320.0546390229829</v>
      </c>
      <c r="M48" s="71">
        <f t="shared" si="38"/>
        <v>0</v>
      </c>
      <c r="N48" s="71">
        <f t="shared" si="38"/>
        <v>0</v>
      </c>
      <c r="O48" s="71">
        <f t="shared" si="38"/>
        <v>0</v>
      </c>
      <c r="P48" s="71">
        <f t="shared" si="38"/>
        <v>0</v>
      </c>
      <c r="Q48" s="71">
        <f t="shared" si="38"/>
        <v>0</v>
      </c>
    </row>
    <row r="51" spans="2:17">
      <c r="B51" s="42" t="s">
        <v>271</v>
      </c>
      <c r="C51" s="42"/>
      <c r="D51" s="42"/>
      <c r="E51" s="42"/>
      <c r="F51" s="42"/>
      <c r="G51" s="42"/>
      <c r="H51" s="42"/>
      <c r="I51" s="42"/>
      <c r="J51" s="42"/>
      <c r="K51" s="42"/>
      <c r="L51" s="42"/>
      <c r="M51" s="42"/>
      <c r="N51" s="42"/>
      <c r="O51" s="42"/>
      <c r="P51" s="42"/>
      <c r="Q51" s="42"/>
    </row>
    <row r="52" spans="2:17">
      <c r="B52" s="1" t="str">
        <f>'Income Statement'!B4</f>
        <v>Revenue</v>
      </c>
      <c r="C52" s="18">
        <f>'IS Bear'!C4</f>
        <v>42405</v>
      </c>
      <c r="D52" s="18">
        <f>'IS Bear'!D4</f>
        <v>43185</v>
      </c>
      <c r="E52" s="18">
        <f>'IS Bear'!E4</f>
        <v>47049</v>
      </c>
      <c r="F52" s="18">
        <f>'IS Bear'!F4</f>
        <v>53282</v>
      </c>
      <c r="G52" s="18">
        <f>'IS Bear'!G4</f>
        <v>52881</v>
      </c>
      <c r="H52" s="18">
        <f>'IS Bear'!H4</f>
        <v>52352.19</v>
      </c>
      <c r="I52" s="18">
        <f>'IS Bear'!I4</f>
        <v>51828.668100000003</v>
      </c>
      <c r="J52" s="18">
        <f>'IS Bear'!J4</f>
        <v>51310.381419000005</v>
      </c>
      <c r="K52" s="18">
        <f>'IS Bear'!K4</f>
        <v>50797.277604810006</v>
      </c>
      <c r="L52" s="18">
        <f>'IS Bear'!L4</f>
        <v>50289.304828761902</v>
      </c>
      <c r="M52" s="18">
        <f>'IS Bear'!M4</f>
        <v>0</v>
      </c>
      <c r="N52" s="18">
        <f>'IS Bear'!N4</f>
        <v>0</v>
      </c>
      <c r="O52" s="18">
        <f>'IS Bear'!O4</f>
        <v>0</v>
      </c>
      <c r="P52" s="18">
        <f>'IS Bear'!P4</f>
        <v>0</v>
      </c>
      <c r="Q52" s="18">
        <f>'IS Bear'!Q4</f>
        <v>0</v>
      </c>
    </row>
    <row r="53" spans="2:17">
      <c r="B53" s="1" t="str">
        <f>'Income Statement'!B8</f>
        <v>Cost of Revenue ~ Cost of Goods Sold</v>
      </c>
      <c r="C53" s="18">
        <f>'IS Bear'!C8</f>
        <v>37383</v>
      </c>
      <c r="D53" s="18">
        <f>'IS Bear'!D8</f>
        <v>37801</v>
      </c>
      <c r="E53" s="18">
        <f>'IS Bear'!E8</f>
        <v>40523</v>
      </c>
      <c r="F53" s="18">
        <f>'IS Bear'!F8</f>
        <v>46614</v>
      </c>
      <c r="G53" s="18">
        <f>'IS Bear'!G8</f>
        <v>50250</v>
      </c>
      <c r="H53" s="18">
        <f>'IS Bear'!H8</f>
        <v>46523.218885342118</v>
      </c>
      <c r="I53" s="18">
        <f>'IS Bear'!I8</f>
        <v>46057.986696488697</v>
      </c>
      <c r="J53" s="18">
        <f>'IS Bear'!J8</f>
        <v>45597.406829523818</v>
      </c>
      <c r="K53" s="18">
        <f>'IS Bear'!K8</f>
        <v>45141.432761228578</v>
      </c>
      <c r="L53" s="18">
        <f>'IS Bear'!L8</f>
        <v>44690.018433616286</v>
      </c>
      <c r="M53" s="18">
        <f>'IS Bear'!M8</f>
        <v>0</v>
      </c>
      <c r="N53" s="18">
        <f>'IS Bear'!N8</f>
        <v>0</v>
      </c>
      <c r="O53" s="18">
        <f>'IS Bear'!O8</f>
        <v>0</v>
      </c>
      <c r="P53" s="18">
        <f>'IS Bear'!P8</f>
        <v>0</v>
      </c>
      <c r="Q53" s="18">
        <f>'IS Bear'!Q8</f>
        <v>0</v>
      </c>
    </row>
    <row r="54" spans="2:17">
      <c r="B54" s="1" t="str">
        <f>'Income Statement'!B44</f>
        <v>Capital Expenditures</v>
      </c>
      <c r="C54" s="18">
        <f>'IS Bear'!C44</f>
        <v>1259</v>
      </c>
      <c r="D54" s="18">
        <f>'IS Bear'!D44</f>
        <v>1199</v>
      </c>
      <c r="E54" s="18">
        <f>'IS Bear'!E44</f>
        <v>1209</v>
      </c>
      <c r="F54" s="18">
        <f>'IS Bear'!F44</f>
        <v>1887</v>
      </c>
      <c r="G54" s="18">
        <f>'IS Bear'!G44</f>
        <v>1939</v>
      </c>
      <c r="H54" s="18">
        <f>'IS Bear'!H44</f>
        <v>1625.3611716200558</v>
      </c>
      <c r="I54" s="18">
        <f>'IS Bear'!I44</f>
        <v>1609.1075599038552</v>
      </c>
      <c r="J54" s="18">
        <f>'IS Bear'!J44</f>
        <v>1593.0164843048167</v>
      </c>
      <c r="K54" s="18">
        <f>'IS Bear'!K44</f>
        <v>1577.0863194617687</v>
      </c>
      <c r="L54" s="18">
        <f>'IS Bear'!L44</f>
        <v>1561.3154562671507</v>
      </c>
      <c r="M54" s="18">
        <f>'IS Bear'!M44</f>
        <v>0</v>
      </c>
      <c r="N54" s="18">
        <f>'IS Bear'!N44</f>
        <v>0</v>
      </c>
      <c r="O54" s="18">
        <f>'IS Bear'!O44</f>
        <v>0</v>
      </c>
      <c r="P54" s="18">
        <f>'IS Bear'!P44</f>
        <v>0</v>
      </c>
      <c r="Q54" s="18">
        <f>'IS Bear'!Q44</f>
        <v>0</v>
      </c>
    </row>
    <row r="55" spans="2:17">
      <c r="B55" s="1" t="str">
        <f>'Income Statement'!B47</f>
        <v>Depreciation and Amortization</v>
      </c>
      <c r="C55" s="18">
        <f>'IS Bear'!C47</f>
        <v>1098</v>
      </c>
      <c r="D55" s="18">
        <f>'IS Bear'!D47</f>
        <v>1192</v>
      </c>
      <c r="E55" s="18">
        <f>'IS Bear'!E47</f>
        <v>1214</v>
      </c>
      <c r="F55" s="18">
        <f>'IS Bear'!F47</f>
        <v>1202</v>
      </c>
      <c r="G55" s="18">
        <f>'IS Bear'!G47</f>
        <v>1339</v>
      </c>
      <c r="H55" s="18">
        <f>'IS Bear'!H47</f>
        <v>1364.6435714198899</v>
      </c>
      <c r="I55" s="18">
        <f>'IS Bear'!I47</f>
        <v>1350.9971357056909</v>
      </c>
      <c r="J55" s="18">
        <f>'IS Bear'!J47</f>
        <v>1337.487164348634</v>
      </c>
      <c r="K55" s="18">
        <f>'IS Bear'!K47</f>
        <v>1324.1122927051479</v>
      </c>
      <c r="L55" s="18">
        <f>'IS Bear'!L47</f>
        <v>1310.8711697780961</v>
      </c>
      <c r="M55" s="18">
        <f>'IS Bear'!M47</f>
        <v>0</v>
      </c>
      <c r="N55" s="18">
        <f>'IS Bear'!N47</f>
        <v>0</v>
      </c>
      <c r="O55" s="18">
        <f>'IS Bear'!O47</f>
        <v>0</v>
      </c>
      <c r="P55" s="18">
        <f>'IS Bear'!P47</f>
        <v>0</v>
      </c>
      <c r="Q55" s="18">
        <f>'IS Bear'!Q47</f>
        <v>0</v>
      </c>
    </row>
    <row r="56" spans="2:17">
      <c r="B56" s="1" t="str">
        <f>'Income Statement'!B37</f>
        <v>Net Income (Loss), GAAP</v>
      </c>
      <c r="C56" s="18">
        <f>'IS Bear'!C37</f>
        <v>2022</v>
      </c>
      <c r="D56" s="18">
        <f>'IS Bear'!D37</f>
        <v>2061</v>
      </c>
      <c r="E56" s="18">
        <f>'IS Bear'!E37</f>
        <v>3047</v>
      </c>
      <c r="F56" s="18">
        <f>'IS Bear'!F37</f>
        <v>3238</v>
      </c>
      <c r="G56" s="18">
        <f>'IS Bear'!G37</f>
        <v>-648</v>
      </c>
      <c r="H56" s="18">
        <f>'IS Bear'!H37</f>
        <v>2295.3852486969822</v>
      </c>
      <c r="I56" s="18">
        <f>'IS Bear'!I37</f>
        <v>2282.5271703300682</v>
      </c>
      <c r="J56" s="18">
        <f>'IS Bear'!J37</f>
        <v>2256.3399911525116</v>
      </c>
      <c r="K56" s="18">
        <f>'IS Bear'!K37</f>
        <v>2221.6014742025359</v>
      </c>
      <c r="L56" s="18">
        <f>'IS Bear'!L37</f>
        <v>2191.2781701278095</v>
      </c>
      <c r="M56" s="18">
        <f>'IS Bear'!M37</f>
        <v>0</v>
      </c>
      <c r="N56" s="18">
        <f>'IS Bear'!N37</f>
        <v>0</v>
      </c>
      <c r="O56" s="18">
        <f>'IS Bear'!O37</f>
        <v>0</v>
      </c>
      <c r="P56" s="18">
        <f>'IS Bear'!P37</f>
        <v>0</v>
      </c>
      <c r="Q56" s="18">
        <f>'IS Bear'!Q37</f>
        <v>0</v>
      </c>
    </row>
    <row r="57" spans="2:17">
      <c r="B57" s="1" t="str">
        <f>'Cash Flows'!B22</f>
        <v>Dividends Paid</v>
      </c>
      <c r="C57" s="18">
        <f>'CF Bear'!C22</f>
        <v>-537</v>
      </c>
      <c r="D57" s="18">
        <f>'CF Bear'!D22</f>
        <v>-601</v>
      </c>
      <c r="E57" s="18">
        <f>'CF Bear'!E22</f>
        <v>-636</v>
      </c>
      <c r="F57" s="18">
        <f>'CF Bear'!F22</f>
        <v>-653</v>
      </c>
      <c r="G57" s="18">
        <f>'CF Bear'!G22</f>
        <v>-670</v>
      </c>
      <c r="H57" s="18">
        <f>'CF Bear'!H22</f>
        <v>30.468196139685993</v>
      </c>
      <c r="I57" s="18">
        <f>'CF Bear'!I22</f>
        <v>30.297522195569215</v>
      </c>
      <c r="J57" s="18">
        <f>'CF Bear'!J22</f>
        <v>29.949922108838752</v>
      </c>
      <c r="K57" s="18">
        <f>'CF Bear'!K22</f>
        <v>29.48881434985385</v>
      </c>
      <c r="L57" s="18">
        <f>'CF Bear'!L22</f>
        <v>29.086312688454498</v>
      </c>
      <c r="M57" s="18">
        <f>'CF Bear'!M22</f>
        <v>0</v>
      </c>
      <c r="N57" s="18">
        <f>'CF Bear'!N22</f>
        <v>0</v>
      </c>
      <c r="O57" s="18">
        <f>'CF Bear'!O22</f>
        <v>0</v>
      </c>
      <c r="P57" s="18">
        <f>'CF Bear'!P22</f>
        <v>0</v>
      </c>
      <c r="Q57" s="18">
        <f>'CF Bear'!Q22</f>
        <v>0</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690F-68B1-483A-81C1-60403565E9BD}">
  <sheetPr>
    <tabColor theme="7" tint="0.79998168889431442"/>
  </sheetPr>
  <dimension ref="A2:Q57"/>
  <sheetViews>
    <sheetView zoomScaleNormal="100" workbookViewId="0">
      <selection activeCell="I18" sqref="I18"/>
    </sheetView>
  </sheetViews>
  <sheetFormatPr baseColWidth="10" defaultColWidth="0" defaultRowHeight="11" outlineLevelCol="1"/>
  <cols>
    <col min="1" max="1" width="2.1640625" style="1" customWidth="1"/>
    <col min="2" max="2" width="36" style="1" bestFit="1" customWidth="1"/>
    <col min="3" max="7" width="8.6640625" style="1" customWidth="1" outlineLevel="1"/>
    <col min="8" max="17" width="8.6640625" style="1" customWidth="1"/>
    <col min="18" max="16384" width="8.6640625" style="1" hidden="1"/>
  </cols>
  <sheetData>
    <row r="2" spans="2:17">
      <c r="B2" s="42" t="s">
        <v>272</v>
      </c>
      <c r="C2" s="42"/>
      <c r="D2" s="42"/>
      <c r="E2" s="42"/>
      <c r="F2" s="42"/>
      <c r="G2" s="42"/>
      <c r="H2" s="42"/>
      <c r="I2" s="42"/>
      <c r="J2" s="42"/>
      <c r="K2" s="42"/>
      <c r="L2" s="42"/>
      <c r="M2" s="42"/>
      <c r="N2" s="42"/>
      <c r="O2" s="42"/>
      <c r="P2" s="42"/>
      <c r="Q2" s="42"/>
    </row>
    <row r="3" spans="2:17">
      <c r="B3" s="22" t="str">
        <f>Assumptions!$B$132</f>
        <v>Year Ending 09/31/2024, In USD Millions</v>
      </c>
      <c r="C3" s="22" cm="1">
        <f t="array" ref="C3:L3">_xlfn.SEQUENCE(1,5+Assumptions!$C$20,(YEAR('Valuation Summary'!$C$4)-5))</f>
        <v>2019</v>
      </c>
      <c r="D3" s="22">
        <v>2020</v>
      </c>
      <c r="E3" s="22">
        <v>2021</v>
      </c>
      <c r="F3" s="22">
        <v>2022</v>
      </c>
      <c r="G3" s="22">
        <v>2023</v>
      </c>
      <c r="H3" s="23">
        <v>2024</v>
      </c>
      <c r="I3" s="23">
        <v>2025</v>
      </c>
      <c r="J3" s="23">
        <v>2026</v>
      </c>
      <c r="K3" s="23">
        <v>2027</v>
      </c>
      <c r="L3" s="23">
        <v>2028</v>
      </c>
      <c r="M3" s="23"/>
      <c r="N3" s="23"/>
      <c r="O3" s="23"/>
      <c r="P3" s="23"/>
      <c r="Q3" s="23"/>
    </row>
    <row r="4" spans="2:17">
      <c r="B4" s="14" t="s">
        <v>273</v>
      </c>
      <c r="C4" s="201"/>
      <c r="D4" s="201"/>
      <c r="E4" s="201"/>
      <c r="F4" s="201"/>
      <c r="G4" s="201"/>
      <c r="H4" s="18"/>
      <c r="I4" s="18"/>
      <c r="J4" s="18"/>
      <c r="K4" s="18"/>
      <c r="L4" s="18"/>
      <c r="M4" s="18"/>
      <c r="N4" s="18"/>
      <c r="O4" s="18"/>
      <c r="P4" s="18"/>
      <c r="Q4" s="18"/>
    </row>
    <row r="5" spans="2:17">
      <c r="B5" s="16" t="s">
        <v>274</v>
      </c>
      <c r="C5" s="201"/>
      <c r="D5" s="201"/>
      <c r="E5" s="201"/>
      <c r="F5" s="201"/>
      <c r="G5" s="201"/>
      <c r="H5" s="18"/>
      <c r="I5" s="18"/>
      <c r="J5" s="18"/>
      <c r="K5" s="18"/>
      <c r="L5" s="18"/>
      <c r="M5" s="18"/>
      <c r="N5" s="18"/>
      <c r="O5" s="18"/>
      <c r="P5" s="18"/>
      <c r="Q5" s="18"/>
    </row>
    <row r="6" spans="2:17">
      <c r="B6" s="39" t="str">
        <f>Assumptions!B279</f>
        <v>Cash, Cash Equivalents, and Short-Term Investments</v>
      </c>
      <c r="C6" s="201">
        <f>+Assumptions!D280+'CF Bull'!C36</f>
        <v>317</v>
      </c>
      <c r="D6" s="201">
        <f>+Assumptions!E280+'CF Bull'!D36</f>
        <v>148</v>
      </c>
      <c r="E6" s="201">
        <f>+Assumptions!F280+'CF Bull'!E36</f>
        <v>2228</v>
      </c>
      <c r="F6" s="201">
        <f>+Assumptions!G280+'CF Bull'!F36</f>
        <v>160</v>
      </c>
      <c r="G6" s="201">
        <f>+Assumptions!H280+'CF Bull'!G36</f>
        <v>-14</v>
      </c>
      <c r="H6" s="211">
        <f>IF(H$3="",0,'CF Bull'!H36+'IS Bull'!H4*Assumptions!I$281)</f>
        <v>1009.2327807273724</v>
      </c>
      <c r="I6" s="211">
        <f>IF(I$3="",0,'CF Bull'!I36+'IS Bull'!I4*Assumptions!J$281)</f>
        <v>2161.0428599584061</v>
      </c>
      <c r="J6" s="211">
        <f>IF(J$3="",0,'CF Bull'!J36+'IS Bull'!J4*Assumptions!K$281)</f>
        <v>3470.8666455569128</v>
      </c>
      <c r="K6" s="211">
        <f>IF(K$3="",0,'CF Bull'!K36+'IS Bull'!K4*Assumptions!L$281)</f>
        <v>4543.450457406856</v>
      </c>
      <c r="L6" s="211">
        <f>IF(L$3="",0,'CF Bull'!L36+'IS Bull'!L4*Assumptions!M$281)</f>
        <v>6245.8299676619808</v>
      </c>
      <c r="M6" s="211">
        <f>IF(M$3="",0,'CF Bull'!M36+'IS Bull'!M4*Assumptions!N$281)</f>
        <v>0</v>
      </c>
      <c r="N6" s="211">
        <f>IF(N$3="",0,'CF Bull'!N36+'IS Bull'!N4*Assumptions!O$281)</f>
        <v>0</v>
      </c>
      <c r="O6" s="211">
        <f>IF(O$3="",0,'CF Bull'!O36+'IS Bull'!O4*Assumptions!P$281)</f>
        <v>0</v>
      </c>
      <c r="P6" s="211">
        <f>IF(P$3="",0,'CF Bull'!P36+'IS Bull'!P4*Assumptions!Q$281)</f>
        <v>0</v>
      </c>
      <c r="Q6" s="211">
        <f>IF(Q$3="",0,'CF Bull'!Q36+'IS Bull'!Q4*Assumptions!R$281)</f>
        <v>0</v>
      </c>
    </row>
    <row r="7" spans="2:17">
      <c r="B7" s="39" t="str">
        <f>Assumptions!B284</f>
        <v>Accounts and Notes Receivable</v>
      </c>
      <c r="C7" s="201">
        <f>Assumptions!D284</f>
        <v>2173</v>
      </c>
      <c r="D7" s="201">
        <f>Assumptions!E284</f>
        <v>1952</v>
      </c>
      <c r="E7" s="201">
        <f>Assumptions!F284</f>
        <v>2400</v>
      </c>
      <c r="F7" s="201">
        <f>Assumptions!G284</f>
        <v>2577</v>
      </c>
      <c r="G7" s="201">
        <f>Assumptions!H284</f>
        <v>2476</v>
      </c>
      <c r="H7" s="211">
        <f>IF(H$3="",0,G7*(1+Assumptions!I$139))</f>
        <v>2550.2800000000002</v>
      </c>
      <c r="I7" s="211">
        <f>IF(I$3="",0,H7*(1+Assumptions!J$139))</f>
        <v>2626.7884000000004</v>
      </c>
      <c r="J7" s="211">
        <f>IF(J$3="",0,I7*(1+Assumptions!K$139))</f>
        <v>2705.5920520000004</v>
      </c>
      <c r="K7" s="211">
        <f>IF(K$3="",0,J7*(1+Assumptions!L$139))</f>
        <v>2786.7598135600006</v>
      </c>
      <c r="L7" s="211">
        <f>IF(L$3="",0,K7*(1+Assumptions!M$139))</f>
        <v>2870.3626079668006</v>
      </c>
      <c r="M7" s="211">
        <f>IF(M$3="",0,L7*(1+Assumptions!N$139))</f>
        <v>0</v>
      </c>
      <c r="N7" s="211">
        <f>IF(N$3="",0,M7*(1+Assumptions!O$139))</f>
        <v>0</v>
      </c>
      <c r="O7" s="211">
        <f>IF(O$3="",0,N7*(1+Assumptions!P$139))</f>
        <v>0</v>
      </c>
      <c r="P7" s="211">
        <f>IF(P$3="",0,O7*(1+Assumptions!Q$139))</f>
        <v>0</v>
      </c>
      <c r="Q7" s="211">
        <f>IF(Q$3="",0,P7*(1+Assumptions!R$139))</f>
        <v>0</v>
      </c>
    </row>
    <row r="8" spans="2:17">
      <c r="B8" s="39" t="str">
        <f>Assumptions!B290</f>
        <v>Inventory</v>
      </c>
      <c r="C8" s="201">
        <f>Assumptions!D290</f>
        <v>4108</v>
      </c>
      <c r="D8" s="201">
        <f>Assumptions!E290</f>
        <v>3859</v>
      </c>
      <c r="E8" s="201">
        <f>Assumptions!F290</f>
        <v>4382</v>
      </c>
      <c r="F8" s="201">
        <f>Assumptions!G290</f>
        <v>5514</v>
      </c>
      <c r="G8" s="201">
        <f>Assumptions!H290</f>
        <v>5328</v>
      </c>
      <c r="H8" s="211">
        <f>IF(H$3="",0,+G8*(1+'IS Bull'!H$10))</f>
        <v>5132.1570235235113</v>
      </c>
      <c r="I8" s="211">
        <f>IF(I$3="",0,+H8*(1+'IS Bull'!I$10))</f>
        <v>5286.1217342292166</v>
      </c>
      <c r="J8" s="211">
        <f>IF(J$3="",0,+I8*(1+'IS Bull'!J$10))</f>
        <v>5444.7053862560933</v>
      </c>
      <c r="K8" s="211">
        <f>IF(K$3="",0,+J8*(1+'IS Bull'!K$10))</f>
        <v>5608.0465478437764</v>
      </c>
      <c r="L8" s="211">
        <f>IF(L$3="",0,+K8*(1+'IS Bull'!L$10))</f>
        <v>5776.28794427909</v>
      </c>
      <c r="M8" s="211">
        <f>IF(M$3="",0,+L8*(1+'IS Bull'!M$10))</f>
        <v>0</v>
      </c>
      <c r="N8" s="211">
        <f>IF(N$3="",0,+M8*(1+'IS Bull'!N$10))</f>
        <v>0</v>
      </c>
      <c r="O8" s="211">
        <f>IF(O$3="",0,+N8*(1+'IS Bull'!O$10))</f>
        <v>0</v>
      </c>
      <c r="P8" s="211">
        <f>IF(P$3="",0,+O8*(1+'IS Bull'!P$10))</f>
        <v>0</v>
      </c>
      <c r="Q8" s="211">
        <f>IF(Q$3="",0,+P8*(1+'IS Bull'!Q$10))</f>
        <v>0</v>
      </c>
    </row>
    <row r="9" spans="2:17">
      <c r="B9" s="39" t="str">
        <f>Assumptions!B293</f>
        <v>Other Short-Term Assets</v>
      </c>
      <c r="C9" s="201">
        <f>Assumptions!D293</f>
        <v>404</v>
      </c>
      <c r="D9" s="201">
        <f>Assumptions!E293</f>
        <v>367</v>
      </c>
      <c r="E9" s="201">
        <f>Assumptions!F293</f>
        <v>533</v>
      </c>
      <c r="F9" s="201">
        <f>Assumptions!G293</f>
        <v>508</v>
      </c>
      <c r="G9" s="201">
        <f>Assumptions!H293</f>
        <v>345</v>
      </c>
      <c r="H9" s="211">
        <f>IF(H$3="",0,G9*(1+Assumptions!I$139))</f>
        <v>355.35</v>
      </c>
      <c r="I9" s="211">
        <f>IF(I$3="",0,H9*(1+Assumptions!J$139))</f>
        <v>366.01050000000004</v>
      </c>
      <c r="J9" s="211">
        <f>IF(J$3="",0,I9*(1+Assumptions!K$139))</f>
        <v>376.99081500000005</v>
      </c>
      <c r="K9" s="211">
        <f>IF(K$3="",0,J9*(1+Assumptions!L$139))</f>
        <v>388.30053945000009</v>
      </c>
      <c r="L9" s="211">
        <f>IF(L$3="",0,K9*(1+Assumptions!M$139))</f>
        <v>399.9495556335001</v>
      </c>
      <c r="M9" s="211">
        <f>IF(M$3="",0,L9*(1+Assumptions!N$139))</f>
        <v>0</v>
      </c>
      <c r="N9" s="211">
        <f>IF(N$3="",0,M9*(1+Assumptions!O$139))</f>
        <v>0</v>
      </c>
      <c r="O9" s="211">
        <f>IF(O$3="",0,N9*(1+Assumptions!P$139))</f>
        <v>0</v>
      </c>
      <c r="P9" s="211">
        <f>IF(P$3="",0,O9*(1+Assumptions!Q$139))</f>
        <v>0</v>
      </c>
      <c r="Q9" s="211">
        <f>IF(Q$3="",0,P9*(1+Assumptions!R$139))</f>
        <v>0</v>
      </c>
    </row>
    <row r="10" spans="2:17">
      <c r="B10" s="16" t="str">
        <f>"Total "&amp;B5</f>
        <v>Total Current Assets</v>
      </c>
      <c r="C10" s="209">
        <f>SUM(C6:C9)</f>
        <v>7002</v>
      </c>
      <c r="D10" s="209">
        <f t="shared" ref="D10:G10" si="0">SUM(D6:D9)</f>
        <v>6326</v>
      </c>
      <c r="E10" s="209">
        <f t="shared" si="0"/>
        <v>9543</v>
      </c>
      <c r="F10" s="209">
        <f t="shared" si="0"/>
        <v>8759</v>
      </c>
      <c r="G10" s="209">
        <f t="shared" si="0"/>
        <v>8135</v>
      </c>
      <c r="H10" s="210">
        <f t="shared" ref="H10:Q10" si="1">SUM(H6:H9)</f>
        <v>9047.0198042508837</v>
      </c>
      <c r="I10" s="210">
        <f t="shared" si="1"/>
        <v>10439.963494187623</v>
      </c>
      <c r="J10" s="210">
        <f t="shared" si="1"/>
        <v>11998.154898813005</v>
      </c>
      <c r="K10" s="210">
        <f t="shared" si="1"/>
        <v>13326.557358260632</v>
      </c>
      <c r="L10" s="210">
        <f t="shared" si="1"/>
        <v>15292.430075541373</v>
      </c>
      <c r="M10" s="210">
        <f t="shared" si="1"/>
        <v>0</v>
      </c>
      <c r="N10" s="210">
        <f t="shared" si="1"/>
        <v>0</v>
      </c>
      <c r="O10" s="210">
        <f t="shared" si="1"/>
        <v>0</v>
      </c>
      <c r="P10" s="210">
        <f t="shared" si="1"/>
        <v>0</v>
      </c>
      <c r="Q10" s="210">
        <f t="shared" si="1"/>
        <v>0</v>
      </c>
    </row>
    <row r="11" spans="2:17">
      <c r="B11" s="16" t="s">
        <v>275</v>
      </c>
      <c r="C11" s="201"/>
      <c r="D11" s="201"/>
      <c r="E11" s="201"/>
      <c r="F11" s="201"/>
      <c r="G11" s="201"/>
      <c r="H11" s="18"/>
      <c r="I11" s="18"/>
      <c r="J11" s="18"/>
      <c r="K11" s="18"/>
      <c r="L11" s="18"/>
      <c r="M11" s="18"/>
      <c r="N11" s="18"/>
      <c r="O11" s="18"/>
      <c r="P11" s="18"/>
      <c r="Q11" s="18"/>
    </row>
    <row r="12" spans="2:17">
      <c r="B12" s="39" t="str">
        <f>Assumptions!B296</f>
        <v>Property, Plant, and Equipment</v>
      </c>
      <c r="C12" s="201">
        <f>Assumptions!D296</f>
        <v>7282</v>
      </c>
      <c r="D12" s="201">
        <f>Assumptions!E296</f>
        <v>8128</v>
      </c>
      <c r="E12" s="201">
        <f>Assumptions!F296</f>
        <v>8368</v>
      </c>
      <c r="F12" s="201">
        <f>Assumptions!G296</f>
        <v>9192</v>
      </c>
      <c r="G12" s="201">
        <f>Assumptions!H296</f>
        <v>10178</v>
      </c>
      <c r="H12" s="211">
        <f>IF(H$3="",0,G12+H54-H55)</f>
        <v>10449.251644652697</v>
      </c>
      <c r="I12" s="211">
        <f t="shared" ref="I12:Q12" si="2">IF(I$3="",0,H12+I54-I55)</f>
        <v>10728.640838644977</v>
      </c>
      <c r="J12" s="211">
        <f t="shared" si="2"/>
        <v>11016.411708457024</v>
      </c>
      <c r="K12" s="211">
        <f t="shared" si="2"/>
        <v>11312.815704363433</v>
      </c>
      <c r="L12" s="211">
        <f t="shared" si="2"/>
        <v>11618.111820147034</v>
      </c>
      <c r="M12" s="211">
        <f t="shared" si="2"/>
        <v>0</v>
      </c>
      <c r="N12" s="211">
        <f t="shared" si="2"/>
        <v>0</v>
      </c>
      <c r="O12" s="211">
        <f t="shared" si="2"/>
        <v>0</v>
      </c>
      <c r="P12" s="211">
        <f t="shared" si="2"/>
        <v>0</v>
      </c>
      <c r="Q12" s="211">
        <f t="shared" si="2"/>
        <v>0</v>
      </c>
    </row>
    <row r="13" spans="2:17">
      <c r="B13" s="39" t="str">
        <f>Assumptions!B299</f>
        <v>Long-Term Investments and Receivables</v>
      </c>
      <c r="C13" s="201">
        <f>Assumptions!D299</f>
        <v>0</v>
      </c>
      <c r="D13" s="201">
        <f>Assumptions!E299</f>
        <v>0</v>
      </c>
      <c r="E13" s="201">
        <f>Assumptions!F299</f>
        <v>0</v>
      </c>
      <c r="F13" s="201">
        <f>Assumptions!G299</f>
        <v>0</v>
      </c>
      <c r="G13" s="201">
        <f>Assumptions!H299</f>
        <v>0</v>
      </c>
      <c r="H13" s="18">
        <f>IF(H$3="",0,G13)</f>
        <v>0</v>
      </c>
      <c r="I13" s="18">
        <f t="shared" ref="I13:Q13" si="3">IF(I$3="",0,H13)</f>
        <v>0</v>
      </c>
      <c r="J13" s="18">
        <f t="shared" si="3"/>
        <v>0</v>
      </c>
      <c r="K13" s="18">
        <f t="shared" si="3"/>
        <v>0</v>
      </c>
      <c r="L13" s="18">
        <f t="shared" si="3"/>
        <v>0</v>
      </c>
      <c r="M13" s="18">
        <f t="shared" si="3"/>
        <v>0</v>
      </c>
      <c r="N13" s="18">
        <f t="shared" si="3"/>
        <v>0</v>
      </c>
      <c r="O13" s="18">
        <f t="shared" si="3"/>
        <v>0</v>
      </c>
      <c r="P13" s="18">
        <f t="shared" si="3"/>
        <v>0</v>
      </c>
      <c r="Q13" s="18">
        <f t="shared" si="3"/>
        <v>0</v>
      </c>
    </row>
    <row r="14" spans="2:17">
      <c r="B14" s="39" t="str">
        <f>Assumptions!B302</f>
        <v>Other Long-Term Assets</v>
      </c>
      <c r="C14" s="201">
        <f>Assumptions!D302</f>
        <v>18646</v>
      </c>
      <c r="D14" s="201">
        <f>Assumptions!E302</f>
        <v>18730</v>
      </c>
      <c r="E14" s="201">
        <f>Assumptions!F302</f>
        <v>18119</v>
      </c>
      <c r="F14" s="201">
        <f>Assumptions!G302</f>
        <v>17999</v>
      </c>
      <c r="G14" s="201">
        <f>Assumptions!H302</f>
        <v>17351</v>
      </c>
      <c r="H14" s="18">
        <f>IF(H$3="",0,G14)</f>
        <v>17351</v>
      </c>
      <c r="I14" s="18">
        <f t="shared" ref="I14:Q14" si="4">IF(I$3="",0,H14)</f>
        <v>17351</v>
      </c>
      <c r="J14" s="18">
        <f t="shared" si="4"/>
        <v>17351</v>
      </c>
      <c r="K14" s="18">
        <f t="shared" si="4"/>
        <v>17351</v>
      </c>
      <c r="L14" s="18">
        <f t="shared" si="4"/>
        <v>17351</v>
      </c>
      <c r="M14" s="18">
        <f t="shared" si="4"/>
        <v>0</v>
      </c>
      <c r="N14" s="18">
        <f t="shared" si="4"/>
        <v>0</v>
      </c>
      <c r="O14" s="18">
        <f t="shared" si="4"/>
        <v>0</v>
      </c>
      <c r="P14" s="18">
        <f t="shared" si="4"/>
        <v>0</v>
      </c>
      <c r="Q14" s="18">
        <f t="shared" si="4"/>
        <v>0</v>
      </c>
    </row>
    <row r="15" spans="2:17">
      <c r="B15" s="16" t="str">
        <f>"Total "&amp;B11</f>
        <v>Total Non-Current Assets</v>
      </c>
      <c r="C15" s="202">
        <f>SUM(C12:C14)</f>
        <v>25928</v>
      </c>
      <c r="D15" s="202">
        <f t="shared" ref="D15:G15" si="5">SUM(D12:D14)</f>
        <v>26858</v>
      </c>
      <c r="E15" s="202">
        <f t="shared" si="5"/>
        <v>26487</v>
      </c>
      <c r="F15" s="202">
        <f t="shared" si="5"/>
        <v>27191</v>
      </c>
      <c r="G15" s="202">
        <f t="shared" si="5"/>
        <v>27529</v>
      </c>
      <c r="H15" s="19">
        <f t="shared" ref="H15:Q15" si="6">SUM(H12:H14)</f>
        <v>27800.251644652697</v>
      </c>
      <c r="I15" s="19">
        <f t="shared" si="6"/>
        <v>28079.640838644977</v>
      </c>
      <c r="J15" s="19">
        <f t="shared" si="6"/>
        <v>28367.411708457024</v>
      </c>
      <c r="K15" s="19">
        <f t="shared" si="6"/>
        <v>28663.815704363435</v>
      </c>
      <c r="L15" s="19">
        <f t="shared" si="6"/>
        <v>28969.111820147034</v>
      </c>
      <c r="M15" s="19">
        <f t="shared" si="6"/>
        <v>0</v>
      </c>
      <c r="N15" s="19">
        <f t="shared" si="6"/>
        <v>0</v>
      </c>
      <c r="O15" s="19">
        <f t="shared" si="6"/>
        <v>0</v>
      </c>
      <c r="P15" s="19">
        <f t="shared" si="6"/>
        <v>0</v>
      </c>
      <c r="Q15" s="19">
        <f t="shared" si="6"/>
        <v>0</v>
      </c>
    </row>
    <row r="16" spans="2:17" ht="12" thickBot="1">
      <c r="B16" s="53" t="str">
        <f>"Total "&amp;B4</f>
        <v>Total Assets</v>
      </c>
      <c r="C16" s="203">
        <f>SUM(C10,C15)</f>
        <v>32930</v>
      </c>
      <c r="D16" s="203">
        <f t="shared" ref="D16:H16" si="7">SUM(D10,D15)</f>
        <v>33184</v>
      </c>
      <c r="E16" s="203">
        <f t="shared" si="7"/>
        <v>36030</v>
      </c>
      <c r="F16" s="203">
        <f t="shared" si="7"/>
        <v>35950</v>
      </c>
      <c r="G16" s="203">
        <f t="shared" si="7"/>
        <v>35664</v>
      </c>
      <c r="H16" s="54">
        <f t="shared" si="7"/>
        <v>36847.271448903579</v>
      </c>
      <c r="I16" s="54">
        <f t="shared" ref="I16:Q16" si="8">SUM(I10,I15)</f>
        <v>38519.604332832598</v>
      </c>
      <c r="J16" s="54">
        <f t="shared" si="8"/>
        <v>40365.566607270026</v>
      </c>
      <c r="K16" s="54">
        <f t="shared" si="8"/>
        <v>41990.373062624065</v>
      </c>
      <c r="L16" s="54">
        <f t="shared" si="8"/>
        <v>44261.54189568841</v>
      </c>
      <c r="M16" s="54">
        <f t="shared" si="8"/>
        <v>0</v>
      </c>
      <c r="N16" s="54">
        <f t="shared" si="8"/>
        <v>0</v>
      </c>
      <c r="O16" s="54">
        <f t="shared" si="8"/>
        <v>0</v>
      </c>
      <c r="P16" s="54">
        <f t="shared" si="8"/>
        <v>0</v>
      </c>
      <c r="Q16" s="54">
        <f t="shared" si="8"/>
        <v>0</v>
      </c>
    </row>
    <row r="17" spans="2:17">
      <c r="C17" s="201"/>
      <c r="D17" s="201"/>
      <c r="E17" s="201"/>
      <c r="F17" s="201"/>
      <c r="G17" s="201"/>
      <c r="H17" s="18"/>
      <c r="I17" s="18"/>
      <c r="J17" s="18"/>
      <c r="K17" s="18"/>
      <c r="L17" s="18"/>
      <c r="M17" s="18"/>
      <c r="N17" s="18"/>
      <c r="O17" s="18"/>
      <c r="P17" s="18"/>
      <c r="Q17" s="18"/>
    </row>
    <row r="18" spans="2:17">
      <c r="C18" s="201"/>
      <c r="D18" s="201"/>
      <c r="E18" s="201"/>
      <c r="F18" s="201"/>
      <c r="G18" s="201"/>
      <c r="H18" s="18"/>
      <c r="I18" s="18"/>
      <c r="J18" s="18"/>
      <c r="K18" s="18"/>
      <c r="L18" s="18"/>
      <c r="M18" s="18"/>
      <c r="N18" s="18"/>
      <c r="O18" s="18"/>
      <c r="P18" s="18"/>
      <c r="Q18" s="18"/>
    </row>
    <row r="19" spans="2:17">
      <c r="B19" s="14" t="s">
        <v>276</v>
      </c>
      <c r="C19" s="201"/>
      <c r="D19" s="201"/>
      <c r="E19" s="201"/>
      <c r="F19" s="201"/>
      <c r="G19" s="201"/>
      <c r="H19" s="18"/>
      <c r="I19" s="18"/>
      <c r="J19" s="18"/>
      <c r="K19" s="18"/>
      <c r="L19" s="18"/>
      <c r="M19" s="18"/>
      <c r="N19" s="18"/>
      <c r="O19" s="18"/>
      <c r="P19" s="18"/>
      <c r="Q19" s="18"/>
    </row>
    <row r="20" spans="2:17">
      <c r="B20" s="16" t="s">
        <v>277</v>
      </c>
      <c r="C20" s="201"/>
      <c r="D20" s="201"/>
      <c r="E20" s="201"/>
      <c r="F20" s="201"/>
      <c r="G20" s="201"/>
      <c r="H20" s="18"/>
      <c r="I20" s="18"/>
      <c r="J20" s="18"/>
      <c r="K20" s="18"/>
      <c r="L20" s="18"/>
      <c r="M20" s="18"/>
      <c r="N20" s="18"/>
      <c r="O20" s="18"/>
      <c r="P20" s="18"/>
      <c r="Q20" s="18"/>
    </row>
    <row r="21" spans="2:17">
      <c r="B21" s="39" t="str">
        <f>Assumptions!B305</f>
        <v>Payables and Accruals</v>
      </c>
      <c r="C21" s="201">
        <f>Assumptions!D305</f>
        <v>1926</v>
      </c>
      <c r="D21" s="201">
        <f>Assumptions!E305</f>
        <v>1876</v>
      </c>
      <c r="E21" s="201">
        <f>Assumptions!F305</f>
        <v>2225</v>
      </c>
      <c r="F21" s="201">
        <f>Assumptions!G305</f>
        <v>2483</v>
      </c>
      <c r="G21" s="201">
        <f>Assumptions!H305</f>
        <v>2594</v>
      </c>
      <c r="H21" s="211">
        <f>IF(H$3="",0,+G21*(1+'IS Bull'!H$10))</f>
        <v>2498.651523840088</v>
      </c>
      <c r="I21" s="211">
        <f>IF(I$3="",0,+H21*(1+'IS Bull'!I$10))</f>
        <v>2573.6110695552907</v>
      </c>
      <c r="J21" s="211">
        <f>IF(J$3="",0,+I21*(1+'IS Bull'!J$10))</f>
        <v>2650.8194016419493</v>
      </c>
      <c r="K21" s="211">
        <f>IF(K$3="",0,+J21*(1+'IS Bull'!K$10))</f>
        <v>2730.343983691208</v>
      </c>
      <c r="L21" s="211">
        <f>IF(L$3="",0,+K21*(1+'IS Bull'!L$10))</f>
        <v>2812.2543032019444</v>
      </c>
      <c r="M21" s="211">
        <f>IF(M$3="",0,+L21*(1+'IS Bull'!M$10))</f>
        <v>0</v>
      </c>
      <c r="N21" s="211">
        <f>IF(N$3="",0,+M21*(1+'IS Bull'!N$10))</f>
        <v>0</v>
      </c>
      <c r="O21" s="211">
        <f>IF(O$3="",0,+N21*(1+'IS Bull'!O$10))</f>
        <v>0</v>
      </c>
      <c r="P21" s="211">
        <f>IF(P$3="",0,+O21*(1+'IS Bull'!P$10))</f>
        <v>0</v>
      </c>
      <c r="Q21" s="211">
        <f>IF(Q$3="",0,+P21*(1+'IS Bull'!Q$10))</f>
        <v>0</v>
      </c>
    </row>
    <row r="22" spans="2:17">
      <c r="B22" s="39" t="str">
        <f>Assumptions!B308</f>
        <v>Short-Term Debt</v>
      </c>
      <c r="C22" s="201">
        <f>Assumptions!D308</f>
        <v>2102</v>
      </c>
      <c r="D22" s="201">
        <f>Assumptions!E308</f>
        <v>709</v>
      </c>
      <c r="E22" s="201">
        <f>Assumptions!F308</f>
        <v>1222</v>
      </c>
      <c r="F22" s="201">
        <f>Assumptions!G308</f>
        <v>604</v>
      </c>
      <c r="G22" s="201">
        <f>Assumptions!H308</f>
        <v>2048</v>
      </c>
      <c r="H22" s="211">
        <f>IF(H$3="",0,(Assumptions!I$162*Assumptions!I$161)+'CF Bull'!H$23)</f>
        <v>1036.056683415103</v>
      </c>
      <c r="I22" s="211">
        <f>IF(I$3="",0,(Assumptions!J$162*Assumptions!J$161)+'CF Bull'!I$23)</f>
        <v>625.89668341510287</v>
      </c>
      <c r="J22" s="211">
        <f>IF(J$3="",0,(Assumptions!K$162*Assumptions!K$161)+'CF Bull'!J$23)</f>
        <v>646.30468341510289</v>
      </c>
      <c r="K22" s="211">
        <f>IF(K$3="",0,(Assumptions!L$162*Assumptions!L$161)+'CF Bull'!K$23)</f>
        <v>945.79428341510288</v>
      </c>
      <c r="L22" s="211">
        <f>IF(L$3="",0,(Assumptions!M$162*Assumptions!M$161)+'CF Bull'!L$23)</f>
        <v>1113.3818034151029</v>
      </c>
      <c r="M22" s="211">
        <f>IF(M$3="",0,(Assumptions!N$162*Assumptions!N$161)+'CF Bull'!M$23)</f>
        <v>0</v>
      </c>
      <c r="N22" s="211">
        <f>IF(N$3="",0,(Assumptions!O$162*Assumptions!O$161)+'CF Bull'!N$23)</f>
        <v>0</v>
      </c>
      <c r="O22" s="211">
        <f>IF(O$3="",0,(Assumptions!P$162*Assumptions!P$161)+'CF Bull'!O$23)</f>
        <v>0</v>
      </c>
      <c r="P22" s="211">
        <f>IF(P$3="",0,(Assumptions!Q$162*Assumptions!Q$161)+'CF Bull'!P$23)</f>
        <v>0</v>
      </c>
      <c r="Q22" s="211">
        <f>IF(Q$3="",0,(Assumptions!R$162*Assumptions!R$161)+'CF Bull'!Q$23)</f>
        <v>0</v>
      </c>
    </row>
    <row r="23" spans="2:17">
      <c r="B23" s="39" t="str">
        <f>Assumptions!B311</f>
        <v>Other Short-Term Liabilities</v>
      </c>
      <c r="C23" s="201">
        <f>Assumptions!D311</f>
        <v>1485</v>
      </c>
      <c r="D23" s="201">
        <f>Assumptions!E311</f>
        <v>1649</v>
      </c>
      <c r="E23" s="201">
        <f>Assumptions!F311</f>
        <v>2878</v>
      </c>
      <c r="F23" s="201">
        <f>Assumptions!G311</f>
        <v>2226</v>
      </c>
      <c r="G23" s="201">
        <f>Assumptions!H311</f>
        <v>1857</v>
      </c>
      <c r="H23" s="211">
        <f>IF(H$3="",0,G23*(1+Assumptions!I139))</f>
        <v>1912.71</v>
      </c>
      <c r="I23" s="211">
        <f>IF(I$3="",0,H23*(1+Assumptions!J139))</f>
        <v>1970.0913</v>
      </c>
      <c r="J23" s="211">
        <f>IF(J$3="",0,I23*(1+Assumptions!K139))</f>
        <v>2029.1940390000002</v>
      </c>
      <c r="K23" s="211">
        <f>IF(K$3="",0,J23*(1+Assumptions!L139))</f>
        <v>2090.0698601700001</v>
      </c>
      <c r="L23" s="211">
        <f>IF(L$3="",0,K23*(1+Assumptions!M139))</f>
        <v>2152.7719559751004</v>
      </c>
      <c r="M23" s="211">
        <f>IF(M$3="",0,L23*(1+Assumptions!N139))</f>
        <v>0</v>
      </c>
      <c r="N23" s="211">
        <f>IF(N$3="",0,M23*(1+Assumptions!O139))</f>
        <v>0</v>
      </c>
      <c r="O23" s="211">
        <f>IF(O$3="",0,N23*(1+Assumptions!P139))</f>
        <v>0</v>
      </c>
      <c r="P23" s="211">
        <f>IF(P$3="",0,O23*(1+Assumptions!Q139))</f>
        <v>0</v>
      </c>
      <c r="Q23" s="211">
        <f>IF(Q$3="",0,P23*(1+Assumptions!R139))</f>
        <v>0</v>
      </c>
    </row>
    <row r="24" spans="2:17">
      <c r="B24" s="16" t="str">
        <f>"Total "&amp;B20</f>
        <v>Total Current Liabilities</v>
      </c>
      <c r="C24" s="209">
        <f>SUM(C21:C23)</f>
        <v>5513</v>
      </c>
      <c r="D24" s="209">
        <f t="shared" ref="D24:G24" si="9">SUM(D21:D23)</f>
        <v>4234</v>
      </c>
      <c r="E24" s="209">
        <f t="shared" si="9"/>
        <v>6325</v>
      </c>
      <c r="F24" s="209">
        <f t="shared" si="9"/>
        <v>5313</v>
      </c>
      <c r="G24" s="209">
        <f t="shared" si="9"/>
        <v>6499</v>
      </c>
      <c r="H24" s="210">
        <f t="shared" ref="H24:Q24" si="10">SUM(H21:H23)</f>
        <v>5447.4182072551912</v>
      </c>
      <c r="I24" s="210">
        <f t="shared" si="10"/>
        <v>5169.599052970394</v>
      </c>
      <c r="J24" s="210">
        <f t="shared" si="10"/>
        <v>5326.318124057052</v>
      </c>
      <c r="K24" s="210">
        <f t="shared" si="10"/>
        <v>5766.2081272763116</v>
      </c>
      <c r="L24" s="210">
        <f t="shared" si="10"/>
        <v>6078.4080625921479</v>
      </c>
      <c r="M24" s="210">
        <f t="shared" si="10"/>
        <v>0</v>
      </c>
      <c r="N24" s="210">
        <f t="shared" si="10"/>
        <v>0</v>
      </c>
      <c r="O24" s="210">
        <f t="shared" si="10"/>
        <v>0</v>
      </c>
      <c r="P24" s="210">
        <f t="shared" si="10"/>
        <v>0</v>
      </c>
      <c r="Q24" s="210">
        <f t="shared" si="10"/>
        <v>0</v>
      </c>
    </row>
    <row r="25" spans="2:17">
      <c r="B25" s="16" t="s">
        <v>278</v>
      </c>
      <c r="C25" s="201"/>
      <c r="D25" s="201"/>
      <c r="E25" s="201"/>
      <c r="F25" s="201"/>
      <c r="G25" s="201"/>
      <c r="H25" s="18"/>
      <c r="I25" s="18"/>
      <c r="J25" s="18"/>
      <c r="K25" s="18"/>
      <c r="L25" s="18"/>
      <c r="M25" s="18"/>
      <c r="N25" s="18"/>
      <c r="O25" s="18"/>
      <c r="P25" s="18"/>
      <c r="Q25" s="18"/>
    </row>
    <row r="26" spans="2:17">
      <c r="B26" s="39" t="str">
        <f>Assumptions!B314</f>
        <v>Long-Term Debt</v>
      </c>
      <c r="C26" s="201">
        <f>Assumptions!D314</f>
        <v>9830</v>
      </c>
      <c r="D26" s="201">
        <f>Assumptions!E314</f>
        <v>11159</v>
      </c>
      <c r="E26" s="201">
        <f>Assumptions!F314</f>
        <v>8649</v>
      </c>
      <c r="F26" s="201">
        <f>Assumptions!G314</f>
        <v>8212</v>
      </c>
      <c r="G26" s="201">
        <f>Assumptions!H314</f>
        <v>7987</v>
      </c>
      <c r="H26" s="18">
        <f>IF(H$3="",0,G26)</f>
        <v>7987</v>
      </c>
      <c r="I26" s="18">
        <f t="shared" ref="I26:Q26" si="11">IF(I$3="",0,H26)</f>
        <v>7987</v>
      </c>
      <c r="J26" s="18">
        <f t="shared" si="11"/>
        <v>7987</v>
      </c>
      <c r="K26" s="18">
        <f t="shared" si="11"/>
        <v>7987</v>
      </c>
      <c r="L26" s="18">
        <f t="shared" si="11"/>
        <v>7987</v>
      </c>
      <c r="M26" s="18">
        <f t="shared" si="11"/>
        <v>0</v>
      </c>
      <c r="N26" s="18">
        <f t="shared" si="11"/>
        <v>0</v>
      </c>
      <c r="O26" s="18">
        <f t="shared" si="11"/>
        <v>0</v>
      </c>
      <c r="P26" s="18">
        <f t="shared" si="11"/>
        <v>0</v>
      </c>
      <c r="Q26" s="18">
        <f t="shared" si="11"/>
        <v>0</v>
      </c>
    </row>
    <row r="27" spans="2:17">
      <c r="B27" s="39" t="str">
        <f>Assumptions!B317</f>
        <v>Other Long-Term Liabilities</v>
      </c>
      <c r="C27" s="201">
        <f>Assumptions!D317</f>
        <v>3528</v>
      </c>
      <c r="D27" s="201">
        <f>Assumptions!E317</f>
        <v>3677</v>
      </c>
      <c r="E27" s="201">
        <f>Assumptions!F317</f>
        <v>3481</v>
      </c>
      <c r="F27" s="201">
        <f>Assumptions!G317</f>
        <v>3485</v>
      </c>
      <c r="G27" s="201">
        <f>Assumptions!H317</f>
        <v>3510</v>
      </c>
      <c r="H27" s="18">
        <f>IF(H$3="",0,G27)</f>
        <v>3510</v>
      </c>
      <c r="I27" s="18">
        <f t="shared" ref="I27:Q27" si="12">IF(I$3="",0,H27)</f>
        <v>3510</v>
      </c>
      <c r="J27" s="18">
        <f t="shared" si="12"/>
        <v>3510</v>
      </c>
      <c r="K27" s="18">
        <f t="shared" si="12"/>
        <v>3510</v>
      </c>
      <c r="L27" s="18">
        <f t="shared" si="12"/>
        <v>3510</v>
      </c>
      <c r="M27" s="18">
        <f t="shared" si="12"/>
        <v>0</v>
      </c>
      <c r="N27" s="18">
        <f t="shared" si="12"/>
        <v>0</v>
      </c>
      <c r="O27" s="18">
        <f t="shared" si="12"/>
        <v>0</v>
      </c>
      <c r="P27" s="18">
        <f t="shared" si="12"/>
        <v>0</v>
      </c>
      <c r="Q27" s="18">
        <f t="shared" si="12"/>
        <v>0</v>
      </c>
    </row>
    <row r="28" spans="2:17">
      <c r="B28" s="16" t="str">
        <f>"Total "&amp;B25</f>
        <v>Total Non-Current Liabilities</v>
      </c>
      <c r="C28" s="202">
        <f>SUM(C26:C27)</f>
        <v>13358</v>
      </c>
      <c r="D28" s="202">
        <f t="shared" ref="D28:G28" si="13">SUM(D26:D27)</f>
        <v>14836</v>
      </c>
      <c r="E28" s="202">
        <f t="shared" si="13"/>
        <v>12130</v>
      </c>
      <c r="F28" s="202">
        <f t="shared" si="13"/>
        <v>11697</v>
      </c>
      <c r="G28" s="202">
        <f t="shared" si="13"/>
        <v>11497</v>
      </c>
      <c r="H28" s="19">
        <f t="shared" ref="H28:Q28" si="14">SUM(H26:H27)</f>
        <v>11497</v>
      </c>
      <c r="I28" s="19">
        <f t="shared" si="14"/>
        <v>11497</v>
      </c>
      <c r="J28" s="19">
        <f t="shared" si="14"/>
        <v>11497</v>
      </c>
      <c r="K28" s="19">
        <f t="shared" si="14"/>
        <v>11497</v>
      </c>
      <c r="L28" s="19">
        <f t="shared" si="14"/>
        <v>11497</v>
      </c>
      <c r="M28" s="19">
        <f t="shared" si="14"/>
        <v>0</v>
      </c>
      <c r="N28" s="19">
        <f t="shared" si="14"/>
        <v>0</v>
      </c>
      <c r="O28" s="19">
        <f t="shared" si="14"/>
        <v>0</v>
      </c>
      <c r="P28" s="19">
        <f t="shared" si="14"/>
        <v>0</v>
      </c>
      <c r="Q28" s="19">
        <f t="shared" si="14"/>
        <v>0</v>
      </c>
    </row>
    <row r="29" spans="2:17">
      <c r="B29" s="43" t="str">
        <f>"Total "&amp;B19</f>
        <v>Total Liabilities</v>
      </c>
      <c r="C29" s="204">
        <f>SUM(C24,C28)</f>
        <v>18871</v>
      </c>
      <c r="D29" s="204">
        <f t="shared" ref="D29:H29" si="15">SUM(D24,D28)</f>
        <v>19070</v>
      </c>
      <c r="E29" s="204">
        <f t="shared" si="15"/>
        <v>18455</v>
      </c>
      <c r="F29" s="204">
        <f t="shared" si="15"/>
        <v>17010</v>
      </c>
      <c r="G29" s="204">
        <f t="shared" si="15"/>
        <v>17996</v>
      </c>
      <c r="H29" s="44">
        <f t="shared" si="15"/>
        <v>16944.418207255192</v>
      </c>
      <c r="I29" s="44">
        <f t="shared" ref="I29:Q29" si="16">SUM(I24,I28)</f>
        <v>16666.599052970392</v>
      </c>
      <c r="J29" s="44">
        <f t="shared" si="16"/>
        <v>16823.318124057052</v>
      </c>
      <c r="K29" s="44">
        <f t="shared" si="16"/>
        <v>17263.20812727631</v>
      </c>
      <c r="L29" s="44">
        <f t="shared" si="16"/>
        <v>17575.408062592149</v>
      </c>
      <c r="M29" s="44">
        <f t="shared" si="16"/>
        <v>0</v>
      </c>
      <c r="N29" s="44">
        <f t="shared" si="16"/>
        <v>0</v>
      </c>
      <c r="O29" s="44">
        <f t="shared" si="16"/>
        <v>0</v>
      </c>
      <c r="P29" s="44">
        <f t="shared" si="16"/>
        <v>0</v>
      </c>
      <c r="Q29" s="44">
        <f t="shared" si="16"/>
        <v>0</v>
      </c>
    </row>
    <row r="30" spans="2:17">
      <c r="C30" s="201"/>
      <c r="D30" s="201"/>
      <c r="E30" s="201"/>
      <c r="F30" s="201"/>
      <c r="G30" s="201"/>
      <c r="H30" s="18"/>
      <c r="I30" s="18"/>
      <c r="J30" s="18"/>
      <c r="K30" s="18"/>
      <c r="L30" s="18"/>
      <c r="M30" s="18"/>
      <c r="N30" s="18"/>
      <c r="O30" s="18"/>
      <c r="P30" s="18"/>
      <c r="Q30" s="18"/>
    </row>
    <row r="31" spans="2:17">
      <c r="C31" s="201"/>
      <c r="D31" s="201"/>
      <c r="E31" s="201"/>
      <c r="F31" s="201"/>
      <c r="G31" s="201"/>
      <c r="H31" s="18"/>
      <c r="I31" s="18"/>
      <c r="J31" s="18"/>
      <c r="K31" s="18"/>
      <c r="L31" s="18"/>
      <c r="M31" s="18"/>
      <c r="N31" s="18"/>
      <c r="O31" s="18"/>
      <c r="P31" s="18"/>
      <c r="Q31" s="18"/>
    </row>
    <row r="32" spans="2:17">
      <c r="B32" s="14" t="s">
        <v>279</v>
      </c>
      <c r="C32" s="201"/>
      <c r="D32" s="201"/>
      <c r="E32" s="201"/>
      <c r="F32" s="201"/>
      <c r="G32" s="201"/>
      <c r="H32" s="18"/>
      <c r="I32" s="18"/>
      <c r="J32" s="18"/>
      <c r="K32" s="18"/>
      <c r="L32" s="18"/>
      <c r="M32" s="18"/>
      <c r="N32" s="18"/>
      <c r="O32" s="18"/>
      <c r="P32" s="18"/>
      <c r="Q32" s="18"/>
    </row>
    <row r="33" spans="2:17">
      <c r="B33" s="35" t="str">
        <f>Assumptions!B326</f>
        <v>Retained Earnings</v>
      </c>
      <c r="C33" s="201">
        <f>Assumptions!D326</f>
        <v>13787</v>
      </c>
      <c r="D33" s="201">
        <f>Assumptions!E326</f>
        <v>15100</v>
      </c>
      <c r="E33" s="201">
        <f>Assumptions!F326</f>
        <v>17502</v>
      </c>
      <c r="F33" s="201">
        <f>Assumptions!G326</f>
        <v>20084</v>
      </c>
      <c r="G33" s="201">
        <f>Assumptions!H326</f>
        <v>18760</v>
      </c>
      <c r="H33" s="211">
        <f>IF(H$3="",0,G33+H56+H57)</f>
        <v>21191.484425380069</v>
      </c>
      <c r="I33" s="211">
        <f t="shared" ref="I33:Q33" si="17">IF(I$3="",0,H33+I56+I57)</f>
        <v>23717.683698603381</v>
      </c>
      <c r="J33" s="211">
        <f t="shared" si="17"/>
        <v>26327.278354013935</v>
      </c>
      <c r="K33" s="211">
        <f t="shared" si="17"/>
        <v>29013.866161770289</v>
      </c>
      <c r="L33" s="211">
        <f t="shared" si="17"/>
        <v>31784.261787809017</v>
      </c>
      <c r="M33" s="211">
        <f t="shared" si="17"/>
        <v>0</v>
      </c>
      <c r="N33" s="211">
        <f t="shared" si="17"/>
        <v>0</v>
      </c>
      <c r="O33" s="211">
        <f t="shared" si="17"/>
        <v>0</v>
      </c>
      <c r="P33" s="211">
        <f t="shared" si="17"/>
        <v>0</v>
      </c>
      <c r="Q33" s="211">
        <f t="shared" si="17"/>
        <v>0</v>
      </c>
    </row>
    <row r="34" spans="2:17">
      <c r="B34" s="35" t="str">
        <f>Assumptions!B320</f>
        <v>Preferred and Hybrid Capital</v>
      </c>
      <c r="C34" s="201">
        <f>Assumptions!D320</f>
        <v>0</v>
      </c>
      <c r="D34" s="201">
        <f>Assumptions!E320</f>
        <v>0</v>
      </c>
      <c r="E34" s="201">
        <f>Assumptions!F320</f>
        <v>0</v>
      </c>
      <c r="F34" s="201">
        <f>Assumptions!G320</f>
        <v>0</v>
      </c>
      <c r="G34" s="201">
        <f>Assumptions!H320</f>
        <v>0</v>
      </c>
      <c r="H34" s="18">
        <f>IF(H$3="",0,G34)</f>
        <v>0</v>
      </c>
      <c r="I34" s="18">
        <f t="shared" ref="I34:Q34" si="18">IF(I$3="",0,H34)</f>
        <v>0</v>
      </c>
      <c r="J34" s="18">
        <f t="shared" si="18"/>
        <v>0</v>
      </c>
      <c r="K34" s="18">
        <f t="shared" si="18"/>
        <v>0</v>
      </c>
      <c r="L34" s="18">
        <f t="shared" si="18"/>
        <v>0</v>
      </c>
      <c r="M34" s="18">
        <f t="shared" si="18"/>
        <v>0</v>
      </c>
      <c r="N34" s="18">
        <f t="shared" si="18"/>
        <v>0</v>
      </c>
      <c r="O34" s="18">
        <f t="shared" si="18"/>
        <v>0</v>
      </c>
      <c r="P34" s="18">
        <f t="shared" si="18"/>
        <v>0</v>
      </c>
      <c r="Q34" s="18">
        <f t="shared" si="18"/>
        <v>0</v>
      </c>
    </row>
    <row r="35" spans="2:17">
      <c r="B35" s="35" t="str">
        <f>Assumptions!B323</f>
        <v>Share Capital and Additional Paid in Capital</v>
      </c>
      <c r="C35" s="201">
        <f>Assumptions!D323</f>
        <v>4423</v>
      </c>
      <c r="D35" s="201">
        <f>Assumptions!E323</f>
        <v>4478</v>
      </c>
      <c r="E35" s="201">
        <f>Assumptions!F323</f>
        <v>4531</v>
      </c>
      <c r="F35" s="201">
        <f>Assumptions!G323</f>
        <v>4598</v>
      </c>
      <c r="G35" s="201">
        <f>Assumptions!H323</f>
        <v>4605</v>
      </c>
      <c r="H35" s="18">
        <f>IF(H$3="",0,G35)</f>
        <v>4605</v>
      </c>
      <c r="I35" s="18">
        <f t="shared" ref="I35:Q35" si="19">IF(I$3="",0,H35)</f>
        <v>4605</v>
      </c>
      <c r="J35" s="18">
        <f t="shared" si="19"/>
        <v>4605</v>
      </c>
      <c r="K35" s="18">
        <f t="shared" si="19"/>
        <v>4605</v>
      </c>
      <c r="L35" s="18">
        <f t="shared" si="19"/>
        <v>4605</v>
      </c>
      <c r="M35" s="18">
        <f t="shared" si="19"/>
        <v>0</v>
      </c>
      <c r="N35" s="18">
        <f t="shared" si="19"/>
        <v>0</v>
      </c>
      <c r="O35" s="18">
        <f t="shared" si="19"/>
        <v>0</v>
      </c>
      <c r="P35" s="18">
        <f t="shared" si="19"/>
        <v>0</v>
      </c>
      <c r="Q35" s="18">
        <f t="shared" si="19"/>
        <v>0</v>
      </c>
    </row>
    <row r="36" spans="2:17">
      <c r="B36" s="35" t="str">
        <f>Assumptions!B329</f>
        <v>Other Equity</v>
      </c>
      <c r="C36" s="201">
        <f>Assumptions!D329</f>
        <v>-117</v>
      </c>
      <c r="D36" s="201">
        <f>Assumptions!E329</f>
        <v>-179</v>
      </c>
      <c r="E36" s="201">
        <f>Assumptions!F329</f>
        <v>-172</v>
      </c>
      <c r="F36" s="201">
        <f>Assumptions!G329</f>
        <v>-297</v>
      </c>
      <c r="G36" s="201">
        <f>Assumptions!H329</f>
        <v>-260</v>
      </c>
      <c r="H36" s="18">
        <f>IF(H$3="",0,G36)</f>
        <v>-260</v>
      </c>
      <c r="I36" s="18">
        <f t="shared" ref="I36:Q36" si="20">IF(I$3="",0,H36)</f>
        <v>-260</v>
      </c>
      <c r="J36" s="18">
        <f t="shared" si="20"/>
        <v>-260</v>
      </c>
      <c r="K36" s="18">
        <f t="shared" si="20"/>
        <v>-260</v>
      </c>
      <c r="L36" s="18">
        <f t="shared" si="20"/>
        <v>-260</v>
      </c>
      <c r="M36" s="18">
        <f t="shared" si="20"/>
        <v>0</v>
      </c>
      <c r="N36" s="18">
        <f t="shared" si="20"/>
        <v>0</v>
      </c>
      <c r="O36" s="18">
        <f t="shared" si="20"/>
        <v>0</v>
      </c>
      <c r="P36" s="18">
        <f t="shared" si="20"/>
        <v>0</v>
      </c>
      <c r="Q36" s="18">
        <f t="shared" si="20"/>
        <v>0</v>
      </c>
    </row>
    <row r="37" spans="2:17">
      <c r="B37" s="35" t="str">
        <f>Assumptions!B332</f>
        <v>Minority and Non-Controlling Interest</v>
      </c>
      <c r="C37" s="201">
        <f>Assumptions!D332</f>
        <v>144</v>
      </c>
      <c r="D37" s="201">
        <f>Assumptions!E332</f>
        <v>132</v>
      </c>
      <c r="E37" s="201">
        <f>Assumptions!F332</f>
        <v>131</v>
      </c>
      <c r="F37" s="201">
        <f>Assumptions!G332</f>
        <v>109</v>
      </c>
      <c r="G37" s="201">
        <f>Assumptions!H332</f>
        <v>122</v>
      </c>
      <c r="H37" s="18">
        <f>IF(H$3="",0,G37)</f>
        <v>122</v>
      </c>
      <c r="I37" s="18">
        <f t="shared" ref="I37:Q37" si="21">IF(I$3="",0,H37)</f>
        <v>122</v>
      </c>
      <c r="J37" s="18">
        <f t="shared" si="21"/>
        <v>122</v>
      </c>
      <c r="K37" s="18">
        <f t="shared" si="21"/>
        <v>122</v>
      </c>
      <c r="L37" s="18">
        <f t="shared" si="21"/>
        <v>122</v>
      </c>
      <c r="M37" s="18">
        <f t="shared" si="21"/>
        <v>0</v>
      </c>
      <c r="N37" s="18">
        <f t="shared" si="21"/>
        <v>0</v>
      </c>
      <c r="O37" s="18">
        <f t="shared" si="21"/>
        <v>0</v>
      </c>
      <c r="P37" s="18">
        <f t="shared" si="21"/>
        <v>0</v>
      </c>
      <c r="Q37" s="18">
        <f t="shared" si="21"/>
        <v>0</v>
      </c>
    </row>
    <row r="38" spans="2:17">
      <c r="B38" s="35" t="str">
        <f>Assumptions!B335</f>
        <v>Treasury Stock</v>
      </c>
      <c r="C38" s="201">
        <f>Assumptions!D335</f>
        <v>4011</v>
      </c>
      <c r="D38" s="201">
        <f>Assumptions!E335</f>
        <v>4145</v>
      </c>
      <c r="E38" s="201">
        <f>Assumptions!F335</f>
        <v>4138</v>
      </c>
      <c r="F38" s="201">
        <f>Assumptions!G335</f>
        <v>4683</v>
      </c>
      <c r="G38" s="201">
        <f>Assumptions!H335</f>
        <v>4972</v>
      </c>
      <c r="H38" s="18">
        <f>IF(H$3="",0,G38)</f>
        <v>4972</v>
      </c>
      <c r="I38" s="18">
        <f t="shared" ref="I38:Q38" si="22">IF(I$3="",0,H38)</f>
        <v>4972</v>
      </c>
      <c r="J38" s="18">
        <f t="shared" si="22"/>
        <v>4972</v>
      </c>
      <c r="K38" s="18">
        <f t="shared" si="22"/>
        <v>4972</v>
      </c>
      <c r="L38" s="18">
        <f t="shared" si="22"/>
        <v>4972</v>
      </c>
      <c r="M38" s="18">
        <f t="shared" si="22"/>
        <v>0</v>
      </c>
      <c r="N38" s="18">
        <f t="shared" si="22"/>
        <v>0</v>
      </c>
      <c r="O38" s="18">
        <f t="shared" si="22"/>
        <v>0</v>
      </c>
      <c r="P38" s="18">
        <f t="shared" si="22"/>
        <v>0</v>
      </c>
      <c r="Q38" s="18">
        <f t="shared" si="22"/>
        <v>0</v>
      </c>
    </row>
    <row r="39" spans="2:17">
      <c r="B39" s="36" t="s">
        <v>280</v>
      </c>
      <c r="C39" s="205"/>
      <c r="D39" s="205"/>
      <c r="E39" s="205"/>
      <c r="F39" s="205"/>
      <c r="G39" s="205"/>
      <c r="H39" s="72"/>
      <c r="I39" s="72"/>
      <c r="J39" s="72"/>
      <c r="K39" s="72"/>
      <c r="L39" s="72"/>
      <c r="M39" s="72"/>
      <c r="N39" s="72"/>
      <c r="O39" s="72"/>
      <c r="P39" s="72"/>
      <c r="Q39" s="72"/>
    </row>
    <row r="40" spans="2:17">
      <c r="B40" s="43" t="str">
        <f>"Total "&amp;B32</f>
        <v>Total Equity</v>
      </c>
      <c r="C40" s="204">
        <f>SUM(C33:C37)-C38+C39</f>
        <v>14226</v>
      </c>
      <c r="D40" s="204">
        <f t="shared" ref="D40:H40" si="23">SUM(D33:D37)-D38+D39</f>
        <v>15386</v>
      </c>
      <c r="E40" s="204">
        <f t="shared" si="23"/>
        <v>17854</v>
      </c>
      <c r="F40" s="204">
        <f t="shared" si="23"/>
        <v>19811</v>
      </c>
      <c r="G40" s="204">
        <f t="shared" si="23"/>
        <v>18255</v>
      </c>
      <c r="H40" s="204">
        <f t="shared" si="23"/>
        <v>20686.484425380069</v>
      </c>
      <c r="I40" s="204">
        <f t="shared" ref="I40" si="24">SUM(I33:I37)-I38+I39</f>
        <v>23212.683698603381</v>
      </c>
      <c r="J40" s="204">
        <f t="shared" ref="J40" si="25">SUM(J33:J37)-J38+J39</f>
        <v>25822.278354013935</v>
      </c>
      <c r="K40" s="204">
        <f t="shared" ref="K40" si="26">SUM(K33:K37)-K38+K39</f>
        <v>28508.866161770289</v>
      </c>
      <c r="L40" s="204">
        <f t="shared" ref="L40" si="27">SUM(L33:L37)-L38+L39</f>
        <v>31279.261787809017</v>
      </c>
      <c r="M40" s="204">
        <f t="shared" ref="M40" si="28">SUM(M33:M37)-M38+M39</f>
        <v>0</v>
      </c>
      <c r="N40" s="204">
        <f t="shared" ref="N40" si="29">SUM(N33:N37)-N38+N39</f>
        <v>0</v>
      </c>
      <c r="O40" s="204">
        <f t="shared" ref="O40" si="30">SUM(O33:O37)-O38+O39</f>
        <v>0</v>
      </c>
      <c r="P40" s="204">
        <f t="shared" ref="P40" si="31">SUM(P33:P37)-P38+P39</f>
        <v>0</v>
      </c>
      <c r="Q40" s="204">
        <f t="shared" ref="Q40" si="32">SUM(Q33:Q37)-Q38+Q39</f>
        <v>0</v>
      </c>
    </row>
    <row r="41" spans="2:17">
      <c r="C41" s="206"/>
      <c r="D41" s="206"/>
      <c r="E41" s="206"/>
      <c r="F41" s="206"/>
      <c r="G41" s="206"/>
    </row>
    <row r="42" spans="2:17" ht="12" thickBot="1">
      <c r="B42" s="53" t="str">
        <f>"Total "&amp;B19&amp;" and "&amp;B32</f>
        <v>Total Liabilities and Equity</v>
      </c>
      <c r="C42" s="207">
        <f t="shared" ref="C42:H42" si="33">C29+C40</f>
        <v>33097</v>
      </c>
      <c r="D42" s="207">
        <f t="shared" si="33"/>
        <v>34456</v>
      </c>
      <c r="E42" s="207">
        <f t="shared" si="33"/>
        <v>36309</v>
      </c>
      <c r="F42" s="207">
        <f t="shared" si="33"/>
        <v>36821</v>
      </c>
      <c r="G42" s="207">
        <f t="shared" si="33"/>
        <v>36251</v>
      </c>
      <c r="H42" s="55">
        <f t="shared" si="33"/>
        <v>37630.902632635261</v>
      </c>
      <c r="I42" s="55">
        <f t="shared" ref="I42:Q42" si="34">I29+I40</f>
        <v>39879.282751573774</v>
      </c>
      <c r="J42" s="55">
        <f t="shared" si="34"/>
        <v>42645.596478070991</v>
      </c>
      <c r="K42" s="55">
        <f t="shared" si="34"/>
        <v>45772.074289046599</v>
      </c>
      <c r="L42" s="55">
        <f t="shared" si="34"/>
        <v>48854.669850401166</v>
      </c>
      <c r="M42" s="55">
        <f t="shared" si="34"/>
        <v>0</v>
      </c>
      <c r="N42" s="55">
        <f t="shared" si="34"/>
        <v>0</v>
      </c>
      <c r="O42" s="55">
        <f t="shared" si="34"/>
        <v>0</v>
      </c>
      <c r="P42" s="55">
        <f t="shared" si="34"/>
        <v>0</v>
      </c>
      <c r="Q42" s="55">
        <f t="shared" si="34"/>
        <v>0</v>
      </c>
    </row>
    <row r="43" spans="2:17">
      <c r="B43" s="56" t="s">
        <v>281</v>
      </c>
      <c r="C43" s="208">
        <f t="shared" ref="C43:H43" si="35">C16-C42</f>
        <v>-167</v>
      </c>
      <c r="D43" s="208">
        <f t="shared" si="35"/>
        <v>-1272</v>
      </c>
      <c r="E43" s="208">
        <f t="shared" si="35"/>
        <v>-279</v>
      </c>
      <c r="F43" s="208">
        <f t="shared" si="35"/>
        <v>-871</v>
      </c>
      <c r="G43" s="208">
        <f t="shared" si="35"/>
        <v>-587</v>
      </c>
      <c r="H43" s="57">
        <f t="shared" si="35"/>
        <v>-783.63118373168254</v>
      </c>
      <c r="I43" s="57">
        <f t="shared" ref="I43:Q43" si="36">I16-I42</f>
        <v>-1359.6784187411758</v>
      </c>
      <c r="J43" s="57">
        <f t="shared" si="36"/>
        <v>-2280.029870800965</v>
      </c>
      <c r="K43" s="57">
        <f t="shared" si="36"/>
        <v>-3781.7012264225341</v>
      </c>
      <c r="L43" s="57">
        <f t="shared" si="36"/>
        <v>-4593.127954712756</v>
      </c>
      <c r="M43" s="57">
        <f t="shared" si="36"/>
        <v>0</v>
      </c>
      <c r="N43" s="57">
        <f t="shared" si="36"/>
        <v>0</v>
      </c>
      <c r="O43" s="57">
        <f t="shared" si="36"/>
        <v>0</v>
      </c>
      <c r="P43" s="57">
        <f t="shared" si="36"/>
        <v>0</v>
      </c>
      <c r="Q43" s="57">
        <f t="shared" si="36"/>
        <v>0</v>
      </c>
    </row>
    <row r="46" spans="2:17">
      <c r="B46" s="42" t="s">
        <v>282</v>
      </c>
      <c r="C46" s="42"/>
      <c r="D46" s="42"/>
      <c r="E46" s="42"/>
      <c r="F46" s="42"/>
      <c r="G46" s="42"/>
      <c r="H46" s="42"/>
      <c r="I46" s="42"/>
      <c r="J46" s="42"/>
      <c r="K46" s="42"/>
      <c r="L46" s="42"/>
      <c r="M46" s="42"/>
      <c r="N46" s="42"/>
      <c r="O46" s="42"/>
      <c r="P46" s="42"/>
      <c r="Q46" s="42"/>
    </row>
    <row r="47" spans="2:17">
      <c r="B47" s="1" t="s">
        <v>283</v>
      </c>
      <c r="C47" s="71">
        <f t="shared" ref="C47:Q47" si="37">C10-C24</f>
        <v>1489</v>
      </c>
      <c r="D47" s="71">
        <f t="shared" si="37"/>
        <v>2092</v>
      </c>
      <c r="E47" s="71">
        <f t="shared" si="37"/>
        <v>3218</v>
      </c>
      <c r="F47" s="71">
        <f t="shared" si="37"/>
        <v>3446</v>
      </c>
      <c r="G47" s="71">
        <f t="shared" si="37"/>
        <v>1636</v>
      </c>
      <c r="H47" s="71">
        <f t="shared" si="37"/>
        <v>3599.6015969956925</v>
      </c>
      <c r="I47" s="71">
        <f t="shared" si="37"/>
        <v>5270.3644412172289</v>
      </c>
      <c r="J47" s="71">
        <f t="shared" si="37"/>
        <v>6671.8367747559532</v>
      </c>
      <c r="K47" s="71">
        <f t="shared" si="37"/>
        <v>7560.3492309843205</v>
      </c>
      <c r="L47" s="71">
        <f t="shared" si="37"/>
        <v>9214.0220129492263</v>
      </c>
      <c r="M47" s="71">
        <f t="shared" si="37"/>
        <v>0</v>
      </c>
      <c r="N47" s="71">
        <f t="shared" si="37"/>
        <v>0</v>
      </c>
      <c r="O47" s="71">
        <f t="shared" si="37"/>
        <v>0</v>
      </c>
      <c r="P47" s="71">
        <f t="shared" si="37"/>
        <v>0</v>
      </c>
      <c r="Q47" s="71">
        <f t="shared" si="37"/>
        <v>0</v>
      </c>
    </row>
    <row r="48" spans="2:17">
      <c r="B48" s="1" t="s">
        <v>211</v>
      </c>
      <c r="C48" s="71">
        <f t="shared" ref="C48:Q48" si="38">+C22+C26-C6</f>
        <v>11615</v>
      </c>
      <c r="D48" s="71">
        <f t="shared" si="38"/>
        <v>11720</v>
      </c>
      <c r="E48" s="71">
        <f t="shared" si="38"/>
        <v>7643</v>
      </c>
      <c r="F48" s="71">
        <f t="shared" si="38"/>
        <v>8656</v>
      </c>
      <c r="G48" s="71">
        <f t="shared" si="38"/>
        <v>10049</v>
      </c>
      <c r="H48" s="71">
        <f t="shared" si="38"/>
        <v>8013.8239026877309</v>
      </c>
      <c r="I48" s="71">
        <f t="shared" si="38"/>
        <v>6451.8538234566968</v>
      </c>
      <c r="J48" s="71">
        <f t="shared" si="38"/>
        <v>5162.43803785819</v>
      </c>
      <c r="K48" s="71">
        <f t="shared" si="38"/>
        <v>4389.3438260082476</v>
      </c>
      <c r="L48" s="71">
        <f t="shared" si="38"/>
        <v>2854.5518357531218</v>
      </c>
      <c r="M48" s="71">
        <f t="shared" si="38"/>
        <v>0</v>
      </c>
      <c r="N48" s="71">
        <f t="shared" si="38"/>
        <v>0</v>
      </c>
      <c r="O48" s="71">
        <f t="shared" si="38"/>
        <v>0</v>
      </c>
      <c r="P48" s="71">
        <f t="shared" si="38"/>
        <v>0</v>
      </c>
      <c r="Q48" s="71">
        <f t="shared" si="38"/>
        <v>0</v>
      </c>
    </row>
    <row r="51" spans="2:17">
      <c r="B51" s="42" t="s">
        <v>271</v>
      </c>
      <c r="C51" s="42"/>
      <c r="D51" s="42"/>
      <c r="E51" s="42"/>
      <c r="F51" s="42"/>
      <c r="G51" s="42"/>
      <c r="H51" s="42"/>
      <c r="I51" s="42"/>
      <c r="J51" s="42"/>
      <c r="K51" s="42"/>
      <c r="L51" s="42"/>
      <c r="M51" s="42"/>
      <c r="N51" s="42"/>
      <c r="O51" s="42"/>
      <c r="P51" s="42"/>
      <c r="Q51" s="42"/>
    </row>
    <row r="52" spans="2:17">
      <c r="B52" s="1" t="str">
        <f>'Income Statement'!B4</f>
        <v>Revenue</v>
      </c>
      <c r="C52" s="18">
        <f>'IS Bull'!C4</f>
        <v>42405</v>
      </c>
      <c r="D52" s="18">
        <f>'IS Bull'!D4</f>
        <v>43185</v>
      </c>
      <c r="E52" s="18">
        <f>'IS Bull'!E4</f>
        <v>47049</v>
      </c>
      <c r="F52" s="18">
        <f>'IS Bull'!F4</f>
        <v>53282</v>
      </c>
      <c r="G52" s="18">
        <f>'IS Bull'!G4</f>
        <v>52881</v>
      </c>
      <c r="H52" s="18">
        <f>'IS Bull'!H4</f>
        <v>54467.43</v>
      </c>
      <c r="I52" s="18">
        <f>'IS Bull'!I4</f>
        <v>56101.452900000004</v>
      </c>
      <c r="J52" s="18">
        <f>'IS Bull'!J4</f>
        <v>57784.496487000004</v>
      </c>
      <c r="K52" s="18">
        <f>'IS Bull'!K4</f>
        <v>59518.031381610002</v>
      </c>
      <c r="L52" s="18">
        <f>'IS Bull'!L4</f>
        <v>61303.572323058303</v>
      </c>
      <c r="M52" s="18">
        <f>'IS Bull'!M4</f>
        <v>0</v>
      </c>
      <c r="N52" s="18">
        <f>'IS Bull'!N4</f>
        <v>0</v>
      </c>
      <c r="O52" s="18">
        <f>'IS Bull'!O4</f>
        <v>0</v>
      </c>
      <c r="P52" s="18">
        <f>'IS Bull'!P4</f>
        <v>0</v>
      </c>
      <c r="Q52" s="18">
        <f>'IS Bull'!Q4</f>
        <v>0</v>
      </c>
    </row>
    <row r="53" spans="2:17">
      <c r="B53" s="1" t="str">
        <f>'Income Statement'!B8</f>
        <v>Cost of Revenue ~ Cost of Goods Sold</v>
      </c>
      <c r="C53" s="18">
        <f>'IS Bull'!C8</f>
        <v>37383</v>
      </c>
      <c r="D53" s="18">
        <f>'IS Bull'!D8</f>
        <v>37801</v>
      </c>
      <c r="E53" s="18">
        <f>'IS Bull'!E8</f>
        <v>40523</v>
      </c>
      <c r="F53" s="18">
        <f>'IS Bull'!F8</f>
        <v>46614</v>
      </c>
      <c r="G53" s="18">
        <f>'IS Bull'!G8</f>
        <v>50250</v>
      </c>
      <c r="H53" s="18">
        <f>'IS Bull'!H8</f>
        <v>48402.944900911498</v>
      </c>
      <c r="I53" s="18">
        <f>'IS Bull'!I8</f>
        <v>49855.033247938845</v>
      </c>
      <c r="J53" s="18">
        <f>'IS Bull'!J8</f>
        <v>51350.684245377008</v>
      </c>
      <c r="K53" s="18">
        <f>'IS Bull'!K8</f>
        <v>52891.204772738318</v>
      </c>
      <c r="L53" s="18">
        <f>'IS Bull'!L8</f>
        <v>54477.940915920466</v>
      </c>
      <c r="M53" s="18">
        <f>'IS Bull'!M8</f>
        <v>0</v>
      </c>
      <c r="N53" s="18">
        <f>'IS Bull'!N8</f>
        <v>0</v>
      </c>
      <c r="O53" s="18">
        <f>'IS Bull'!O8</f>
        <v>0</v>
      </c>
      <c r="P53" s="18">
        <f>'IS Bull'!P8</f>
        <v>0</v>
      </c>
      <c r="Q53" s="18">
        <f>'IS Bull'!Q8</f>
        <v>0</v>
      </c>
    </row>
    <row r="54" spans="2:17">
      <c r="B54" s="1" t="str">
        <f>'Income Statement'!B44</f>
        <v>Capital Expenditures</v>
      </c>
      <c r="C54" s="18">
        <f>'IS Bull'!C44</f>
        <v>1259</v>
      </c>
      <c r="D54" s="18">
        <f>'IS Bull'!D44</f>
        <v>1199</v>
      </c>
      <c r="E54" s="18">
        <f>'IS Bull'!E44</f>
        <v>1209</v>
      </c>
      <c r="F54" s="18">
        <f>'IS Bull'!F44</f>
        <v>1887</v>
      </c>
      <c r="G54" s="18">
        <f>'IS Bull'!G44</f>
        <v>1939</v>
      </c>
      <c r="H54" s="18">
        <f>'IS Bull'!H44</f>
        <v>1691.0323300693508</v>
      </c>
      <c r="I54" s="18">
        <f>'IS Bull'!I44</f>
        <v>1741.7632999714315</v>
      </c>
      <c r="J54" s="18">
        <f>'IS Bull'!J44</f>
        <v>1794.0161989705744</v>
      </c>
      <c r="K54" s="18">
        <f>'IS Bull'!K44</f>
        <v>1847.8366849396916</v>
      </c>
      <c r="L54" s="18">
        <f>'IS Bull'!L44</f>
        <v>1903.2717854878824</v>
      </c>
      <c r="M54" s="18">
        <f>'IS Bull'!M44</f>
        <v>0</v>
      </c>
      <c r="N54" s="18">
        <f>'IS Bull'!N44</f>
        <v>0</v>
      </c>
      <c r="O54" s="18">
        <f>'IS Bull'!O44</f>
        <v>0</v>
      </c>
      <c r="P54" s="18">
        <f>'IS Bull'!P44</f>
        <v>0</v>
      </c>
      <c r="Q54" s="18">
        <f>'IS Bull'!Q44</f>
        <v>0</v>
      </c>
    </row>
    <row r="55" spans="2:17">
      <c r="B55" s="1" t="str">
        <f>'Income Statement'!B47</f>
        <v>Depreciation and Amortization</v>
      </c>
      <c r="C55" s="18">
        <f>'IS Bull'!C47</f>
        <v>1098</v>
      </c>
      <c r="D55" s="18">
        <f>'IS Bull'!D47</f>
        <v>1192</v>
      </c>
      <c r="E55" s="18">
        <f>'IS Bull'!E47</f>
        <v>1214</v>
      </c>
      <c r="F55" s="18">
        <f>'IS Bull'!F47</f>
        <v>1202</v>
      </c>
      <c r="G55" s="18">
        <f>'IS Bull'!G47</f>
        <v>1339</v>
      </c>
      <c r="H55" s="18">
        <f>'IS Bull'!H47</f>
        <v>1419.7806854166529</v>
      </c>
      <c r="I55" s="18">
        <f>'IS Bull'!I47</f>
        <v>1462.3741059791525</v>
      </c>
      <c r="J55" s="18">
        <f>'IS Bull'!J47</f>
        <v>1506.2453291585271</v>
      </c>
      <c r="K55" s="18">
        <f>'IS Bull'!K47</f>
        <v>1551.4326890332829</v>
      </c>
      <c r="L55" s="18">
        <f>'IS Bull'!L47</f>
        <v>1597.9756697042815</v>
      </c>
      <c r="M55" s="18">
        <f>'IS Bull'!M47</f>
        <v>0</v>
      </c>
      <c r="N55" s="18">
        <f>'IS Bull'!N47</f>
        <v>0</v>
      </c>
      <c r="O55" s="18">
        <f>'IS Bull'!O47</f>
        <v>0</v>
      </c>
      <c r="P55" s="18">
        <f>'IS Bull'!P47</f>
        <v>0</v>
      </c>
      <c r="Q55" s="18">
        <f>'IS Bull'!Q47</f>
        <v>0</v>
      </c>
    </row>
    <row r="56" spans="2:17">
      <c r="B56" s="1" t="str">
        <f>'Income Statement'!B37</f>
        <v>Net Income (Loss), GAAP</v>
      </c>
      <c r="C56" s="18">
        <f>'IS Bull'!C37</f>
        <v>2022</v>
      </c>
      <c r="D56" s="18">
        <f>'IS Bull'!D37</f>
        <v>2061</v>
      </c>
      <c r="E56" s="18">
        <f>'IS Bull'!E37</f>
        <v>3047</v>
      </c>
      <c r="F56" s="18">
        <f>'IS Bull'!F37</f>
        <v>3238</v>
      </c>
      <c r="G56" s="18">
        <f>'IS Bull'!G37</f>
        <v>-648</v>
      </c>
      <c r="H56" s="18">
        <f>'IS Bull'!H37</f>
        <v>2399.6324853760543</v>
      </c>
      <c r="I56" s="18">
        <f>'IS Bull'!I37</f>
        <v>2493.1065884217974</v>
      </c>
      <c r="J56" s="18">
        <f>'IS Bull'!J37</f>
        <v>2575.40950845616</v>
      </c>
      <c r="K56" s="18">
        <f>'IS Bull'!K37</f>
        <v>2651.3940665277605</v>
      </c>
      <c r="L56" s="18">
        <f>'IS Bull'!L37</f>
        <v>2734.1040198302344</v>
      </c>
      <c r="M56" s="18">
        <f>'IS Bull'!M37</f>
        <v>0</v>
      </c>
      <c r="N56" s="18">
        <f>'IS Bull'!N37</f>
        <v>0</v>
      </c>
      <c r="O56" s="18">
        <f>'IS Bull'!O37</f>
        <v>0</v>
      </c>
      <c r="P56" s="18">
        <f>'IS Bull'!P37</f>
        <v>0</v>
      </c>
      <c r="Q56" s="18">
        <f>'IS Bull'!Q37</f>
        <v>0</v>
      </c>
    </row>
    <row r="57" spans="2:17">
      <c r="B57" s="1" t="str">
        <f>'Cash Flows'!B22</f>
        <v>Dividends Paid</v>
      </c>
      <c r="C57" s="18">
        <f>'CF Bull'!C22</f>
        <v>-537</v>
      </c>
      <c r="D57" s="18">
        <f>'CF Bull'!D22</f>
        <v>-601</v>
      </c>
      <c r="E57" s="18">
        <f>'CF Bull'!E22</f>
        <v>-636</v>
      </c>
      <c r="F57" s="18">
        <f>'CF Bull'!F22</f>
        <v>-653</v>
      </c>
      <c r="G57" s="18">
        <f>'CF Bull'!G22</f>
        <v>-670</v>
      </c>
      <c r="H57" s="18">
        <f>'CF Bull'!H22</f>
        <v>31.851940004016079</v>
      </c>
      <c r="I57" s="18">
        <f>'CF Bull'!I22</f>
        <v>33.092684801516036</v>
      </c>
      <c r="J57" s="18">
        <f>'CF Bull'!J22</f>
        <v>34.185146954394007</v>
      </c>
      <c r="K57" s="18">
        <f>'CF Bull'!K22</f>
        <v>35.193741228591385</v>
      </c>
      <c r="L57" s="18">
        <f>'CF Bull'!L22</f>
        <v>36.291606208491629</v>
      </c>
      <c r="M57" s="18">
        <f>'CF Bull'!M22</f>
        <v>0</v>
      </c>
      <c r="N57" s="18">
        <f>'CF Bull'!N22</f>
        <v>0</v>
      </c>
      <c r="O57" s="18">
        <f>'CF Bull'!O22</f>
        <v>0</v>
      </c>
      <c r="P57" s="18">
        <f>'CF Bull'!P22</f>
        <v>0</v>
      </c>
      <c r="Q57" s="18">
        <f>'CF Bull'!Q22</f>
        <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Valuation Summary</vt:lpstr>
      <vt:lpstr>Assumptions</vt:lpstr>
      <vt:lpstr>Discounted Cash Flow</vt:lpstr>
      <vt:lpstr>Comparable Peer</vt:lpstr>
      <vt:lpstr>Internal Rate of Return</vt:lpstr>
      <vt:lpstr>Dividend Discount</vt:lpstr>
      <vt:lpstr>Income Statement</vt:lpstr>
      <vt:lpstr>IS Bear</vt:lpstr>
      <vt:lpstr>IS Bull</vt:lpstr>
      <vt:lpstr>Cash Flows</vt:lpstr>
      <vt:lpstr>CF Bear</vt:lpstr>
      <vt:lpstr>CF Bull</vt:lpstr>
      <vt:lpstr>Balance Sheet</vt:lpstr>
      <vt:lpstr>BS Bear</vt:lpstr>
      <vt:lpstr>BS Bull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Ethan Neff</dc:creator>
  <cp:keywords/>
  <dc:description/>
  <cp:lastModifiedBy>Yash Agrawal</cp:lastModifiedBy>
  <cp:revision/>
  <dcterms:created xsi:type="dcterms:W3CDTF">2024-10-21T18:49:07Z</dcterms:created>
  <dcterms:modified xsi:type="dcterms:W3CDTF">2026-07-13T23:03:50Z</dcterms:modified>
  <cp:category/>
  <cp:contentStatus/>
</cp:coreProperties>
</file>